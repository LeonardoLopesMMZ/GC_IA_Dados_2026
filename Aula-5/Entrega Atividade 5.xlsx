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A6\EXCELCNV\be2de85d-c031-445a-a87a-c652056b72dd\"/>
    </mc:Choice>
  </mc:AlternateContent>
  <xr:revisionPtr revIDLastSave="0" documentId="8_{274C8E2F-92DF-482C-AE06-86F5100409E6}" xr6:coauthVersionLast="47" xr6:coauthVersionMax="47" xr10:uidLastSave="{00000000-0000-0000-0000-000000000000}"/>
  <bookViews>
    <workbookView xWindow="-60" yWindow="-60" windowWidth="15480" windowHeight="11640" firstSheet="3" xr2:uid="{BA239910-1F07-4AF4-8A77-3854CDE206C1}"/>
  </bookViews>
  <sheets>
    <sheet name="DadosLimpos" sheetId="3" r:id="rId1"/>
    <sheet name="Analise (Grafico)" sheetId="5" r:id="rId2"/>
    <sheet name="DadosBrutos" sheetId="6" r:id="rId3"/>
    <sheet name="Funções + Tratamento" sheetId="1" r:id="rId4"/>
    <sheet name="Caminho da Resolução Explicação" sheetId="4" r:id="rId5"/>
  </sheets>
  <externalReferences>
    <externalReference r:id="rId6"/>
    <externalReference r:id="rId7"/>
    <externalReference r:id="rId8"/>
  </externalReferences>
  <definedNames>
    <definedName name="_xlnm._FilterDatabase" localSheetId="3" hidden="1">'Funções + Tratamento'!$K$1:$X$1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8" i="3" l="1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L2" i="3"/>
  <c r="N2" i="3" s="1"/>
  <c r="P2" i="3" s="1"/>
  <c r="L3" i="3"/>
  <c r="N3" i="3" s="1"/>
  <c r="P3" i="3" s="1"/>
  <c r="L4" i="3"/>
  <c r="N4" i="3" s="1"/>
  <c r="P4" i="3" s="1"/>
  <c r="L5" i="3"/>
  <c r="N5" i="3" s="1"/>
  <c r="P5" i="3" s="1"/>
  <c r="L6" i="3"/>
  <c r="N6" i="3" s="1"/>
  <c r="P6" i="3" s="1"/>
  <c r="L7" i="3"/>
  <c r="N7" i="3" s="1"/>
  <c r="P7" i="3" s="1"/>
  <c r="L8" i="3"/>
  <c r="N8" i="3" s="1"/>
  <c r="P8" i="3" s="1"/>
  <c r="L9" i="3"/>
  <c r="N9" i="3" s="1"/>
  <c r="P9" i="3" s="1"/>
  <c r="L10" i="3"/>
  <c r="N10" i="3" s="1"/>
  <c r="P10" i="3" s="1"/>
  <c r="L11" i="3"/>
  <c r="N11" i="3" s="1"/>
  <c r="P11" i="3" s="1"/>
  <c r="L12" i="3"/>
  <c r="N12" i="3" s="1"/>
  <c r="P12" i="3" s="1"/>
  <c r="L13" i="3"/>
  <c r="N13" i="3" s="1"/>
  <c r="P13" i="3" s="1"/>
  <c r="L14" i="3"/>
  <c r="N14" i="3" s="1"/>
  <c r="P14" i="3" s="1"/>
  <c r="L15" i="3"/>
  <c r="N15" i="3" s="1"/>
  <c r="P15" i="3" s="1"/>
  <c r="L16" i="3"/>
  <c r="N16" i="3" s="1"/>
  <c r="P16" i="3" s="1"/>
  <c r="L17" i="3"/>
  <c r="N17" i="3" s="1"/>
  <c r="P17" i="3" s="1"/>
  <c r="L18" i="3"/>
  <c r="N18" i="3" s="1"/>
  <c r="P18" i="3" s="1"/>
  <c r="L19" i="3"/>
  <c r="N19" i="3" s="1"/>
  <c r="P19" i="3" s="1"/>
  <c r="L20" i="3"/>
  <c r="N20" i="3" s="1"/>
  <c r="P20" i="3" s="1"/>
  <c r="L21" i="3"/>
  <c r="N21" i="3" s="1"/>
  <c r="P21" i="3" s="1"/>
  <c r="L22" i="3"/>
  <c r="N22" i="3" s="1"/>
  <c r="P22" i="3" s="1"/>
  <c r="L23" i="3"/>
  <c r="N23" i="3" s="1"/>
  <c r="P23" i="3" s="1"/>
  <c r="L24" i="3"/>
  <c r="N24" i="3" s="1"/>
  <c r="P24" i="3" s="1"/>
  <c r="L25" i="3"/>
  <c r="N25" i="3" s="1"/>
  <c r="P25" i="3" s="1"/>
  <c r="L26" i="3"/>
  <c r="N26" i="3" s="1"/>
  <c r="P26" i="3" s="1"/>
  <c r="L27" i="3"/>
  <c r="N27" i="3" s="1"/>
  <c r="P27" i="3" s="1"/>
  <c r="L28" i="3"/>
  <c r="N28" i="3" s="1"/>
  <c r="P28" i="3" s="1"/>
  <c r="L29" i="3"/>
  <c r="N29" i="3" s="1"/>
  <c r="P29" i="3" s="1"/>
  <c r="L30" i="3"/>
  <c r="N30" i="3" s="1"/>
  <c r="P30" i="3" s="1"/>
  <c r="L31" i="3"/>
  <c r="N31" i="3" s="1"/>
  <c r="P31" i="3" s="1"/>
  <c r="L32" i="3"/>
  <c r="N32" i="3" s="1"/>
  <c r="P32" i="3" s="1"/>
  <c r="L33" i="3"/>
  <c r="N33" i="3" s="1"/>
  <c r="P33" i="3" s="1"/>
  <c r="L34" i="3"/>
  <c r="N34" i="3" s="1"/>
  <c r="P34" i="3" s="1"/>
  <c r="L35" i="3"/>
  <c r="N35" i="3" s="1"/>
  <c r="P35" i="3" s="1"/>
  <c r="L36" i="3"/>
  <c r="N36" i="3" s="1"/>
  <c r="P36" i="3" s="1"/>
  <c r="L37" i="3"/>
  <c r="N37" i="3" s="1"/>
  <c r="P37" i="3" s="1"/>
  <c r="L38" i="3"/>
  <c r="N38" i="3" s="1"/>
  <c r="P38" i="3" s="1"/>
  <c r="L39" i="3"/>
  <c r="N39" i="3" s="1"/>
  <c r="P39" i="3" s="1"/>
  <c r="L40" i="3"/>
  <c r="N40" i="3" s="1"/>
  <c r="P40" i="3" s="1"/>
  <c r="L41" i="3"/>
  <c r="N41" i="3" s="1"/>
  <c r="P41" i="3" s="1"/>
  <c r="L42" i="3"/>
  <c r="N42" i="3" s="1"/>
  <c r="P42" i="3" s="1"/>
  <c r="L43" i="3"/>
  <c r="N43" i="3" s="1"/>
  <c r="P43" i="3" s="1"/>
  <c r="L44" i="3"/>
  <c r="N44" i="3" s="1"/>
  <c r="P44" i="3" s="1"/>
  <c r="L45" i="3"/>
  <c r="N45" i="3" s="1"/>
  <c r="P45" i="3" s="1"/>
  <c r="L46" i="3"/>
  <c r="N46" i="3" s="1"/>
  <c r="P46" i="3" s="1"/>
  <c r="L47" i="3"/>
  <c r="N47" i="3" s="1"/>
  <c r="P47" i="3" s="1"/>
  <c r="L48" i="3"/>
  <c r="N48" i="3" s="1"/>
  <c r="P48" i="3" s="1"/>
  <c r="L49" i="3"/>
  <c r="N49" i="3" s="1"/>
  <c r="P49" i="3" s="1"/>
  <c r="L50" i="3"/>
  <c r="N50" i="3" s="1"/>
  <c r="P50" i="3" s="1"/>
  <c r="L51" i="3"/>
  <c r="N51" i="3" s="1"/>
  <c r="P51" i="3" s="1"/>
  <c r="L52" i="3"/>
  <c r="N52" i="3" s="1"/>
  <c r="P52" i="3" s="1"/>
  <c r="L53" i="3"/>
  <c r="N53" i="3" s="1"/>
  <c r="P53" i="3" s="1"/>
  <c r="L54" i="3"/>
  <c r="N54" i="3" s="1"/>
  <c r="P54" i="3" s="1"/>
  <c r="L55" i="3"/>
  <c r="N55" i="3" s="1"/>
  <c r="P55" i="3" s="1"/>
  <c r="L56" i="3"/>
  <c r="N56" i="3" s="1"/>
  <c r="P56" i="3" s="1"/>
  <c r="L57" i="3"/>
  <c r="N57" i="3" s="1"/>
  <c r="P57" i="3" s="1"/>
  <c r="L58" i="3"/>
  <c r="N58" i="3" s="1"/>
  <c r="P58" i="3" s="1"/>
  <c r="L59" i="3"/>
  <c r="N59" i="3" s="1"/>
  <c r="P59" i="3" s="1"/>
  <c r="L60" i="3"/>
  <c r="N60" i="3" s="1"/>
  <c r="P60" i="3" s="1"/>
  <c r="L61" i="3"/>
  <c r="N61" i="3" s="1"/>
  <c r="P61" i="3" s="1"/>
  <c r="L62" i="3"/>
  <c r="N62" i="3" s="1"/>
  <c r="P62" i="3" s="1"/>
  <c r="L63" i="3"/>
  <c r="N63" i="3" s="1"/>
  <c r="P63" i="3" s="1"/>
  <c r="L64" i="3"/>
  <c r="N64" i="3" s="1"/>
  <c r="P64" i="3" s="1"/>
  <c r="L65" i="3"/>
  <c r="N65" i="3" s="1"/>
  <c r="P65" i="3" s="1"/>
  <c r="L66" i="3"/>
  <c r="N66" i="3" s="1"/>
  <c r="P66" i="3" s="1"/>
  <c r="L67" i="3"/>
  <c r="N67" i="3" s="1"/>
  <c r="P67" i="3" s="1"/>
  <c r="L68" i="3"/>
  <c r="N68" i="3" s="1"/>
  <c r="P68" i="3" s="1"/>
  <c r="L69" i="3"/>
  <c r="N69" i="3" s="1"/>
  <c r="P69" i="3" s="1"/>
  <c r="L70" i="3"/>
  <c r="N70" i="3" s="1"/>
  <c r="P70" i="3" s="1"/>
  <c r="L71" i="3"/>
  <c r="N71" i="3" s="1"/>
  <c r="P71" i="3" s="1"/>
  <c r="L72" i="3"/>
  <c r="N72" i="3" s="1"/>
  <c r="P72" i="3" s="1"/>
  <c r="L73" i="3"/>
  <c r="N73" i="3" s="1"/>
  <c r="P73" i="3" s="1"/>
  <c r="L74" i="3"/>
  <c r="N74" i="3" s="1"/>
  <c r="P74" i="3" s="1"/>
  <c r="L75" i="3"/>
  <c r="N75" i="3" s="1"/>
  <c r="P75" i="3" s="1"/>
  <c r="L76" i="3"/>
  <c r="N76" i="3" s="1"/>
  <c r="P76" i="3" s="1"/>
  <c r="L77" i="3"/>
  <c r="N77" i="3" s="1"/>
  <c r="P77" i="3" s="1"/>
  <c r="L78" i="3"/>
  <c r="N78" i="3" s="1"/>
  <c r="P78" i="3" s="1"/>
  <c r="L79" i="3"/>
  <c r="N79" i="3" s="1"/>
  <c r="P79" i="3" s="1"/>
  <c r="L80" i="3"/>
  <c r="N80" i="3" s="1"/>
  <c r="P80" i="3" s="1"/>
  <c r="L81" i="3"/>
  <c r="N81" i="3" s="1"/>
  <c r="P81" i="3" s="1"/>
  <c r="L82" i="3"/>
  <c r="N82" i="3" s="1"/>
  <c r="P82" i="3" s="1"/>
  <c r="L83" i="3"/>
  <c r="N83" i="3" s="1"/>
  <c r="P83" i="3" s="1"/>
  <c r="L84" i="3"/>
  <c r="N84" i="3" s="1"/>
  <c r="P84" i="3" s="1"/>
  <c r="L85" i="3"/>
  <c r="N85" i="3" s="1"/>
  <c r="P85" i="3" s="1"/>
  <c r="L86" i="3"/>
  <c r="N86" i="3" s="1"/>
  <c r="P86" i="3" s="1"/>
  <c r="L87" i="3"/>
  <c r="N87" i="3" s="1"/>
  <c r="P87" i="3" s="1"/>
  <c r="L88" i="3"/>
  <c r="N88" i="3" s="1"/>
  <c r="P88" i="3" s="1"/>
  <c r="L89" i="3"/>
  <c r="N89" i="3" s="1"/>
  <c r="P89" i="3" s="1"/>
  <c r="L90" i="3"/>
  <c r="N90" i="3" s="1"/>
  <c r="P90" i="3" s="1"/>
  <c r="L91" i="3"/>
  <c r="N91" i="3" s="1"/>
  <c r="P91" i="3" s="1"/>
  <c r="L92" i="3"/>
  <c r="N92" i="3" s="1"/>
  <c r="P92" i="3" s="1"/>
  <c r="L93" i="3"/>
  <c r="N93" i="3" s="1"/>
  <c r="P93" i="3" s="1"/>
  <c r="L94" i="3"/>
  <c r="N94" i="3" s="1"/>
  <c r="P94" i="3" s="1"/>
  <c r="L95" i="3"/>
  <c r="N95" i="3" s="1"/>
  <c r="P95" i="3" s="1"/>
  <c r="L96" i="3"/>
  <c r="N96" i="3" s="1"/>
  <c r="P96" i="3" s="1"/>
  <c r="L97" i="3"/>
  <c r="N97" i="3" s="1"/>
  <c r="P97" i="3" s="1"/>
  <c r="L98" i="3"/>
  <c r="N98" i="3" s="1"/>
  <c r="P98" i="3" s="1"/>
  <c r="L99" i="3"/>
  <c r="N99" i="3" s="1"/>
  <c r="P99" i="3" s="1"/>
  <c r="L100" i="3"/>
  <c r="N100" i="3" s="1"/>
  <c r="P100" i="3" s="1"/>
  <c r="L101" i="3"/>
  <c r="N101" i="3" s="1"/>
  <c r="P101" i="3" s="1"/>
  <c r="L102" i="3"/>
  <c r="N102" i="3" s="1"/>
  <c r="P102" i="3" s="1"/>
  <c r="L103" i="3"/>
  <c r="N103" i="3" s="1"/>
  <c r="P103" i="3" s="1"/>
  <c r="L104" i="3"/>
  <c r="N104" i="3" s="1"/>
  <c r="P104" i="3" s="1"/>
  <c r="L105" i="3"/>
  <c r="N105" i="3" s="1"/>
  <c r="P105" i="3" s="1"/>
  <c r="L106" i="3"/>
  <c r="N106" i="3" s="1"/>
  <c r="P106" i="3" s="1"/>
  <c r="L107" i="3"/>
  <c r="N107" i="3" s="1"/>
  <c r="P107" i="3" s="1"/>
  <c r="L108" i="3"/>
  <c r="N108" i="3" s="1"/>
  <c r="P108" i="3" s="1"/>
  <c r="L109" i="3"/>
  <c r="N109" i="3" s="1"/>
  <c r="P109" i="3" s="1"/>
  <c r="L110" i="3"/>
  <c r="N110" i="3" s="1"/>
  <c r="P110" i="3" s="1"/>
  <c r="L111" i="3"/>
  <c r="N111" i="3" s="1"/>
  <c r="P111" i="3" s="1"/>
  <c r="L112" i="3"/>
  <c r="N112" i="3" s="1"/>
  <c r="P112" i="3" s="1"/>
  <c r="L113" i="3"/>
  <c r="N113" i="3" s="1"/>
  <c r="P113" i="3" s="1"/>
  <c r="L114" i="3"/>
  <c r="N114" i="3" s="1"/>
  <c r="P114" i="3" s="1"/>
  <c r="L115" i="3"/>
  <c r="N115" i="3" s="1"/>
  <c r="P115" i="3" s="1"/>
  <c r="L116" i="3"/>
  <c r="N116" i="3" s="1"/>
  <c r="P116" i="3" s="1"/>
  <c r="L117" i="3"/>
  <c r="N117" i="3" s="1"/>
  <c r="P117" i="3" s="1"/>
  <c r="L118" i="3"/>
  <c r="N118" i="3" s="1"/>
  <c r="P118" i="3" s="1"/>
  <c r="L119" i="3"/>
  <c r="N119" i="3" s="1"/>
  <c r="P119" i="3" s="1"/>
  <c r="L120" i="3"/>
  <c r="N120" i="3" s="1"/>
  <c r="P120" i="3" s="1"/>
  <c r="L121" i="3"/>
  <c r="N121" i="3" s="1"/>
  <c r="P121" i="3" s="1"/>
  <c r="L122" i="3"/>
  <c r="N122" i="3" s="1"/>
  <c r="P122" i="3" s="1"/>
  <c r="L123" i="3"/>
  <c r="N123" i="3" s="1"/>
  <c r="P123" i="3" s="1"/>
  <c r="L124" i="3"/>
  <c r="N124" i="3" s="1"/>
  <c r="P124" i="3" s="1"/>
  <c r="L125" i="3"/>
  <c r="N125" i="3" s="1"/>
  <c r="P125" i="3" s="1"/>
  <c r="L126" i="3"/>
  <c r="N126" i="3" s="1"/>
  <c r="P126" i="3" s="1"/>
  <c r="L127" i="3"/>
  <c r="N127" i="3" s="1"/>
  <c r="P127" i="3" s="1"/>
  <c r="L128" i="3"/>
  <c r="N128" i="3" s="1"/>
  <c r="P128" i="3" s="1"/>
  <c r="L129" i="3"/>
  <c r="N129" i="3" s="1"/>
  <c r="P129" i="3" s="1"/>
  <c r="L130" i="3"/>
  <c r="N130" i="3" s="1"/>
  <c r="P130" i="3" s="1"/>
  <c r="L131" i="3"/>
  <c r="N131" i="3" s="1"/>
  <c r="P131" i="3" s="1"/>
  <c r="L132" i="3"/>
  <c r="N132" i="3" s="1"/>
  <c r="P132" i="3" s="1"/>
  <c r="L133" i="3"/>
  <c r="N133" i="3" s="1"/>
  <c r="P133" i="3" s="1"/>
  <c r="L134" i="3"/>
  <c r="N134" i="3" s="1"/>
  <c r="P134" i="3" s="1"/>
  <c r="L135" i="3"/>
  <c r="N135" i="3" s="1"/>
  <c r="P135" i="3" s="1"/>
  <c r="L136" i="3"/>
  <c r="N136" i="3" s="1"/>
  <c r="P136" i="3" s="1"/>
  <c r="L137" i="3"/>
  <c r="N137" i="3" s="1"/>
  <c r="P137" i="3" s="1"/>
  <c r="L138" i="3"/>
  <c r="N138" i="3" s="1"/>
  <c r="P138" i="3" s="1"/>
  <c r="L139" i="3"/>
  <c r="N139" i="3" s="1"/>
  <c r="P139" i="3" s="1"/>
  <c r="L140" i="3"/>
  <c r="N140" i="3" s="1"/>
  <c r="P140" i="3" s="1"/>
  <c r="L141" i="3"/>
  <c r="N141" i="3" s="1"/>
  <c r="P141" i="3" s="1"/>
  <c r="L142" i="3"/>
  <c r="N142" i="3" s="1"/>
  <c r="P142" i="3" s="1"/>
  <c r="L143" i="3"/>
  <c r="N143" i="3" s="1"/>
  <c r="P143" i="3" s="1"/>
  <c r="L144" i="3"/>
  <c r="N144" i="3" s="1"/>
  <c r="P144" i="3" s="1"/>
  <c r="L145" i="3"/>
  <c r="N145" i="3" s="1"/>
  <c r="P145" i="3" s="1"/>
  <c r="L146" i="3"/>
  <c r="N146" i="3" s="1"/>
  <c r="P146" i="3" s="1"/>
  <c r="L147" i="3"/>
  <c r="N147" i="3" s="1"/>
  <c r="P147" i="3" s="1"/>
  <c r="L148" i="3"/>
  <c r="N148" i="3" s="1"/>
  <c r="P148" i="3" s="1"/>
  <c r="L149" i="3"/>
  <c r="N149" i="3" s="1"/>
  <c r="P149" i="3" s="1"/>
  <c r="L150" i="3"/>
  <c r="N150" i="3" s="1"/>
  <c r="P150" i="3" s="1"/>
  <c r="L151" i="3"/>
  <c r="N151" i="3" s="1"/>
  <c r="P151" i="3" s="1"/>
  <c r="L152" i="3"/>
  <c r="N152" i="3" s="1"/>
  <c r="P152" i="3" s="1"/>
  <c r="L153" i="3"/>
  <c r="N153" i="3" s="1"/>
  <c r="P153" i="3" s="1"/>
  <c r="L154" i="3"/>
  <c r="N154" i="3" s="1"/>
  <c r="P154" i="3" s="1"/>
  <c r="L155" i="3"/>
  <c r="N155" i="3" s="1"/>
  <c r="P155" i="3" s="1"/>
  <c r="L156" i="3"/>
  <c r="N156" i="3" s="1"/>
  <c r="P156" i="3" s="1"/>
  <c r="L157" i="3"/>
  <c r="N157" i="3" s="1"/>
  <c r="P157" i="3" s="1"/>
  <c r="L158" i="3"/>
  <c r="N158" i="3" s="1"/>
  <c r="P158" i="3" s="1"/>
  <c r="L159" i="3"/>
  <c r="N159" i="3" s="1"/>
  <c r="P159" i="3" s="1"/>
  <c r="L160" i="3"/>
  <c r="N160" i="3" s="1"/>
  <c r="P160" i="3" s="1"/>
  <c r="L161" i="3"/>
  <c r="N161" i="3" s="1"/>
  <c r="P161" i="3" s="1"/>
  <c r="L162" i="3"/>
  <c r="N162" i="3" s="1"/>
  <c r="P162" i="3" s="1"/>
  <c r="L163" i="3"/>
  <c r="N163" i="3" s="1"/>
  <c r="P163" i="3" s="1"/>
  <c r="L164" i="3"/>
  <c r="N164" i="3" s="1"/>
  <c r="P164" i="3" s="1"/>
  <c r="L165" i="3"/>
  <c r="N165" i="3" s="1"/>
  <c r="P165" i="3" s="1"/>
  <c r="L166" i="3"/>
  <c r="N166" i="3" s="1"/>
  <c r="P166" i="3" s="1"/>
  <c r="L167" i="3"/>
  <c r="N167" i="3" s="1"/>
  <c r="P167" i="3" s="1"/>
  <c r="L168" i="3"/>
  <c r="N168" i="3" s="1"/>
  <c r="P168" i="3" s="1"/>
  <c r="L169" i="3"/>
  <c r="N169" i="3" s="1"/>
  <c r="P169" i="3" s="1"/>
  <c r="L170" i="3"/>
  <c r="N170" i="3" s="1"/>
  <c r="P170" i="3" s="1"/>
  <c r="L171" i="3"/>
  <c r="N171" i="3" s="1"/>
  <c r="P171" i="3" s="1"/>
  <c r="L172" i="3"/>
  <c r="N172" i="3" s="1"/>
  <c r="P172" i="3" s="1"/>
  <c r="L173" i="3"/>
  <c r="N173" i="3" s="1"/>
  <c r="P173" i="3" s="1"/>
  <c r="L174" i="3"/>
  <c r="N174" i="3" s="1"/>
  <c r="P174" i="3" s="1"/>
  <c r="L175" i="3"/>
  <c r="N175" i="3" s="1"/>
  <c r="P175" i="3" s="1"/>
  <c r="L176" i="3"/>
  <c r="N176" i="3" s="1"/>
  <c r="P176" i="3" s="1"/>
  <c r="L177" i="3"/>
  <c r="N177" i="3" s="1"/>
  <c r="P177" i="3" s="1"/>
  <c r="L178" i="3"/>
  <c r="N178" i="3" s="1"/>
  <c r="P178" i="3" s="1"/>
  <c r="L179" i="3"/>
  <c r="N179" i="3" s="1"/>
  <c r="P179" i="3" s="1"/>
  <c r="L180" i="3"/>
  <c r="N180" i="3" s="1"/>
  <c r="P180" i="3" s="1"/>
  <c r="L181" i="3"/>
  <c r="N181" i="3" s="1"/>
  <c r="P181" i="3" s="1"/>
  <c r="L182" i="3"/>
  <c r="N182" i="3" s="1"/>
  <c r="P182" i="3" s="1"/>
  <c r="L183" i="3"/>
  <c r="N183" i="3" s="1"/>
  <c r="P183" i="3" s="1"/>
  <c r="L184" i="3"/>
  <c r="N184" i="3" s="1"/>
  <c r="P184" i="3" s="1"/>
  <c r="L185" i="3"/>
  <c r="N185" i="3" s="1"/>
  <c r="P185" i="3" s="1"/>
  <c r="L186" i="3"/>
  <c r="N186" i="3" s="1"/>
  <c r="P186" i="3" s="1"/>
  <c r="L187" i="3"/>
  <c r="N187" i="3" s="1"/>
  <c r="P187" i="3" s="1"/>
  <c r="L188" i="3"/>
  <c r="N188" i="3" s="1"/>
  <c r="P188" i="3" s="1"/>
  <c r="L189" i="3"/>
  <c r="N189" i="3" s="1"/>
  <c r="P189" i="3" s="1"/>
  <c r="L190" i="3"/>
  <c r="N190" i="3" s="1"/>
  <c r="P190" i="3" s="1"/>
  <c r="L191" i="3"/>
  <c r="N191" i="3" s="1"/>
  <c r="P191" i="3" s="1"/>
  <c r="L192" i="3"/>
  <c r="N192" i="3" s="1"/>
  <c r="P192" i="3" s="1"/>
  <c r="L193" i="3"/>
  <c r="N193" i="3" s="1"/>
  <c r="P193" i="3" s="1"/>
  <c r="L194" i="3"/>
  <c r="N194" i="3" s="1"/>
  <c r="P194" i="3" s="1"/>
  <c r="L195" i="3"/>
  <c r="N195" i="3" s="1"/>
  <c r="P195" i="3" s="1"/>
  <c r="L196" i="3"/>
  <c r="N196" i="3" s="1"/>
  <c r="P196" i="3" s="1"/>
  <c r="L197" i="3"/>
  <c r="N197" i="3" s="1"/>
  <c r="P197" i="3" s="1"/>
  <c r="L198" i="3"/>
  <c r="N198" i="3" s="1"/>
  <c r="P198" i="3" s="1"/>
  <c r="L199" i="3"/>
  <c r="N199" i="3" s="1"/>
  <c r="P199" i="3" s="1"/>
  <c r="L200" i="3"/>
  <c r="N200" i="3" s="1"/>
  <c r="P200" i="3" s="1"/>
  <c r="L201" i="3"/>
  <c r="N201" i="3" s="1"/>
  <c r="P201" i="3" s="1"/>
  <c r="L202" i="3"/>
  <c r="N202" i="3" s="1"/>
  <c r="P202" i="3" s="1"/>
  <c r="L203" i="3"/>
  <c r="N203" i="3" s="1"/>
  <c r="P203" i="3" s="1"/>
  <c r="L204" i="3"/>
  <c r="N204" i="3" s="1"/>
  <c r="P204" i="3" s="1"/>
  <c r="L205" i="3"/>
  <c r="N205" i="3" s="1"/>
  <c r="P205" i="3" s="1"/>
  <c r="L206" i="3"/>
  <c r="N206" i="3" s="1"/>
  <c r="P206" i="3" s="1"/>
  <c r="L207" i="3"/>
  <c r="N207" i="3" s="1"/>
  <c r="P207" i="3" s="1"/>
  <c r="L208" i="3"/>
  <c r="N208" i="3" s="1"/>
  <c r="P208" i="3" s="1"/>
  <c r="L209" i="3"/>
  <c r="N209" i="3" s="1"/>
  <c r="P209" i="3" s="1"/>
  <c r="L210" i="3"/>
  <c r="N210" i="3" s="1"/>
  <c r="P210" i="3" s="1"/>
  <c r="L211" i="3"/>
  <c r="N211" i="3" s="1"/>
  <c r="P211" i="3" s="1"/>
  <c r="L212" i="3"/>
  <c r="N212" i="3" s="1"/>
  <c r="P212" i="3" s="1"/>
  <c r="L213" i="3"/>
  <c r="N213" i="3" s="1"/>
  <c r="P213" i="3" s="1"/>
  <c r="L214" i="3"/>
  <c r="N214" i="3" s="1"/>
  <c r="P214" i="3" s="1"/>
  <c r="L215" i="3"/>
  <c r="N215" i="3" s="1"/>
  <c r="P215" i="3" s="1"/>
  <c r="L216" i="3"/>
  <c r="N216" i="3" s="1"/>
  <c r="P216" i="3" s="1"/>
  <c r="L217" i="3"/>
  <c r="N217" i="3" s="1"/>
  <c r="P217" i="3" s="1"/>
  <c r="L218" i="3"/>
  <c r="N218" i="3" s="1"/>
  <c r="P218" i="3" s="1"/>
  <c r="L219" i="3"/>
  <c r="N219" i="3" s="1"/>
  <c r="P219" i="3" s="1"/>
  <c r="L220" i="3"/>
  <c r="N220" i="3" s="1"/>
  <c r="P220" i="3" s="1"/>
  <c r="L221" i="3"/>
  <c r="N221" i="3" s="1"/>
  <c r="P221" i="3" s="1"/>
  <c r="L222" i="3"/>
  <c r="N222" i="3" s="1"/>
  <c r="P222" i="3" s="1"/>
  <c r="L223" i="3"/>
  <c r="N223" i="3" s="1"/>
  <c r="P223" i="3" s="1"/>
  <c r="L224" i="3"/>
  <c r="N224" i="3" s="1"/>
  <c r="P224" i="3" s="1"/>
  <c r="L225" i="3"/>
  <c r="N225" i="3" s="1"/>
  <c r="P225" i="3" s="1"/>
  <c r="L226" i="3"/>
  <c r="N226" i="3" s="1"/>
  <c r="P226" i="3" s="1"/>
  <c r="L227" i="3"/>
  <c r="N227" i="3" s="1"/>
  <c r="P227" i="3" s="1"/>
  <c r="L228" i="3"/>
  <c r="N228" i="3" s="1"/>
  <c r="P228" i="3" s="1"/>
  <c r="L229" i="3"/>
  <c r="N229" i="3" s="1"/>
  <c r="P229" i="3" s="1"/>
  <c r="L230" i="3"/>
  <c r="N230" i="3" s="1"/>
  <c r="P230" i="3" s="1"/>
  <c r="L231" i="3"/>
  <c r="N231" i="3" s="1"/>
  <c r="P231" i="3" s="1"/>
  <c r="L232" i="3"/>
  <c r="N232" i="3" s="1"/>
  <c r="P232" i="3" s="1"/>
  <c r="L233" i="3"/>
  <c r="N233" i="3" s="1"/>
  <c r="P233" i="3" s="1"/>
  <c r="L234" i="3"/>
  <c r="N234" i="3" s="1"/>
  <c r="P234" i="3" s="1"/>
  <c r="L235" i="3"/>
  <c r="N235" i="3" s="1"/>
  <c r="P235" i="3" s="1"/>
  <c r="L236" i="3"/>
  <c r="N236" i="3" s="1"/>
  <c r="P236" i="3" s="1"/>
  <c r="L237" i="3"/>
  <c r="N237" i="3" s="1"/>
  <c r="P237" i="3" s="1"/>
  <c r="L238" i="3"/>
  <c r="N238" i="3" s="1"/>
  <c r="P238" i="3" s="1"/>
  <c r="L239" i="3"/>
  <c r="N239" i="3" s="1"/>
  <c r="P239" i="3" s="1"/>
  <c r="L240" i="3"/>
  <c r="N240" i="3" s="1"/>
  <c r="P240" i="3" s="1"/>
  <c r="L241" i="3"/>
  <c r="N241" i="3" s="1"/>
  <c r="P241" i="3" s="1"/>
  <c r="L242" i="3"/>
  <c r="N242" i="3" s="1"/>
  <c r="P242" i="3" s="1"/>
  <c r="L243" i="3"/>
  <c r="N243" i="3" s="1"/>
  <c r="P243" i="3" s="1"/>
  <c r="L244" i="3"/>
  <c r="N244" i="3" s="1"/>
  <c r="P244" i="3" s="1"/>
  <c r="L245" i="3"/>
  <c r="N245" i="3" s="1"/>
  <c r="P245" i="3" s="1"/>
  <c r="L246" i="3"/>
  <c r="N246" i="3" s="1"/>
  <c r="P246" i="3" s="1"/>
  <c r="L247" i="3"/>
  <c r="N247" i="3" s="1"/>
  <c r="P247" i="3" s="1"/>
  <c r="L248" i="3"/>
  <c r="N248" i="3" s="1"/>
  <c r="P248" i="3" s="1"/>
  <c r="L249" i="3"/>
  <c r="N249" i="3" s="1"/>
  <c r="P249" i="3" s="1"/>
  <c r="L250" i="3"/>
  <c r="N250" i="3" s="1"/>
  <c r="P250" i="3" s="1"/>
  <c r="L251" i="3"/>
  <c r="N251" i="3" s="1"/>
  <c r="P251" i="3" s="1"/>
  <c r="L252" i="3"/>
  <c r="N252" i="3" s="1"/>
  <c r="P252" i="3" s="1"/>
  <c r="L253" i="3"/>
  <c r="N253" i="3" s="1"/>
  <c r="P253" i="3" s="1"/>
  <c r="L254" i="3"/>
  <c r="N254" i="3" s="1"/>
  <c r="P254" i="3" s="1"/>
  <c r="L255" i="3"/>
  <c r="N255" i="3" s="1"/>
  <c r="P255" i="3" s="1"/>
  <c r="L256" i="3"/>
  <c r="N256" i="3" s="1"/>
  <c r="P256" i="3" s="1"/>
  <c r="L257" i="3"/>
  <c r="N257" i="3" s="1"/>
  <c r="P257" i="3" s="1"/>
  <c r="L258" i="3"/>
  <c r="N258" i="3" s="1"/>
  <c r="P258" i="3" s="1"/>
  <c r="L259" i="3"/>
  <c r="N259" i="3" s="1"/>
  <c r="P259" i="3" s="1"/>
  <c r="L260" i="3"/>
  <c r="N260" i="3" s="1"/>
  <c r="P260" i="3" s="1"/>
  <c r="L261" i="3"/>
  <c r="N261" i="3" s="1"/>
  <c r="P261" i="3" s="1"/>
  <c r="L262" i="3"/>
  <c r="N262" i="3" s="1"/>
  <c r="P262" i="3" s="1"/>
  <c r="L263" i="3"/>
  <c r="N263" i="3" s="1"/>
  <c r="P263" i="3" s="1"/>
  <c r="L264" i="3"/>
  <c r="N264" i="3" s="1"/>
  <c r="P264" i="3" s="1"/>
  <c r="L265" i="3"/>
  <c r="N265" i="3" s="1"/>
  <c r="P265" i="3" s="1"/>
  <c r="L266" i="3"/>
  <c r="N266" i="3" s="1"/>
  <c r="P266" i="3" s="1"/>
  <c r="L267" i="3"/>
  <c r="N267" i="3" s="1"/>
  <c r="P267" i="3" s="1"/>
  <c r="L268" i="3"/>
  <c r="N268" i="3" s="1"/>
  <c r="P268" i="3" s="1"/>
  <c r="L269" i="3"/>
  <c r="N269" i="3" s="1"/>
  <c r="P269" i="3" s="1"/>
  <c r="L270" i="3"/>
  <c r="N270" i="3" s="1"/>
  <c r="P270" i="3" s="1"/>
  <c r="L271" i="3"/>
  <c r="N271" i="3" s="1"/>
  <c r="P271" i="3" s="1"/>
  <c r="L272" i="3"/>
  <c r="N272" i="3" s="1"/>
  <c r="P272" i="3" s="1"/>
  <c r="L273" i="3"/>
  <c r="N273" i="3" s="1"/>
  <c r="P273" i="3" s="1"/>
  <c r="L274" i="3"/>
  <c r="N274" i="3" s="1"/>
  <c r="P274" i="3" s="1"/>
  <c r="L275" i="3"/>
  <c r="N275" i="3" s="1"/>
  <c r="P275" i="3" s="1"/>
  <c r="L276" i="3"/>
  <c r="N276" i="3" s="1"/>
  <c r="P276" i="3" s="1"/>
  <c r="L277" i="3"/>
  <c r="N277" i="3" s="1"/>
  <c r="P277" i="3" s="1"/>
  <c r="L278" i="3"/>
  <c r="N278" i="3" s="1"/>
  <c r="P278" i="3" s="1"/>
  <c r="L279" i="3"/>
  <c r="N279" i="3" s="1"/>
  <c r="P279" i="3" s="1"/>
  <c r="L280" i="3"/>
  <c r="N280" i="3" s="1"/>
  <c r="P280" i="3" s="1"/>
  <c r="L281" i="3"/>
  <c r="N281" i="3" s="1"/>
  <c r="P281" i="3" s="1"/>
  <c r="L282" i="3"/>
  <c r="N282" i="3" s="1"/>
  <c r="P282" i="3" s="1"/>
  <c r="L283" i="3"/>
  <c r="N283" i="3" s="1"/>
  <c r="P283" i="3" s="1"/>
  <c r="L284" i="3"/>
  <c r="N284" i="3" s="1"/>
  <c r="P284" i="3" s="1"/>
  <c r="L285" i="3"/>
  <c r="N285" i="3" s="1"/>
  <c r="P285" i="3" s="1"/>
  <c r="L286" i="3"/>
  <c r="N286" i="3" s="1"/>
  <c r="P286" i="3" s="1"/>
  <c r="L287" i="3"/>
  <c r="N287" i="3" s="1"/>
  <c r="P287" i="3" s="1"/>
  <c r="L288" i="3"/>
  <c r="N288" i="3" s="1"/>
  <c r="P288" i="3" s="1"/>
  <c r="L289" i="3"/>
  <c r="N289" i="3" s="1"/>
  <c r="P289" i="3" s="1"/>
  <c r="L290" i="3"/>
  <c r="N290" i="3" s="1"/>
  <c r="P290" i="3" s="1"/>
  <c r="L291" i="3"/>
  <c r="N291" i="3" s="1"/>
  <c r="P291" i="3" s="1"/>
  <c r="L292" i="3"/>
  <c r="N292" i="3" s="1"/>
  <c r="P292" i="3" s="1"/>
  <c r="L293" i="3"/>
  <c r="N293" i="3" s="1"/>
  <c r="P293" i="3" s="1"/>
  <c r="L294" i="3"/>
  <c r="N294" i="3" s="1"/>
  <c r="P294" i="3" s="1"/>
  <c r="L295" i="3"/>
  <c r="N295" i="3" s="1"/>
  <c r="P295" i="3" s="1"/>
  <c r="L296" i="3"/>
  <c r="N296" i="3" s="1"/>
  <c r="P296" i="3" s="1"/>
  <c r="L297" i="3"/>
  <c r="N297" i="3" s="1"/>
  <c r="P297" i="3" s="1"/>
  <c r="L298" i="3"/>
  <c r="N298" i="3" s="1"/>
  <c r="P298" i="3" s="1"/>
  <c r="L299" i="3"/>
  <c r="N299" i="3" s="1"/>
  <c r="P299" i="3" s="1"/>
  <c r="L300" i="3"/>
  <c r="N300" i="3" s="1"/>
  <c r="P300" i="3" s="1"/>
  <c r="L301" i="3"/>
  <c r="N301" i="3" s="1"/>
  <c r="P301" i="3" s="1"/>
  <c r="L302" i="3"/>
  <c r="N302" i="3" s="1"/>
  <c r="P302" i="3" s="1"/>
  <c r="L303" i="3"/>
  <c r="N303" i="3" s="1"/>
  <c r="P303" i="3" s="1"/>
  <c r="L304" i="3"/>
  <c r="N304" i="3" s="1"/>
  <c r="P304" i="3" s="1"/>
  <c r="L305" i="3"/>
  <c r="N305" i="3" s="1"/>
  <c r="P305" i="3" s="1"/>
  <c r="L306" i="3"/>
  <c r="N306" i="3" s="1"/>
  <c r="P306" i="3" s="1"/>
  <c r="L307" i="3"/>
  <c r="N307" i="3" s="1"/>
  <c r="P307" i="3" s="1"/>
  <c r="L308" i="3"/>
  <c r="N308" i="3" s="1"/>
  <c r="P308" i="3" s="1"/>
  <c r="L309" i="3"/>
  <c r="N309" i="3" s="1"/>
  <c r="P309" i="3" s="1"/>
  <c r="L310" i="3"/>
  <c r="N310" i="3" s="1"/>
  <c r="P310" i="3" s="1"/>
  <c r="L311" i="3"/>
  <c r="N311" i="3" s="1"/>
  <c r="P311" i="3" s="1"/>
  <c r="L312" i="3"/>
  <c r="N312" i="3" s="1"/>
  <c r="P312" i="3" s="1"/>
  <c r="L313" i="3"/>
  <c r="N313" i="3" s="1"/>
  <c r="P313" i="3" s="1"/>
  <c r="L314" i="3"/>
  <c r="N314" i="3" s="1"/>
  <c r="P314" i="3" s="1"/>
  <c r="L315" i="3"/>
  <c r="N315" i="3" s="1"/>
  <c r="P315" i="3" s="1"/>
  <c r="L316" i="3"/>
  <c r="N316" i="3" s="1"/>
  <c r="P316" i="3" s="1"/>
  <c r="L317" i="3"/>
  <c r="N317" i="3" s="1"/>
  <c r="P317" i="3" s="1"/>
  <c r="L318" i="3"/>
  <c r="N318" i="3" s="1"/>
  <c r="P318" i="3" s="1"/>
  <c r="L319" i="3"/>
  <c r="N319" i="3" s="1"/>
  <c r="P319" i="3" s="1"/>
  <c r="L320" i="3"/>
  <c r="N320" i="3" s="1"/>
  <c r="P320" i="3" s="1"/>
  <c r="L321" i="3"/>
  <c r="N321" i="3" s="1"/>
  <c r="P321" i="3" s="1"/>
  <c r="L322" i="3"/>
  <c r="N322" i="3" s="1"/>
  <c r="P322" i="3" s="1"/>
  <c r="L323" i="3"/>
  <c r="N323" i="3" s="1"/>
  <c r="P323" i="3" s="1"/>
  <c r="L324" i="3"/>
  <c r="N324" i="3" s="1"/>
  <c r="P324" i="3" s="1"/>
  <c r="L325" i="3"/>
  <c r="N325" i="3" s="1"/>
  <c r="P325" i="3" s="1"/>
  <c r="L326" i="3"/>
  <c r="N326" i="3" s="1"/>
  <c r="P326" i="3" s="1"/>
  <c r="L327" i="3"/>
  <c r="N327" i="3" s="1"/>
  <c r="P327" i="3" s="1"/>
  <c r="L328" i="3"/>
  <c r="N328" i="3" s="1"/>
  <c r="P328" i="3" s="1"/>
  <c r="L329" i="3"/>
  <c r="N329" i="3" s="1"/>
  <c r="P329" i="3" s="1"/>
  <c r="L330" i="3"/>
  <c r="N330" i="3" s="1"/>
  <c r="P330" i="3" s="1"/>
  <c r="L331" i="3"/>
  <c r="N331" i="3" s="1"/>
  <c r="P331" i="3" s="1"/>
  <c r="L332" i="3"/>
  <c r="N332" i="3" s="1"/>
  <c r="P332" i="3" s="1"/>
  <c r="L333" i="3"/>
  <c r="N333" i="3" s="1"/>
  <c r="P333" i="3" s="1"/>
  <c r="L334" i="3"/>
  <c r="N334" i="3" s="1"/>
  <c r="P334" i="3" s="1"/>
  <c r="L335" i="3"/>
  <c r="N335" i="3" s="1"/>
  <c r="P335" i="3" s="1"/>
  <c r="L336" i="3"/>
  <c r="N336" i="3" s="1"/>
  <c r="P336" i="3" s="1"/>
  <c r="L337" i="3"/>
  <c r="N337" i="3" s="1"/>
  <c r="P337" i="3" s="1"/>
  <c r="L338" i="3"/>
  <c r="N338" i="3" s="1"/>
  <c r="P338" i="3" s="1"/>
  <c r="L339" i="3"/>
  <c r="N339" i="3" s="1"/>
  <c r="P339" i="3" s="1"/>
  <c r="L340" i="3"/>
  <c r="N340" i="3" s="1"/>
  <c r="P340" i="3" s="1"/>
  <c r="L341" i="3"/>
  <c r="N341" i="3" s="1"/>
  <c r="P341" i="3" s="1"/>
  <c r="L342" i="3"/>
  <c r="N342" i="3" s="1"/>
  <c r="P342" i="3" s="1"/>
  <c r="L343" i="3"/>
  <c r="N343" i="3" s="1"/>
  <c r="P343" i="3" s="1"/>
  <c r="L344" i="3"/>
  <c r="N344" i="3" s="1"/>
  <c r="P344" i="3" s="1"/>
  <c r="L345" i="3"/>
  <c r="N345" i="3" s="1"/>
  <c r="P345" i="3" s="1"/>
  <c r="L346" i="3"/>
  <c r="N346" i="3" s="1"/>
  <c r="P346" i="3" s="1"/>
  <c r="L347" i="3"/>
  <c r="N347" i="3" s="1"/>
  <c r="P347" i="3" s="1"/>
  <c r="L348" i="3"/>
  <c r="N348" i="3" s="1"/>
  <c r="P348" i="3" s="1"/>
  <c r="L349" i="3"/>
  <c r="N349" i="3" s="1"/>
  <c r="P349" i="3" s="1"/>
  <c r="L350" i="3"/>
  <c r="N350" i="3" s="1"/>
  <c r="P350" i="3" s="1"/>
  <c r="L351" i="3"/>
  <c r="N351" i="3" s="1"/>
  <c r="P351" i="3" s="1"/>
  <c r="L352" i="3"/>
  <c r="N352" i="3" s="1"/>
  <c r="P352" i="3" s="1"/>
  <c r="L353" i="3"/>
  <c r="N353" i="3" s="1"/>
  <c r="P353" i="3" s="1"/>
  <c r="L354" i="3"/>
  <c r="N354" i="3" s="1"/>
  <c r="P354" i="3" s="1"/>
  <c r="L355" i="3"/>
  <c r="N355" i="3" s="1"/>
  <c r="P355" i="3" s="1"/>
  <c r="L356" i="3"/>
  <c r="N356" i="3" s="1"/>
  <c r="P356" i="3" s="1"/>
  <c r="L357" i="3"/>
  <c r="N357" i="3" s="1"/>
  <c r="P357" i="3" s="1"/>
  <c r="L358" i="3"/>
  <c r="N358" i="3" s="1"/>
  <c r="P358" i="3" s="1"/>
  <c r="L359" i="3"/>
  <c r="N359" i="3" s="1"/>
  <c r="P359" i="3" s="1"/>
  <c r="L360" i="3"/>
  <c r="N360" i="3" s="1"/>
  <c r="P360" i="3" s="1"/>
  <c r="L361" i="3"/>
  <c r="N361" i="3" s="1"/>
  <c r="P361" i="3" s="1"/>
  <c r="L362" i="3"/>
  <c r="N362" i="3" s="1"/>
  <c r="P362" i="3" s="1"/>
  <c r="L363" i="3"/>
  <c r="N363" i="3" s="1"/>
  <c r="P363" i="3" s="1"/>
  <c r="L364" i="3"/>
  <c r="N364" i="3" s="1"/>
  <c r="P364" i="3" s="1"/>
  <c r="L365" i="3"/>
  <c r="N365" i="3" s="1"/>
  <c r="P365" i="3" s="1"/>
  <c r="L366" i="3"/>
  <c r="N366" i="3" s="1"/>
  <c r="P366" i="3" s="1"/>
  <c r="L367" i="3"/>
  <c r="N367" i="3" s="1"/>
  <c r="P367" i="3" s="1"/>
  <c r="L368" i="3"/>
  <c r="N368" i="3" s="1"/>
  <c r="P368" i="3" s="1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I2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D2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C3" i="3"/>
  <c r="C2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A2" i="3"/>
  <c r="A4" i="3"/>
  <c r="A3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B3" i="3"/>
  <c r="B2" i="3"/>
  <c r="G3" i="1"/>
  <c r="B3" i="1"/>
  <c r="F4" i="1"/>
  <c r="F5" i="1"/>
  <c r="F6" i="1"/>
  <c r="F7" i="1"/>
  <c r="F8" i="1"/>
  <c r="F3" i="1"/>
  <c r="F11" i="3"/>
  <c r="F12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G11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203" i="3"/>
  <c r="G203" i="3"/>
  <c r="F204" i="3"/>
  <c r="G204" i="3"/>
  <c r="F205" i="3"/>
  <c r="G205" i="3"/>
  <c r="F206" i="3"/>
  <c r="G206" i="3"/>
  <c r="F207" i="3"/>
  <c r="G207" i="3"/>
  <c r="F208" i="3"/>
  <c r="G208" i="3"/>
  <c r="F209" i="3"/>
  <c r="G209" i="3"/>
  <c r="F210" i="3"/>
  <c r="G210" i="3"/>
  <c r="F211" i="3"/>
  <c r="G211" i="3"/>
  <c r="F212" i="3"/>
  <c r="G212" i="3"/>
  <c r="F213" i="3"/>
  <c r="G213" i="3"/>
  <c r="F214" i="3"/>
  <c r="G214" i="3"/>
  <c r="F215" i="3"/>
  <c r="G215" i="3"/>
  <c r="F216" i="3"/>
  <c r="G216" i="3"/>
  <c r="F217" i="3"/>
  <c r="G217" i="3"/>
  <c r="F218" i="3"/>
  <c r="G218" i="3"/>
  <c r="F219" i="3"/>
  <c r="G219" i="3"/>
  <c r="F220" i="3"/>
  <c r="G220" i="3"/>
  <c r="F221" i="3"/>
  <c r="G221" i="3"/>
  <c r="F222" i="3"/>
  <c r="G222" i="3"/>
  <c r="F223" i="3"/>
  <c r="G223" i="3"/>
  <c r="F224" i="3"/>
  <c r="G224" i="3"/>
  <c r="F225" i="3"/>
  <c r="G225" i="3"/>
  <c r="F226" i="3"/>
  <c r="G226" i="3"/>
  <c r="F227" i="3"/>
  <c r="G227" i="3"/>
  <c r="F228" i="3"/>
  <c r="G228" i="3"/>
  <c r="F229" i="3"/>
  <c r="G229" i="3"/>
  <c r="F230" i="3"/>
  <c r="G230" i="3"/>
  <c r="F231" i="3"/>
  <c r="G231" i="3"/>
  <c r="F232" i="3"/>
  <c r="G232" i="3"/>
  <c r="F233" i="3"/>
  <c r="G233" i="3"/>
  <c r="F234" i="3"/>
  <c r="G234" i="3"/>
  <c r="F235" i="3"/>
  <c r="G235" i="3"/>
  <c r="F236" i="3"/>
  <c r="G236" i="3"/>
  <c r="F237" i="3"/>
  <c r="G237" i="3"/>
  <c r="F238" i="3"/>
  <c r="G238" i="3"/>
  <c r="F239" i="3"/>
  <c r="G239" i="3"/>
  <c r="F240" i="3"/>
  <c r="G240" i="3"/>
  <c r="F241" i="3"/>
  <c r="G241" i="3"/>
  <c r="F242" i="3"/>
  <c r="G242" i="3"/>
  <c r="F243" i="3"/>
  <c r="G243" i="3"/>
  <c r="F244" i="3"/>
  <c r="G244" i="3"/>
  <c r="F245" i="3"/>
  <c r="G245" i="3"/>
  <c r="F246" i="3"/>
  <c r="G246" i="3"/>
  <c r="F247" i="3"/>
  <c r="G247" i="3"/>
  <c r="F248" i="3"/>
  <c r="G248" i="3"/>
  <c r="F249" i="3"/>
  <c r="G249" i="3"/>
  <c r="F250" i="3"/>
  <c r="G250" i="3"/>
  <c r="F251" i="3"/>
  <c r="G251" i="3"/>
  <c r="F252" i="3"/>
  <c r="G252" i="3"/>
  <c r="F253" i="3"/>
  <c r="G253" i="3"/>
  <c r="F254" i="3"/>
  <c r="G254" i="3"/>
  <c r="F255" i="3"/>
  <c r="G255" i="3"/>
  <c r="F256" i="3"/>
  <c r="G256" i="3"/>
  <c r="F257" i="3"/>
  <c r="G257" i="3"/>
  <c r="F258" i="3"/>
  <c r="G258" i="3"/>
  <c r="F259" i="3"/>
  <c r="G259" i="3"/>
  <c r="F260" i="3"/>
  <c r="G260" i="3"/>
  <c r="F261" i="3"/>
  <c r="G261" i="3"/>
  <c r="F262" i="3"/>
  <c r="G262" i="3"/>
  <c r="F263" i="3"/>
  <c r="G263" i="3"/>
  <c r="F264" i="3"/>
  <c r="G264" i="3"/>
  <c r="F265" i="3"/>
  <c r="G265" i="3"/>
  <c r="F266" i="3"/>
  <c r="G266" i="3"/>
  <c r="F267" i="3"/>
  <c r="G267" i="3"/>
  <c r="F268" i="3"/>
  <c r="G268" i="3"/>
  <c r="F269" i="3"/>
  <c r="G269" i="3"/>
  <c r="F270" i="3"/>
  <c r="G270" i="3"/>
  <c r="F271" i="3"/>
  <c r="G271" i="3"/>
  <c r="F272" i="3"/>
  <c r="G272" i="3"/>
  <c r="F273" i="3"/>
  <c r="G273" i="3"/>
  <c r="F274" i="3"/>
  <c r="G274" i="3"/>
  <c r="F275" i="3"/>
  <c r="G275" i="3"/>
  <c r="F276" i="3"/>
  <c r="G276" i="3"/>
  <c r="F277" i="3"/>
  <c r="G277" i="3"/>
  <c r="F278" i="3"/>
  <c r="G278" i="3"/>
  <c r="F279" i="3"/>
  <c r="G279" i="3"/>
  <c r="F280" i="3"/>
  <c r="G280" i="3"/>
  <c r="F281" i="3"/>
  <c r="G281" i="3"/>
  <c r="F282" i="3"/>
  <c r="G282" i="3"/>
  <c r="F283" i="3"/>
  <c r="G283" i="3"/>
  <c r="F284" i="3"/>
  <c r="G284" i="3"/>
  <c r="F285" i="3"/>
  <c r="G285" i="3"/>
  <c r="F286" i="3"/>
  <c r="G286" i="3"/>
  <c r="F287" i="3"/>
  <c r="G287" i="3"/>
  <c r="F288" i="3"/>
  <c r="G288" i="3"/>
  <c r="F289" i="3"/>
  <c r="G289" i="3"/>
  <c r="F290" i="3"/>
  <c r="G290" i="3"/>
  <c r="F291" i="3"/>
  <c r="G291" i="3"/>
  <c r="F292" i="3"/>
  <c r="G292" i="3"/>
  <c r="F293" i="3"/>
  <c r="G293" i="3"/>
  <c r="F294" i="3"/>
  <c r="G294" i="3"/>
  <c r="F295" i="3"/>
  <c r="G295" i="3"/>
  <c r="F296" i="3"/>
  <c r="G296" i="3"/>
  <c r="F297" i="3"/>
  <c r="G297" i="3"/>
  <c r="F298" i="3"/>
  <c r="G298" i="3"/>
  <c r="F299" i="3"/>
  <c r="G299" i="3"/>
  <c r="F300" i="3"/>
  <c r="G300" i="3"/>
  <c r="F301" i="3"/>
  <c r="G301" i="3"/>
  <c r="F302" i="3"/>
  <c r="G302" i="3"/>
  <c r="F303" i="3"/>
  <c r="G303" i="3"/>
  <c r="F304" i="3"/>
  <c r="G304" i="3"/>
  <c r="F305" i="3"/>
  <c r="G305" i="3"/>
  <c r="F306" i="3"/>
  <c r="G306" i="3"/>
  <c r="F307" i="3"/>
  <c r="G307" i="3"/>
  <c r="F308" i="3"/>
  <c r="G308" i="3"/>
  <c r="F309" i="3"/>
  <c r="G309" i="3"/>
  <c r="F310" i="3"/>
  <c r="G310" i="3"/>
  <c r="F311" i="3"/>
  <c r="G311" i="3"/>
  <c r="F312" i="3"/>
  <c r="G312" i="3"/>
  <c r="F313" i="3"/>
  <c r="G313" i="3"/>
  <c r="F314" i="3"/>
  <c r="G314" i="3"/>
  <c r="F315" i="3"/>
  <c r="G315" i="3"/>
  <c r="F316" i="3"/>
  <c r="G316" i="3"/>
  <c r="F317" i="3"/>
  <c r="G317" i="3"/>
  <c r="F318" i="3"/>
  <c r="G318" i="3"/>
  <c r="F319" i="3"/>
  <c r="G319" i="3"/>
  <c r="F320" i="3"/>
  <c r="G320" i="3"/>
  <c r="F321" i="3"/>
  <c r="G321" i="3"/>
  <c r="F322" i="3"/>
  <c r="G322" i="3"/>
  <c r="F323" i="3"/>
  <c r="G323" i="3"/>
  <c r="F324" i="3"/>
  <c r="G324" i="3"/>
  <c r="F325" i="3"/>
  <c r="G325" i="3"/>
  <c r="F326" i="3"/>
  <c r="G326" i="3"/>
  <c r="F327" i="3"/>
  <c r="G327" i="3"/>
  <c r="F328" i="3"/>
  <c r="G328" i="3"/>
  <c r="F329" i="3"/>
  <c r="G329" i="3"/>
  <c r="F330" i="3"/>
  <c r="G330" i="3"/>
  <c r="F331" i="3"/>
  <c r="G331" i="3"/>
  <c r="F332" i="3"/>
  <c r="G332" i="3"/>
  <c r="F333" i="3"/>
  <c r="G333" i="3"/>
  <c r="F334" i="3"/>
  <c r="G334" i="3"/>
  <c r="F335" i="3"/>
  <c r="G335" i="3"/>
  <c r="F336" i="3"/>
  <c r="G336" i="3"/>
  <c r="F337" i="3"/>
  <c r="G337" i="3"/>
  <c r="F338" i="3"/>
  <c r="G338" i="3"/>
  <c r="F339" i="3"/>
  <c r="G339" i="3"/>
  <c r="F340" i="3"/>
  <c r="G340" i="3"/>
  <c r="F341" i="3"/>
  <c r="G341" i="3"/>
  <c r="F342" i="3"/>
  <c r="G342" i="3"/>
  <c r="F343" i="3"/>
  <c r="G343" i="3"/>
  <c r="F344" i="3"/>
  <c r="G344" i="3"/>
  <c r="F345" i="3"/>
  <c r="G345" i="3"/>
  <c r="F346" i="3"/>
  <c r="G346" i="3"/>
  <c r="F347" i="3"/>
  <c r="G347" i="3"/>
  <c r="F348" i="3"/>
  <c r="G348" i="3"/>
  <c r="F349" i="3"/>
  <c r="G349" i="3"/>
  <c r="F350" i="3"/>
  <c r="G350" i="3"/>
  <c r="F351" i="3"/>
  <c r="G351" i="3"/>
  <c r="F352" i="3"/>
  <c r="G352" i="3"/>
  <c r="F353" i="3"/>
  <c r="G353" i="3"/>
  <c r="F354" i="3"/>
  <c r="G354" i="3"/>
  <c r="F355" i="3"/>
  <c r="G355" i="3"/>
  <c r="F356" i="3"/>
  <c r="G356" i="3"/>
  <c r="F357" i="3"/>
  <c r="G357" i="3"/>
  <c r="F358" i="3"/>
  <c r="G358" i="3"/>
  <c r="F359" i="3"/>
  <c r="G359" i="3"/>
  <c r="F360" i="3"/>
  <c r="G360" i="3"/>
  <c r="F361" i="3"/>
  <c r="G361" i="3"/>
  <c r="F362" i="3"/>
  <c r="G362" i="3"/>
  <c r="F363" i="3"/>
  <c r="G363" i="3"/>
  <c r="F364" i="3"/>
  <c r="G364" i="3"/>
  <c r="F365" i="3"/>
  <c r="G365" i="3"/>
  <c r="F366" i="3"/>
  <c r="G366" i="3"/>
  <c r="F367" i="3"/>
  <c r="G367" i="3"/>
  <c r="F368" i="3"/>
  <c r="G368" i="3"/>
  <c r="F2" i="3"/>
  <c r="G2" i="3"/>
  <c r="I3" i="1"/>
  <c r="E8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V3" i="1"/>
  <c r="Y3" i="1" s="1"/>
  <c r="AA3" i="1" s="1"/>
  <c r="I20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H3" i="1"/>
  <c r="H30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V8" i="1"/>
  <c r="Y8" i="1" s="1"/>
  <c r="AA8" i="1" s="1"/>
  <c r="E24" i="1"/>
  <c r="E339" i="1"/>
  <c r="E313" i="1"/>
  <c r="E310" i="1"/>
  <c r="E289" i="1"/>
  <c r="E254" i="1"/>
  <c r="E204" i="1"/>
  <c r="E187" i="1"/>
  <c r="E164" i="1"/>
  <c r="E139" i="1"/>
  <c r="E86" i="1"/>
  <c r="E74" i="1"/>
  <c r="E56" i="1"/>
  <c r="E29" i="1"/>
  <c r="Q29" i="1"/>
  <c r="Q339" i="1"/>
  <c r="Q313" i="1"/>
  <c r="Q310" i="1"/>
  <c r="Q289" i="1"/>
  <c r="Q254" i="1"/>
  <c r="Q204" i="1"/>
  <c r="Q187" i="1"/>
  <c r="Q164" i="1"/>
  <c r="Q139" i="1"/>
  <c r="Q86" i="1"/>
  <c r="Q74" i="1"/>
  <c r="Q56" i="1"/>
  <c r="Q24" i="1"/>
  <c r="Q8" i="1"/>
  <c r="C3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19" i="1"/>
  <c r="C20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D3" i="1"/>
  <c r="B4" i="1"/>
  <c r="B6" i="1"/>
  <c r="N3" i="1"/>
  <c r="A3" i="1" s="1"/>
  <c r="N5" i="1"/>
  <c r="A5" i="1" s="1"/>
  <c r="N7" i="1"/>
  <c r="A7" i="1" s="1"/>
  <c r="B5" i="1"/>
  <c r="B340" i="1"/>
  <c r="B341" i="1"/>
  <c r="B343" i="1"/>
  <c r="N343" i="1"/>
  <c r="A343" i="1" s="1"/>
  <c r="N367" i="1"/>
  <c r="N368" i="1"/>
  <c r="N370" i="1"/>
  <c r="A370" i="1" s="1"/>
  <c r="N118" i="1"/>
  <c r="N122" i="1"/>
  <c r="A122" i="1" s="1"/>
  <c r="N73" i="1"/>
  <c r="N54" i="1"/>
  <c r="N47" i="1"/>
  <c r="A47" i="1" s="1"/>
  <c r="N29" i="1"/>
  <c r="A29" i="1" s="1"/>
  <c r="N15" i="1"/>
  <c r="D11" i="1"/>
  <c r="B8" i="1"/>
  <c r="N14" i="1"/>
  <c r="N13" i="1"/>
  <c r="A13" i="1" s="1"/>
  <c r="N12" i="1"/>
  <c r="A12" i="1" s="1"/>
  <c r="N11" i="1"/>
  <c r="N10" i="1"/>
  <c r="A10" i="1" s="1"/>
  <c r="N6" i="1"/>
  <c r="A6" i="1" s="1"/>
  <c r="A41" i="1"/>
  <c r="A68" i="1"/>
  <c r="A69" i="1"/>
  <c r="A91" i="1"/>
  <c r="A139" i="1"/>
  <c r="A201" i="1"/>
  <c r="A217" i="1"/>
  <c r="A222" i="1"/>
  <c r="A279" i="1"/>
  <c r="A286" i="1"/>
  <c r="A316" i="1"/>
  <c r="A326" i="1"/>
  <c r="A333" i="1"/>
  <c r="B14" i="1"/>
  <c r="B368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2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9" i="1"/>
  <c r="B370" i="1"/>
  <c r="B225" i="1"/>
  <c r="B7" i="1"/>
  <c r="B9" i="1"/>
  <c r="B10" i="1"/>
  <c r="B11" i="1"/>
  <c r="B12" i="1"/>
  <c r="B13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D4" i="1"/>
  <c r="D5" i="1"/>
  <c r="D6" i="1"/>
  <c r="D7" i="1"/>
  <c r="D8" i="1"/>
  <c r="D9" i="1"/>
  <c r="D10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V6" i="1"/>
  <c r="Y6" i="1" s="1"/>
  <c r="AA6" i="1" s="1"/>
  <c r="N4" i="1"/>
  <c r="A4" i="1" s="1"/>
  <c r="N8" i="1"/>
  <c r="A8" i="1" s="1"/>
  <c r="N9" i="1"/>
  <c r="A9" i="1" s="1"/>
  <c r="A11" i="1"/>
  <c r="A14" i="1"/>
  <c r="A15" i="1"/>
  <c r="N16" i="1"/>
  <c r="A16" i="1" s="1"/>
  <c r="N17" i="1"/>
  <c r="A17" i="1" s="1"/>
  <c r="N18" i="1"/>
  <c r="A18" i="1" s="1"/>
  <c r="N19" i="1"/>
  <c r="A19" i="1" s="1"/>
  <c r="N20" i="1"/>
  <c r="A20" i="1" s="1"/>
  <c r="N21" i="1"/>
  <c r="A21" i="1" s="1"/>
  <c r="N22" i="1"/>
  <c r="A22" i="1" s="1"/>
  <c r="N23" i="1"/>
  <c r="A23" i="1" s="1"/>
  <c r="N24" i="1"/>
  <c r="A24" i="1" s="1"/>
  <c r="N25" i="1"/>
  <c r="A25" i="1" s="1"/>
  <c r="N26" i="1"/>
  <c r="A26" i="1" s="1"/>
  <c r="N27" i="1"/>
  <c r="A27" i="1" s="1"/>
  <c r="N28" i="1"/>
  <c r="A28" i="1" s="1"/>
  <c r="N30" i="1"/>
  <c r="A30" i="1" s="1"/>
  <c r="N31" i="1"/>
  <c r="A31" i="1" s="1"/>
  <c r="N32" i="1"/>
  <c r="A32" i="1" s="1"/>
  <c r="N33" i="1"/>
  <c r="A33" i="1" s="1"/>
  <c r="N34" i="1"/>
  <c r="A34" i="1" s="1"/>
  <c r="N35" i="1"/>
  <c r="A35" i="1" s="1"/>
  <c r="N36" i="1"/>
  <c r="A36" i="1" s="1"/>
  <c r="N37" i="1"/>
  <c r="A37" i="1" s="1"/>
  <c r="N38" i="1"/>
  <c r="A38" i="1" s="1"/>
  <c r="N39" i="1"/>
  <c r="A39" i="1" s="1"/>
  <c r="N40" i="1"/>
  <c r="A40" i="1" s="1"/>
  <c r="N42" i="1"/>
  <c r="A42" i="1" s="1"/>
  <c r="N43" i="1"/>
  <c r="A43" i="1" s="1"/>
  <c r="N44" i="1"/>
  <c r="A44" i="1" s="1"/>
  <c r="N45" i="1"/>
  <c r="A45" i="1" s="1"/>
  <c r="N46" i="1"/>
  <c r="A46" i="1" s="1"/>
  <c r="N48" i="1"/>
  <c r="A48" i="1" s="1"/>
  <c r="N49" i="1"/>
  <c r="A49" i="1" s="1"/>
  <c r="N50" i="1"/>
  <c r="A50" i="1" s="1"/>
  <c r="N51" i="1"/>
  <c r="A51" i="1" s="1"/>
  <c r="N52" i="1"/>
  <c r="A52" i="1" s="1"/>
  <c r="N53" i="1"/>
  <c r="A53" i="1" s="1"/>
  <c r="A54" i="1"/>
  <c r="N55" i="1"/>
  <c r="A55" i="1" s="1"/>
  <c r="N56" i="1"/>
  <c r="A56" i="1" s="1"/>
  <c r="N57" i="1"/>
  <c r="A57" i="1" s="1"/>
  <c r="N58" i="1"/>
  <c r="A58" i="1" s="1"/>
  <c r="N59" i="1"/>
  <c r="A59" i="1" s="1"/>
  <c r="N60" i="1"/>
  <c r="A60" i="1" s="1"/>
  <c r="N61" i="1"/>
  <c r="A61" i="1" s="1"/>
  <c r="N62" i="1"/>
  <c r="A62" i="1" s="1"/>
  <c r="N63" i="1"/>
  <c r="A63" i="1" s="1"/>
  <c r="N64" i="1"/>
  <c r="A64" i="1" s="1"/>
  <c r="N65" i="1"/>
  <c r="A65" i="1" s="1"/>
  <c r="N66" i="1"/>
  <c r="A66" i="1" s="1"/>
  <c r="N67" i="1"/>
  <c r="A67" i="1" s="1"/>
  <c r="N70" i="1"/>
  <c r="A70" i="1" s="1"/>
  <c r="N71" i="1"/>
  <c r="A71" i="1" s="1"/>
  <c r="N72" i="1"/>
  <c r="A72" i="1" s="1"/>
  <c r="A73" i="1"/>
  <c r="N74" i="1"/>
  <c r="A74" i="1" s="1"/>
  <c r="N75" i="1"/>
  <c r="A75" i="1" s="1"/>
  <c r="N76" i="1"/>
  <c r="A76" i="1" s="1"/>
  <c r="N77" i="1"/>
  <c r="A77" i="1" s="1"/>
  <c r="N78" i="1"/>
  <c r="A78" i="1" s="1"/>
  <c r="N79" i="1"/>
  <c r="A79" i="1" s="1"/>
  <c r="N80" i="1"/>
  <c r="A80" i="1" s="1"/>
  <c r="N81" i="1"/>
  <c r="A81" i="1" s="1"/>
  <c r="N82" i="1"/>
  <c r="A82" i="1" s="1"/>
  <c r="N83" i="1"/>
  <c r="A83" i="1" s="1"/>
  <c r="N84" i="1"/>
  <c r="A84" i="1" s="1"/>
  <c r="N85" i="1"/>
  <c r="A85" i="1" s="1"/>
  <c r="N86" i="1"/>
  <c r="A86" i="1" s="1"/>
  <c r="N87" i="1"/>
  <c r="A87" i="1" s="1"/>
  <c r="N88" i="1"/>
  <c r="A88" i="1" s="1"/>
  <c r="N89" i="1"/>
  <c r="A89" i="1" s="1"/>
  <c r="N90" i="1"/>
  <c r="A90" i="1" s="1"/>
  <c r="N92" i="1"/>
  <c r="A92" i="1" s="1"/>
  <c r="N93" i="1"/>
  <c r="A93" i="1" s="1"/>
  <c r="N94" i="1"/>
  <c r="A94" i="1" s="1"/>
  <c r="N95" i="1"/>
  <c r="A95" i="1" s="1"/>
  <c r="N96" i="1"/>
  <c r="A96" i="1" s="1"/>
  <c r="N97" i="1"/>
  <c r="A97" i="1" s="1"/>
  <c r="N98" i="1"/>
  <c r="A98" i="1" s="1"/>
  <c r="N99" i="1"/>
  <c r="A99" i="1" s="1"/>
  <c r="N100" i="1"/>
  <c r="A100" i="1" s="1"/>
  <c r="N101" i="1"/>
  <c r="A101" i="1" s="1"/>
  <c r="N102" i="1"/>
  <c r="A102" i="1" s="1"/>
  <c r="N103" i="1"/>
  <c r="A103" i="1" s="1"/>
  <c r="N104" i="1"/>
  <c r="A104" i="1" s="1"/>
  <c r="N105" i="1"/>
  <c r="A105" i="1" s="1"/>
  <c r="N106" i="1"/>
  <c r="A106" i="1" s="1"/>
  <c r="N107" i="1"/>
  <c r="A107" i="1" s="1"/>
  <c r="N108" i="1"/>
  <c r="A108" i="1" s="1"/>
  <c r="N109" i="1"/>
  <c r="A109" i="1" s="1"/>
  <c r="N110" i="1"/>
  <c r="A110" i="1" s="1"/>
  <c r="N111" i="1"/>
  <c r="A111" i="1" s="1"/>
  <c r="N112" i="1"/>
  <c r="A112" i="1" s="1"/>
  <c r="N113" i="1"/>
  <c r="A113" i="1" s="1"/>
  <c r="N114" i="1"/>
  <c r="A114" i="1" s="1"/>
  <c r="N115" i="1"/>
  <c r="A115" i="1" s="1"/>
  <c r="N116" i="1"/>
  <c r="A116" i="1" s="1"/>
  <c r="N117" i="1"/>
  <c r="A117" i="1" s="1"/>
  <c r="A118" i="1"/>
  <c r="N119" i="1"/>
  <c r="A119" i="1" s="1"/>
  <c r="N120" i="1"/>
  <c r="A120" i="1" s="1"/>
  <c r="N121" i="1"/>
  <c r="A121" i="1" s="1"/>
  <c r="N123" i="1"/>
  <c r="A123" i="1" s="1"/>
  <c r="N124" i="1"/>
  <c r="A124" i="1" s="1"/>
  <c r="N125" i="1"/>
  <c r="A125" i="1" s="1"/>
  <c r="N126" i="1"/>
  <c r="A126" i="1" s="1"/>
  <c r="N127" i="1"/>
  <c r="A127" i="1" s="1"/>
  <c r="N128" i="1"/>
  <c r="A128" i="1" s="1"/>
  <c r="N129" i="1"/>
  <c r="A129" i="1" s="1"/>
  <c r="N130" i="1"/>
  <c r="A130" i="1" s="1"/>
  <c r="N131" i="1"/>
  <c r="A131" i="1" s="1"/>
  <c r="N132" i="1"/>
  <c r="A132" i="1" s="1"/>
  <c r="N133" i="1"/>
  <c r="A133" i="1" s="1"/>
  <c r="N134" i="1"/>
  <c r="A134" i="1" s="1"/>
  <c r="N135" i="1"/>
  <c r="A135" i="1" s="1"/>
  <c r="N136" i="1"/>
  <c r="A136" i="1" s="1"/>
  <c r="N137" i="1"/>
  <c r="A137" i="1" s="1"/>
  <c r="N138" i="1"/>
  <c r="A138" i="1" s="1"/>
  <c r="N140" i="1"/>
  <c r="A140" i="1" s="1"/>
  <c r="N141" i="1"/>
  <c r="A141" i="1" s="1"/>
  <c r="N142" i="1"/>
  <c r="A142" i="1" s="1"/>
  <c r="N143" i="1"/>
  <c r="A143" i="1" s="1"/>
  <c r="N144" i="1"/>
  <c r="A144" i="1" s="1"/>
  <c r="N145" i="1"/>
  <c r="A145" i="1" s="1"/>
  <c r="N146" i="1"/>
  <c r="A146" i="1" s="1"/>
  <c r="N147" i="1"/>
  <c r="A147" i="1" s="1"/>
  <c r="N148" i="1"/>
  <c r="A148" i="1" s="1"/>
  <c r="N149" i="1"/>
  <c r="A149" i="1" s="1"/>
  <c r="N150" i="1"/>
  <c r="A150" i="1" s="1"/>
  <c r="N151" i="1"/>
  <c r="A151" i="1" s="1"/>
  <c r="N152" i="1"/>
  <c r="A152" i="1" s="1"/>
  <c r="N153" i="1"/>
  <c r="A153" i="1" s="1"/>
  <c r="N154" i="1"/>
  <c r="A154" i="1" s="1"/>
  <c r="N155" i="1"/>
  <c r="A155" i="1" s="1"/>
  <c r="N156" i="1"/>
  <c r="A156" i="1" s="1"/>
  <c r="N157" i="1"/>
  <c r="A157" i="1" s="1"/>
  <c r="N158" i="1"/>
  <c r="A158" i="1" s="1"/>
  <c r="N159" i="1"/>
  <c r="A159" i="1" s="1"/>
  <c r="N160" i="1"/>
  <c r="A160" i="1" s="1"/>
  <c r="N161" i="1"/>
  <c r="A161" i="1" s="1"/>
  <c r="N162" i="1"/>
  <c r="A162" i="1" s="1"/>
  <c r="N163" i="1"/>
  <c r="A163" i="1" s="1"/>
  <c r="N164" i="1"/>
  <c r="A164" i="1" s="1"/>
  <c r="N165" i="1"/>
  <c r="A165" i="1" s="1"/>
  <c r="N166" i="1"/>
  <c r="A166" i="1" s="1"/>
  <c r="N167" i="1"/>
  <c r="A167" i="1" s="1"/>
  <c r="N168" i="1"/>
  <c r="A168" i="1" s="1"/>
  <c r="N169" i="1"/>
  <c r="A169" i="1" s="1"/>
  <c r="N170" i="1"/>
  <c r="A170" i="1" s="1"/>
  <c r="N171" i="1"/>
  <c r="A171" i="1" s="1"/>
  <c r="N172" i="1"/>
  <c r="A172" i="1" s="1"/>
  <c r="N173" i="1"/>
  <c r="A173" i="1" s="1"/>
  <c r="N174" i="1"/>
  <c r="A174" i="1" s="1"/>
  <c r="N175" i="1"/>
  <c r="A175" i="1" s="1"/>
  <c r="N176" i="1"/>
  <c r="A176" i="1" s="1"/>
  <c r="N177" i="1"/>
  <c r="A177" i="1" s="1"/>
  <c r="N178" i="1"/>
  <c r="A178" i="1" s="1"/>
  <c r="N179" i="1"/>
  <c r="A179" i="1" s="1"/>
  <c r="N180" i="1"/>
  <c r="A180" i="1" s="1"/>
  <c r="N181" i="1"/>
  <c r="A181" i="1" s="1"/>
  <c r="N182" i="1"/>
  <c r="A182" i="1" s="1"/>
  <c r="N183" i="1"/>
  <c r="A183" i="1" s="1"/>
  <c r="N184" i="1"/>
  <c r="A184" i="1" s="1"/>
  <c r="N185" i="1"/>
  <c r="A185" i="1" s="1"/>
  <c r="N186" i="1"/>
  <c r="A186" i="1" s="1"/>
  <c r="N187" i="1"/>
  <c r="A187" i="1" s="1"/>
  <c r="N188" i="1"/>
  <c r="A188" i="1" s="1"/>
  <c r="N189" i="1"/>
  <c r="A189" i="1" s="1"/>
  <c r="N190" i="1"/>
  <c r="A190" i="1" s="1"/>
  <c r="N191" i="1"/>
  <c r="A191" i="1" s="1"/>
  <c r="N192" i="1"/>
  <c r="A192" i="1" s="1"/>
  <c r="N193" i="1"/>
  <c r="A193" i="1" s="1"/>
  <c r="N194" i="1"/>
  <c r="A194" i="1" s="1"/>
  <c r="N195" i="1"/>
  <c r="A195" i="1" s="1"/>
  <c r="N196" i="1"/>
  <c r="A196" i="1" s="1"/>
  <c r="N197" i="1"/>
  <c r="A197" i="1" s="1"/>
  <c r="N198" i="1"/>
  <c r="A198" i="1" s="1"/>
  <c r="N199" i="1"/>
  <c r="A199" i="1" s="1"/>
  <c r="N200" i="1"/>
  <c r="A200" i="1" s="1"/>
  <c r="N202" i="1"/>
  <c r="A202" i="1" s="1"/>
  <c r="N203" i="1"/>
  <c r="A203" i="1" s="1"/>
  <c r="N204" i="1"/>
  <c r="A204" i="1" s="1"/>
  <c r="N205" i="1"/>
  <c r="A205" i="1" s="1"/>
  <c r="N206" i="1"/>
  <c r="A206" i="1" s="1"/>
  <c r="N207" i="1"/>
  <c r="A207" i="1" s="1"/>
  <c r="N208" i="1"/>
  <c r="A208" i="1" s="1"/>
  <c r="N209" i="1"/>
  <c r="A209" i="1" s="1"/>
  <c r="N210" i="1"/>
  <c r="A210" i="1" s="1"/>
  <c r="N211" i="1"/>
  <c r="A211" i="1" s="1"/>
  <c r="N212" i="1"/>
  <c r="A212" i="1" s="1"/>
  <c r="N213" i="1"/>
  <c r="A213" i="1" s="1"/>
  <c r="N214" i="1"/>
  <c r="A214" i="1" s="1"/>
  <c r="N215" i="1"/>
  <c r="A215" i="1" s="1"/>
  <c r="N216" i="1"/>
  <c r="A216" i="1" s="1"/>
  <c r="N218" i="1"/>
  <c r="A218" i="1" s="1"/>
  <c r="N219" i="1"/>
  <c r="A219" i="1" s="1"/>
  <c r="N220" i="1"/>
  <c r="A220" i="1" s="1"/>
  <c r="N221" i="1"/>
  <c r="A221" i="1" s="1"/>
  <c r="N223" i="1"/>
  <c r="A223" i="1" s="1"/>
  <c r="N224" i="1"/>
  <c r="A224" i="1" s="1"/>
  <c r="N225" i="1"/>
  <c r="A225" i="1" s="1"/>
  <c r="N226" i="1"/>
  <c r="A226" i="1" s="1"/>
  <c r="N227" i="1"/>
  <c r="A227" i="1" s="1"/>
  <c r="N228" i="1"/>
  <c r="A228" i="1" s="1"/>
  <c r="N229" i="1"/>
  <c r="A229" i="1" s="1"/>
  <c r="N230" i="1"/>
  <c r="A230" i="1" s="1"/>
  <c r="N231" i="1"/>
  <c r="A231" i="1" s="1"/>
  <c r="N232" i="1"/>
  <c r="A232" i="1" s="1"/>
  <c r="N233" i="1"/>
  <c r="A233" i="1" s="1"/>
  <c r="N234" i="1"/>
  <c r="A234" i="1" s="1"/>
  <c r="N235" i="1"/>
  <c r="A235" i="1" s="1"/>
  <c r="N236" i="1"/>
  <c r="A236" i="1" s="1"/>
  <c r="N237" i="1"/>
  <c r="A237" i="1" s="1"/>
  <c r="N238" i="1"/>
  <c r="A238" i="1" s="1"/>
  <c r="N239" i="1"/>
  <c r="A239" i="1" s="1"/>
  <c r="N240" i="1"/>
  <c r="A240" i="1" s="1"/>
  <c r="N241" i="1"/>
  <c r="A241" i="1" s="1"/>
  <c r="N242" i="1"/>
  <c r="A242" i="1" s="1"/>
  <c r="N243" i="1"/>
  <c r="A243" i="1" s="1"/>
  <c r="N244" i="1"/>
  <c r="A244" i="1" s="1"/>
  <c r="N245" i="1"/>
  <c r="A245" i="1" s="1"/>
  <c r="N246" i="1"/>
  <c r="A246" i="1" s="1"/>
  <c r="N247" i="1"/>
  <c r="A247" i="1" s="1"/>
  <c r="N248" i="1"/>
  <c r="A248" i="1" s="1"/>
  <c r="N249" i="1"/>
  <c r="A249" i="1" s="1"/>
  <c r="N250" i="1"/>
  <c r="A250" i="1" s="1"/>
  <c r="N251" i="1"/>
  <c r="A251" i="1" s="1"/>
  <c r="N252" i="1"/>
  <c r="A252" i="1" s="1"/>
  <c r="N253" i="1"/>
  <c r="A253" i="1" s="1"/>
  <c r="N254" i="1"/>
  <c r="A254" i="1" s="1"/>
  <c r="N255" i="1"/>
  <c r="A255" i="1" s="1"/>
  <c r="N256" i="1"/>
  <c r="A256" i="1" s="1"/>
  <c r="N257" i="1"/>
  <c r="A257" i="1" s="1"/>
  <c r="N258" i="1"/>
  <c r="A258" i="1" s="1"/>
  <c r="N259" i="1"/>
  <c r="A259" i="1" s="1"/>
  <c r="N260" i="1"/>
  <c r="A260" i="1" s="1"/>
  <c r="N261" i="1"/>
  <c r="A261" i="1" s="1"/>
  <c r="N262" i="1"/>
  <c r="A262" i="1" s="1"/>
  <c r="N263" i="1"/>
  <c r="A263" i="1" s="1"/>
  <c r="N264" i="1"/>
  <c r="A264" i="1" s="1"/>
  <c r="N265" i="1"/>
  <c r="A265" i="1" s="1"/>
  <c r="N266" i="1"/>
  <c r="A266" i="1" s="1"/>
  <c r="N267" i="1"/>
  <c r="A267" i="1" s="1"/>
  <c r="N268" i="1"/>
  <c r="A268" i="1" s="1"/>
  <c r="N269" i="1"/>
  <c r="A269" i="1" s="1"/>
  <c r="N270" i="1"/>
  <c r="A270" i="1" s="1"/>
  <c r="N271" i="1"/>
  <c r="A271" i="1" s="1"/>
  <c r="N272" i="1"/>
  <c r="A272" i="1" s="1"/>
  <c r="N273" i="1"/>
  <c r="A273" i="1" s="1"/>
  <c r="N274" i="1"/>
  <c r="A274" i="1" s="1"/>
  <c r="N275" i="1"/>
  <c r="A275" i="1" s="1"/>
  <c r="N276" i="1"/>
  <c r="A276" i="1" s="1"/>
  <c r="N277" i="1"/>
  <c r="A277" i="1" s="1"/>
  <c r="N278" i="1"/>
  <c r="A278" i="1" s="1"/>
  <c r="N280" i="1"/>
  <c r="A280" i="1" s="1"/>
  <c r="N281" i="1"/>
  <c r="A281" i="1" s="1"/>
  <c r="N282" i="1"/>
  <c r="A282" i="1" s="1"/>
  <c r="N283" i="1"/>
  <c r="A283" i="1" s="1"/>
  <c r="N284" i="1"/>
  <c r="A284" i="1" s="1"/>
  <c r="N285" i="1"/>
  <c r="A285" i="1" s="1"/>
  <c r="N287" i="1"/>
  <c r="A287" i="1" s="1"/>
  <c r="N288" i="1"/>
  <c r="A288" i="1" s="1"/>
  <c r="N289" i="1"/>
  <c r="A289" i="1" s="1"/>
  <c r="N290" i="1"/>
  <c r="A290" i="1" s="1"/>
  <c r="N291" i="1"/>
  <c r="A291" i="1" s="1"/>
  <c r="N292" i="1"/>
  <c r="A292" i="1" s="1"/>
  <c r="N293" i="1"/>
  <c r="A293" i="1" s="1"/>
  <c r="N294" i="1"/>
  <c r="A294" i="1" s="1"/>
  <c r="N295" i="1"/>
  <c r="A295" i="1" s="1"/>
  <c r="N296" i="1"/>
  <c r="A296" i="1" s="1"/>
  <c r="N297" i="1"/>
  <c r="A297" i="1" s="1"/>
  <c r="N298" i="1"/>
  <c r="A298" i="1" s="1"/>
  <c r="N299" i="1"/>
  <c r="A299" i="1" s="1"/>
  <c r="N300" i="1"/>
  <c r="A300" i="1" s="1"/>
  <c r="N301" i="1"/>
  <c r="A301" i="1" s="1"/>
  <c r="N302" i="1"/>
  <c r="A302" i="1" s="1"/>
  <c r="N303" i="1"/>
  <c r="A303" i="1" s="1"/>
  <c r="N304" i="1"/>
  <c r="A304" i="1" s="1"/>
  <c r="N305" i="1"/>
  <c r="A305" i="1" s="1"/>
  <c r="N306" i="1"/>
  <c r="A306" i="1" s="1"/>
  <c r="N307" i="1"/>
  <c r="A307" i="1" s="1"/>
  <c r="N308" i="1"/>
  <c r="A308" i="1" s="1"/>
  <c r="N309" i="1"/>
  <c r="A309" i="1" s="1"/>
  <c r="N310" i="1"/>
  <c r="A310" i="1" s="1"/>
  <c r="N311" i="1"/>
  <c r="A311" i="1" s="1"/>
  <c r="N312" i="1"/>
  <c r="A312" i="1" s="1"/>
  <c r="N313" i="1"/>
  <c r="A313" i="1" s="1"/>
  <c r="N314" i="1"/>
  <c r="A314" i="1" s="1"/>
  <c r="N315" i="1"/>
  <c r="A315" i="1" s="1"/>
  <c r="N317" i="1"/>
  <c r="A317" i="1" s="1"/>
  <c r="N318" i="1"/>
  <c r="A318" i="1" s="1"/>
  <c r="N319" i="1"/>
  <c r="A319" i="1" s="1"/>
  <c r="N320" i="1"/>
  <c r="A320" i="1" s="1"/>
  <c r="N321" i="1"/>
  <c r="A321" i="1" s="1"/>
  <c r="N322" i="1"/>
  <c r="A322" i="1" s="1"/>
  <c r="N323" i="1"/>
  <c r="A323" i="1" s="1"/>
  <c r="N324" i="1"/>
  <c r="A324" i="1" s="1"/>
  <c r="N325" i="1"/>
  <c r="A325" i="1" s="1"/>
  <c r="N327" i="1"/>
  <c r="A327" i="1" s="1"/>
  <c r="N328" i="1"/>
  <c r="A328" i="1" s="1"/>
  <c r="N329" i="1"/>
  <c r="A329" i="1" s="1"/>
  <c r="N330" i="1"/>
  <c r="A330" i="1" s="1"/>
  <c r="N331" i="1"/>
  <c r="A331" i="1" s="1"/>
  <c r="N332" i="1"/>
  <c r="A332" i="1" s="1"/>
  <c r="N334" i="1"/>
  <c r="A334" i="1" s="1"/>
  <c r="N335" i="1"/>
  <c r="A335" i="1" s="1"/>
  <c r="N336" i="1"/>
  <c r="A336" i="1" s="1"/>
  <c r="N337" i="1"/>
  <c r="A337" i="1" s="1"/>
  <c r="N338" i="1"/>
  <c r="A338" i="1" s="1"/>
  <c r="N339" i="1"/>
  <c r="A339" i="1" s="1"/>
  <c r="N340" i="1"/>
  <c r="A340" i="1" s="1"/>
  <c r="N341" i="1"/>
  <c r="A341" i="1" s="1"/>
  <c r="N342" i="1"/>
  <c r="A342" i="1" s="1"/>
  <c r="N344" i="1"/>
  <c r="A344" i="1" s="1"/>
  <c r="N345" i="1"/>
  <c r="A345" i="1" s="1"/>
  <c r="N346" i="1"/>
  <c r="A346" i="1" s="1"/>
  <c r="N347" i="1"/>
  <c r="A347" i="1" s="1"/>
  <c r="N348" i="1"/>
  <c r="A348" i="1" s="1"/>
  <c r="N349" i="1"/>
  <c r="A349" i="1" s="1"/>
  <c r="N350" i="1"/>
  <c r="A350" i="1" s="1"/>
  <c r="N351" i="1"/>
  <c r="A351" i="1" s="1"/>
  <c r="N352" i="1"/>
  <c r="A352" i="1" s="1"/>
  <c r="N353" i="1"/>
  <c r="A353" i="1" s="1"/>
  <c r="N354" i="1"/>
  <c r="A354" i="1" s="1"/>
  <c r="N355" i="1"/>
  <c r="A355" i="1" s="1"/>
  <c r="N356" i="1"/>
  <c r="A356" i="1" s="1"/>
  <c r="N357" i="1"/>
  <c r="A357" i="1" s="1"/>
  <c r="N358" i="1"/>
  <c r="A358" i="1" s="1"/>
  <c r="N359" i="1"/>
  <c r="A359" i="1" s="1"/>
  <c r="N360" i="1"/>
  <c r="A360" i="1" s="1"/>
  <c r="N361" i="1"/>
  <c r="A361" i="1" s="1"/>
  <c r="N362" i="1"/>
  <c r="A362" i="1" s="1"/>
  <c r="N363" i="1"/>
  <c r="A363" i="1" s="1"/>
  <c r="N364" i="1"/>
  <c r="A364" i="1" s="1"/>
  <c r="N365" i="1"/>
  <c r="A365" i="1" s="1"/>
  <c r="N366" i="1"/>
  <c r="A366" i="1" s="1"/>
  <c r="A367" i="1"/>
  <c r="A368" i="1"/>
  <c r="N369" i="1"/>
  <c r="A369" i="1" s="1"/>
  <c r="V4" i="1"/>
  <c r="Y4" i="1" s="1"/>
  <c r="AA4" i="1" s="1"/>
  <c r="V5" i="1"/>
  <c r="Y5" i="1" s="1"/>
  <c r="AA5" i="1" s="1"/>
  <c r="V7" i="1"/>
  <c r="Y7" i="1" s="1"/>
  <c r="AA7" i="1" s="1"/>
  <c r="V9" i="1"/>
  <c r="Y9" i="1" s="1"/>
  <c r="AA9" i="1" s="1"/>
  <c r="V10" i="1"/>
  <c r="Y10" i="1" s="1"/>
  <c r="AA10" i="1" s="1"/>
  <c r="V11" i="1"/>
  <c r="Y11" i="1" s="1"/>
  <c r="AA11" i="1" s="1"/>
  <c r="V12" i="1"/>
  <c r="Y12" i="1" s="1"/>
  <c r="AA12" i="1" s="1"/>
  <c r="V13" i="1"/>
  <c r="Y13" i="1" s="1"/>
  <c r="AA13" i="1" s="1"/>
  <c r="V14" i="1"/>
  <c r="Y14" i="1" s="1"/>
  <c r="AA14" i="1" s="1"/>
  <c r="V15" i="1"/>
  <c r="Y15" i="1" s="1"/>
  <c r="AA15" i="1" s="1"/>
  <c r="V16" i="1"/>
  <c r="Y16" i="1" s="1"/>
  <c r="AA16" i="1" s="1"/>
  <c r="V17" i="1"/>
  <c r="Y17" i="1" s="1"/>
  <c r="AA17" i="1" s="1"/>
  <c r="V18" i="1"/>
  <c r="Y18" i="1" s="1"/>
  <c r="AA18" i="1" s="1"/>
  <c r="V19" i="1"/>
  <c r="Y19" i="1" s="1"/>
  <c r="AA19" i="1" s="1"/>
  <c r="V20" i="1"/>
  <c r="Y20" i="1" s="1"/>
  <c r="AA20" i="1" s="1"/>
  <c r="V21" i="1"/>
  <c r="Y21" i="1" s="1"/>
  <c r="AA21" i="1" s="1"/>
  <c r="V22" i="1"/>
  <c r="Y22" i="1" s="1"/>
  <c r="AA22" i="1" s="1"/>
  <c r="V23" i="1"/>
  <c r="Y23" i="1" s="1"/>
  <c r="AA23" i="1" s="1"/>
  <c r="V24" i="1"/>
  <c r="Y24" i="1" s="1"/>
  <c r="AA24" i="1" s="1"/>
  <c r="V25" i="1"/>
  <c r="Y25" i="1" s="1"/>
  <c r="AA25" i="1" s="1"/>
  <c r="V26" i="1"/>
  <c r="Y26" i="1" s="1"/>
  <c r="AA26" i="1" s="1"/>
  <c r="V27" i="1"/>
  <c r="Y27" i="1" s="1"/>
  <c r="AA27" i="1" s="1"/>
  <c r="V28" i="1"/>
  <c r="Y28" i="1" s="1"/>
  <c r="AA28" i="1" s="1"/>
  <c r="V29" i="1"/>
  <c r="Y29" i="1" s="1"/>
  <c r="AA29" i="1" s="1"/>
  <c r="V30" i="1"/>
  <c r="Y30" i="1" s="1"/>
  <c r="AA30" i="1" s="1"/>
  <c r="V31" i="1"/>
  <c r="Y31" i="1" s="1"/>
  <c r="AA31" i="1" s="1"/>
  <c r="V32" i="1"/>
  <c r="Y32" i="1" s="1"/>
  <c r="AA32" i="1" s="1"/>
  <c r="V33" i="1"/>
  <c r="Y33" i="1" s="1"/>
  <c r="AA33" i="1" s="1"/>
  <c r="V34" i="1"/>
  <c r="Y34" i="1" s="1"/>
  <c r="AA34" i="1" s="1"/>
  <c r="V35" i="1"/>
  <c r="Y35" i="1" s="1"/>
  <c r="AA35" i="1" s="1"/>
  <c r="V36" i="1"/>
  <c r="Y36" i="1" s="1"/>
  <c r="AA36" i="1" s="1"/>
  <c r="V37" i="1"/>
  <c r="Y37" i="1" s="1"/>
  <c r="AA37" i="1" s="1"/>
  <c r="V38" i="1"/>
  <c r="Y38" i="1" s="1"/>
  <c r="AA38" i="1" s="1"/>
  <c r="V39" i="1"/>
  <c r="Y39" i="1" s="1"/>
  <c r="AA39" i="1" s="1"/>
  <c r="V40" i="1"/>
  <c r="Y40" i="1" s="1"/>
  <c r="AA40" i="1" s="1"/>
  <c r="V41" i="1"/>
  <c r="Y41" i="1" s="1"/>
  <c r="AA41" i="1" s="1"/>
  <c r="V42" i="1"/>
  <c r="Y42" i="1" s="1"/>
  <c r="AA42" i="1" s="1"/>
  <c r="V43" i="1"/>
  <c r="Y43" i="1" s="1"/>
  <c r="AA43" i="1" s="1"/>
  <c r="V44" i="1"/>
  <c r="Y44" i="1" s="1"/>
  <c r="AA44" i="1" s="1"/>
  <c r="V45" i="1"/>
  <c r="Y45" i="1" s="1"/>
  <c r="AA45" i="1" s="1"/>
  <c r="V46" i="1"/>
  <c r="Y46" i="1" s="1"/>
  <c r="AA46" i="1" s="1"/>
  <c r="V47" i="1"/>
  <c r="Y47" i="1" s="1"/>
  <c r="AA47" i="1" s="1"/>
  <c r="V48" i="1"/>
  <c r="Y48" i="1" s="1"/>
  <c r="AA48" i="1" s="1"/>
  <c r="V49" i="1"/>
  <c r="Y49" i="1" s="1"/>
  <c r="AA49" i="1" s="1"/>
  <c r="V50" i="1"/>
  <c r="Y50" i="1" s="1"/>
  <c r="AA50" i="1" s="1"/>
  <c r="V51" i="1"/>
  <c r="Y51" i="1" s="1"/>
  <c r="AA51" i="1" s="1"/>
  <c r="V52" i="1"/>
  <c r="Y52" i="1" s="1"/>
  <c r="AA52" i="1" s="1"/>
  <c r="V53" i="1"/>
  <c r="Y53" i="1" s="1"/>
  <c r="AA53" i="1" s="1"/>
  <c r="V54" i="1"/>
  <c r="Y54" i="1" s="1"/>
  <c r="AA54" i="1" s="1"/>
  <c r="V55" i="1"/>
  <c r="Y55" i="1" s="1"/>
  <c r="AA55" i="1" s="1"/>
  <c r="V56" i="1"/>
  <c r="Y56" i="1" s="1"/>
  <c r="AA56" i="1" s="1"/>
  <c r="V57" i="1"/>
  <c r="Y57" i="1" s="1"/>
  <c r="AA57" i="1" s="1"/>
  <c r="V58" i="1"/>
  <c r="Y58" i="1" s="1"/>
  <c r="AA58" i="1" s="1"/>
  <c r="V59" i="1"/>
  <c r="Y59" i="1" s="1"/>
  <c r="AA59" i="1" s="1"/>
  <c r="V60" i="1"/>
  <c r="Y60" i="1" s="1"/>
  <c r="AA60" i="1" s="1"/>
  <c r="V61" i="1"/>
  <c r="Y61" i="1" s="1"/>
  <c r="AA61" i="1" s="1"/>
  <c r="V62" i="1"/>
  <c r="Y62" i="1" s="1"/>
  <c r="AA62" i="1" s="1"/>
  <c r="V63" i="1"/>
  <c r="Y63" i="1" s="1"/>
  <c r="AA63" i="1" s="1"/>
  <c r="V64" i="1"/>
  <c r="Y64" i="1" s="1"/>
  <c r="AA64" i="1" s="1"/>
  <c r="V65" i="1"/>
  <c r="Y65" i="1" s="1"/>
  <c r="AA65" i="1" s="1"/>
  <c r="V66" i="1"/>
  <c r="Y66" i="1" s="1"/>
  <c r="AA66" i="1" s="1"/>
  <c r="V67" i="1"/>
  <c r="Y67" i="1" s="1"/>
  <c r="AA67" i="1" s="1"/>
  <c r="V68" i="1"/>
  <c r="Y68" i="1" s="1"/>
  <c r="AA68" i="1" s="1"/>
  <c r="V69" i="1"/>
  <c r="Y69" i="1" s="1"/>
  <c r="AA69" i="1" s="1"/>
  <c r="V70" i="1"/>
  <c r="Y70" i="1" s="1"/>
  <c r="AA70" i="1" s="1"/>
  <c r="V71" i="1"/>
  <c r="Y71" i="1" s="1"/>
  <c r="AA71" i="1" s="1"/>
  <c r="V72" i="1"/>
  <c r="Y72" i="1" s="1"/>
  <c r="AA72" i="1" s="1"/>
  <c r="V73" i="1"/>
  <c r="Y73" i="1" s="1"/>
  <c r="AA73" i="1" s="1"/>
  <c r="V74" i="1"/>
  <c r="Y74" i="1" s="1"/>
  <c r="AA74" i="1" s="1"/>
  <c r="V75" i="1"/>
  <c r="Y75" i="1" s="1"/>
  <c r="AA75" i="1" s="1"/>
  <c r="V76" i="1"/>
  <c r="Y76" i="1" s="1"/>
  <c r="AA76" i="1" s="1"/>
  <c r="V77" i="1"/>
  <c r="Y77" i="1" s="1"/>
  <c r="AA77" i="1" s="1"/>
  <c r="V78" i="1"/>
  <c r="Y78" i="1" s="1"/>
  <c r="AA78" i="1" s="1"/>
  <c r="V79" i="1"/>
  <c r="Y79" i="1" s="1"/>
  <c r="AA79" i="1" s="1"/>
  <c r="V80" i="1"/>
  <c r="Y80" i="1" s="1"/>
  <c r="AA80" i="1" s="1"/>
  <c r="V81" i="1"/>
  <c r="Y81" i="1" s="1"/>
  <c r="AA81" i="1" s="1"/>
  <c r="V82" i="1"/>
  <c r="Y82" i="1" s="1"/>
  <c r="AA82" i="1" s="1"/>
  <c r="V83" i="1"/>
  <c r="Y83" i="1" s="1"/>
  <c r="AA83" i="1" s="1"/>
  <c r="V84" i="1"/>
  <c r="Y84" i="1" s="1"/>
  <c r="AA84" i="1" s="1"/>
  <c r="V85" i="1"/>
  <c r="Y85" i="1" s="1"/>
  <c r="AA85" i="1" s="1"/>
  <c r="V86" i="1"/>
  <c r="Y86" i="1" s="1"/>
  <c r="AA86" i="1" s="1"/>
  <c r="V87" i="1"/>
  <c r="Y87" i="1" s="1"/>
  <c r="AA87" i="1" s="1"/>
  <c r="V88" i="1"/>
  <c r="Y88" i="1" s="1"/>
  <c r="AA88" i="1" s="1"/>
  <c r="V89" i="1"/>
  <c r="Y89" i="1" s="1"/>
  <c r="AA89" i="1" s="1"/>
  <c r="V90" i="1"/>
  <c r="Y90" i="1" s="1"/>
  <c r="AA90" i="1" s="1"/>
  <c r="V91" i="1"/>
  <c r="Y91" i="1" s="1"/>
  <c r="AA91" i="1" s="1"/>
  <c r="V92" i="1"/>
  <c r="Y92" i="1" s="1"/>
  <c r="AA92" i="1" s="1"/>
  <c r="V93" i="1"/>
  <c r="Y93" i="1" s="1"/>
  <c r="AA93" i="1" s="1"/>
  <c r="V94" i="1"/>
  <c r="Y94" i="1" s="1"/>
  <c r="AA94" i="1" s="1"/>
  <c r="V95" i="1"/>
  <c r="Y95" i="1" s="1"/>
  <c r="AA95" i="1" s="1"/>
  <c r="V96" i="1"/>
  <c r="Y96" i="1" s="1"/>
  <c r="AA96" i="1" s="1"/>
  <c r="V97" i="1"/>
  <c r="Y97" i="1" s="1"/>
  <c r="AA97" i="1" s="1"/>
  <c r="V98" i="1"/>
  <c r="Y98" i="1" s="1"/>
  <c r="AA98" i="1" s="1"/>
  <c r="V99" i="1"/>
  <c r="Y99" i="1" s="1"/>
  <c r="AA99" i="1" s="1"/>
  <c r="V100" i="1"/>
  <c r="Y100" i="1" s="1"/>
  <c r="AA100" i="1" s="1"/>
  <c r="V101" i="1"/>
  <c r="Y101" i="1" s="1"/>
  <c r="AA101" i="1" s="1"/>
  <c r="V102" i="1"/>
  <c r="Y102" i="1" s="1"/>
  <c r="AA102" i="1" s="1"/>
  <c r="V103" i="1"/>
  <c r="Y103" i="1" s="1"/>
  <c r="AA103" i="1" s="1"/>
  <c r="V104" i="1"/>
  <c r="Y104" i="1" s="1"/>
  <c r="AA104" i="1" s="1"/>
  <c r="V105" i="1"/>
  <c r="Y105" i="1" s="1"/>
  <c r="AA105" i="1" s="1"/>
  <c r="V106" i="1"/>
  <c r="Y106" i="1" s="1"/>
  <c r="AA106" i="1" s="1"/>
  <c r="V107" i="1"/>
  <c r="Y107" i="1" s="1"/>
  <c r="AA107" i="1" s="1"/>
  <c r="V108" i="1"/>
  <c r="Y108" i="1" s="1"/>
  <c r="AA108" i="1" s="1"/>
  <c r="V109" i="1"/>
  <c r="Y109" i="1" s="1"/>
  <c r="AA109" i="1" s="1"/>
  <c r="V110" i="1"/>
  <c r="Y110" i="1" s="1"/>
  <c r="AA110" i="1" s="1"/>
  <c r="V111" i="1"/>
  <c r="Y111" i="1" s="1"/>
  <c r="AA111" i="1" s="1"/>
  <c r="V112" i="1"/>
  <c r="Y112" i="1" s="1"/>
  <c r="AA112" i="1" s="1"/>
  <c r="V113" i="1"/>
  <c r="Y113" i="1" s="1"/>
  <c r="AA113" i="1" s="1"/>
  <c r="V114" i="1"/>
  <c r="Y114" i="1" s="1"/>
  <c r="AA114" i="1" s="1"/>
  <c r="V115" i="1"/>
  <c r="Y115" i="1" s="1"/>
  <c r="AA115" i="1" s="1"/>
  <c r="V116" i="1"/>
  <c r="Y116" i="1" s="1"/>
  <c r="AA116" i="1" s="1"/>
  <c r="V117" i="1"/>
  <c r="Y117" i="1" s="1"/>
  <c r="AA117" i="1" s="1"/>
  <c r="V118" i="1"/>
  <c r="Y118" i="1" s="1"/>
  <c r="AA118" i="1" s="1"/>
  <c r="V119" i="1"/>
  <c r="Y119" i="1" s="1"/>
  <c r="AA119" i="1" s="1"/>
  <c r="V120" i="1"/>
  <c r="Y120" i="1" s="1"/>
  <c r="AA120" i="1" s="1"/>
  <c r="V121" i="1"/>
  <c r="Y121" i="1" s="1"/>
  <c r="AA121" i="1" s="1"/>
  <c r="V122" i="1"/>
  <c r="Y122" i="1" s="1"/>
  <c r="AA122" i="1" s="1"/>
  <c r="V123" i="1"/>
  <c r="Y123" i="1" s="1"/>
  <c r="AA123" i="1" s="1"/>
  <c r="V124" i="1"/>
  <c r="Y124" i="1" s="1"/>
  <c r="AA124" i="1" s="1"/>
  <c r="V125" i="1"/>
  <c r="Y125" i="1" s="1"/>
  <c r="AA125" i="1" s="1"/>
  <c r="V126" i="1"/>
  <c r="Y126" i="1" s="1"/>
  <c r="AA126" i="1" s="1"/>
  <c r="V127" i="1"/>
  <c r="Y127" i="1" s="1"/>
  <c r="AA127" i="1" s="1"/>
  <c r="V128" i="1"/>
  <c r="Y128" i="1" s="1"/>
  <c r="AA128" i="1" s="1"/>
  <c r="V129" i="1"/>
  <c r="Y129" i="1" s="1"/>
  <c r="AA129" i="1" s="1"/>
  <c r="V130" i="1"/>
  <c r="Y130" i="1" s="1"/>
  <c r="AA130" i="1" s="1"/>
  <c r="V131" i="1"/>
  <c r="Y131" i="1" s="1"/>
  <c r="AA131" i="1" s="1"/>
  <c r="V132" i="1"/>
  <c r="Y132" i="1" s="1"/>
  <c r="AA132" i="1" s="1"/>
  <c r="V133" i="1"/>
  <c r="Y133" i="1" s="1"/>
  <c r="AA133" i="1" s="1"/>
  <c r="V134" i="1"/>
  <c r="Y134" i="1" s="1"/>
  <c r="AA134" i="1" s="1"/>
  <c r="V135" i="1"/>
  <c r="Y135" i="1" s="1"/>
  <c r="AA135" i="1" s="1"/>
  <c r="V136" i="1"/>
  <c r="Y136" i="1" s="1"/>
  <c r="AA136" i="1" s="1"/>
  <c r="V137" i="1"/>
  <c r="Y137" i="1" s="1"/>
  <c r="AA137" i="1" s="1"/>
  <c r="V138" i="1"/>
  <c r="Y138" i="1" s="1"/>
  <c r="AA138" i="1" s="1"/>
  <c r="V139" i="1"/>
  <c r="Y139" i="1" s="1"/>
  <c r="AA139" i="1" s="1"/>
  <c r="V140" i="1"/>
  <c r="Y140" i="1" s="1"/>
  <c r="AA140" i="1" s="1"/>
  <c r="V141" i="1"/>
  <c r="Y141" i="1" s="1"/>
  <c r="AA141" i="1" s="1"/>
  <c r="V142" i="1"/>
  <c r="Y142" i="1" s="1"/>
  <c r="AA142" i="1" s="1"/>
  <c r="V143" i="1"/>
  <c r="Y143" i="1" s="1"/>
  <c r="AA143" i="1" s="1"/>
  <c r="V144" i="1"/>
  <c r="Y144" i="1" s="1"/>
  <c r="AA144" i="1" s="1"/>
  <c r="V145" i="1"/>
  <c r="Y145" i="1" s="1"/>
  <c r="AA145" i="1" s="1"/>
  <c r="V146" i="1"/>
  <c r="Y146" i="1" s="1"/>
  <c r="AA146" i="1" s="1"/>
  <c r="V147" i="1"/>
  <c r="Y147" i="1" s="1"/>
  <c r="AA147" i="1" s="1"/>
  <c r="V148" i="1"/>
  <c r="Y148" i="1" s="1"/>
  <c r="AA148" i="1" s="1"/>
  <c r="V149" i="1"/>
  <c r="Y149" i="1" s="1"/>
  <c r="AA149" i="1" s="1"/>
  <c r="V150" i="1"/>
  <c r="Y150" i="1" s="1"/>
  <c r="AA150" i="1" s="1"/>
  <c r="V151" i="1"/>
  <c r="Y151" i="1" s="1"/>
  <c r="AA151" i="1" s="1"/>
  <c r="V152" i="1"/>
  <c r="Y152" i="1" s="1"/>
  <c r="AA152" i="1" s="1"/>
  <c r="V153" i="1"/>
  <c r="Y153" i="1" s="1"/>
  <c r="AA153" i="1" s="1"/>
  <c r="V154" i="1"/>
  <c r="Y154" i="1" s="1"/>
  <c r="AA154" i="1" s="1"/>
  <c r="V155" i="1"/>
  <c r="Y155" i="1" s="1"/>
  <c r="AA155" i="1" s="1"/>
  <c r="V156" i="1"/>
  <c r="Y156" i="1" s="1"/>
  <c r="AA156" i="1" s="1"/>
  <c r="V157" i="1"/>
  <c r="Y157" i="1" s="1"/>
  <c r="AA157" i="1" s="1"/>
  <c r="V158" i="1"/>
  <c r="Y158" i="1" s="1"/>
  <c r="AA158" i="1" s="1"/>
  <c r="V159" i="1"/>
  <c r="Y159" i="1" s="1"/>
  <c r="AA159" i="1" s="1"/>
  <c r="V160" i="1"/>
  <c r="Y160" i="1" s="1"/>
  <c r="AA160" i="1" s="1"/>
  <c r="V161" i="1"/>
  <c r="Y161" i="1" s="1"/>
  <c r="AA161" i="1" s="1"/>
  <c r="V162" i="1"/>
  <c r="Y162" i="1" s="1"/>
  <c r="AA162" i="1" s="1"/>
  <c r="V163" i="1"/>
  <c r="Y163" i="1" s="1"/>
  <c r="AA163" i="1" s="1"/>
  <c r="V164" i="1"/>
  <c r="Y164" i="1" s="1"/>
  <c r="AA164" i="1" s="1"/>
  <c r="V165" i="1"/>
  <c r="Y165" i="1" s="1"/>
  <c r="AA165" i="1" s="1"/>
  <c r="V166" i="1"/>
  <c r="Y166" i="1" s="1"/>
  <c r="AA166" i="1" s="1"/>
  <c r="V167" i="1"/>
  <c r="Y167" i="1" s="1"/>
  <c r="AA167" i="1" s="1"/>
  <c r="V168" i="1"/>
  <c r="Y168" i="1" s="1"/>
  <c r="AA168" i="1" s="1"/>
  <c r="V169" i="1"/>
  <c r="Y169" i="1" s="1"/>
  <c r="AA169" i="1" s="1"/>
  <c r="V170" i="1"/>
  <c r="Y170" i="1" s="1"/>
  <c r="AA170" i="1" s="1"/>
  <c r="V171" i="1"/>
  <c r="Y171" i="1" s="1"/>
  <c r="AA171" i="1" s="1"/>
  <c r="V172" i="1"/>
  <c r="Y172" i="1" s="1"/>
  <c r="AA172" i="1" s="1"/>
  <c r="V173" i="1"/>
  <c r="Y173" i="1" s="1"/>
  <c r="AA173" i="1" s="1"/>
  <c r="V174" i="1"/>
  <c r="Y174" i="1" s="1"/>
  <c r="AA174" i="1" s="1"/>
  <c r="V175" i="1"/>
  <c r="Y175" i="1" s="1"/>
  <c r="AA175" i="1" s="1"/>
  <c r="V176" i="1"/>
  <c r="Y176" i="1" s="1"/>
  <c r="AA176" i="1" s="1"/>
  <c r="V177" i="1"/>
  <c r="Y177" i="1" s="1"/>
  <c r="AA177" i="1" s="1"/>
  <c r="V178" i="1"/>
  <c r="Y178" i="1" s="1"/>
  <c r="AA178" i="1" s="1"/>
  <c r="V179" i="1"/>
  <c r="Y179" i="1" s="1"/>
  <c r="AA179" i="1" s="1"/>
  <c r="V180" i="1"/>
  <c r="Y180" i="1" s="1"/>
  <c r="AA180" i="1" s="1"/>
  <c r="V181" i="1"/>
  <c r="Y181" i="1" s="1"/>
  <c r="AA181" i="1" s="1"/>
  <c r="V182" i="1"/>
  <c r="Y182" i="1" s="1"/>
  <c r="AA182" i="1" s="1"/>
  <c r="V183" i="1"/>
  <c r="Y183" i="1" s="1"/>
  <c r="AA183" i="1" s="1"/>
  <c r="V184" i="1"/>
  <c r="Y184" i="1" s="1"/>
  <c r="AA184" i="1" s="1"/>
  <c r="V185" i="1"/>
  <c r="Y185" i="1" s="1"/>
  <c r="AA185" i="1" s="1"/>
  <c r="V186" i="1"/>
  <c r="Y186" i="1" s="1"/>
  <c r="AA186" i="1" s="1"/>
  <c r="V187" i="1"/>
  <c r="Y187" i="1" s="1"/>
  <c r="AA187" i="1" s="1"/>
  <c r="V188" i="1"/>
  <c r="Y188" i="1" s="1"/>
  <c r="AA188" i="1" s="1"/>
  <c r="V189" i="1"/>
  <c r="Y189" i="1" s="1"/>
  <c r="AA189" i="1" s="1"/>
  <c r="V190" i="1"/>
  <c r="Y190" i="1" s="1"/>
  <c r="AA190" i="1" s="1"/>
  <c r="V191" i="1"/>
  <c r="Y191" i="1" s="1"/>
  <c r="AA191" i="1" s="1"/>
  <c r="V192" i="1"/>
  <c r="Y192" i="1" s="1"/>
  <c r="AA192" i="1" s="1"/>
  <c r="V193" i="1"/>
  <c r="Y193" i="1" s="1"/>
  <c r="AA193" i="1" s="1"/>
  <c r="V194" i="1"/>
  <c r="Y194" i="1" s="1"/>
  <c r="AA194" i="1" s="1"/>
  <c r="V195" i="1"/>
  <c r="Y195" i="1" s="1"/>
  <c r="AA195" i="1" s="1"/>
  <c r="V196" i="1"/>
  <c r="Y196" i="1" s="1"/>
  <c r="AA196" i="1" s="1"/>
  <c r="V197" i="1"/>
  <c r="Y197" i="1" s="1"/>
  <c r="AA197" i="1" s="1"/>
  <c r="V198" i="1"/>
  <c r="Y198" i="1" s="1"/>
  <c r="AA198" i="1" s="1"/>
  <c r="V199" i="1"/>
  <c r="Y199" i="1" s="1"/>
  <c r="AA199" i="1" s="1"/>
  <c r="V200" i="1"/>
  <c r="Y200" i="1" s="1"/>
  <c r="AA200" i="1" s="1"/>
  <c r="V201" i="1"/>
  <c r="Y201" i="1" s="1"/>
  <c r="AA201" i="1" s="1"/>
  <c r="V202" i="1"/>
  <c r="Y202" i="1" s="1"/>
  <c r="AA202" i="1" s="1"/>
  <c r="V203" i="1"/>
  <c r="Y203" i="1" s="1"/>
  <c r="AA203" i="1" s="1"/>
  <c r="V204" i="1"/>
  <c r="Y204" i="1" s="1"/>
  <c r="AA204" i="1" s="1"/>
  <c r="V205" i="1"/>
  <c r="Y205" i="1" s="1"/>
  <c r="AA205" i="1" s="1"/>
  <c r="V206" i="1"/>
  <c r="Y206" i="1" s="1"/>
  <c r="AA206" i="1" s="1"/>
  <c r="V207" i="1"/>
  <c r="Y207" i="1" s="1"/>
  <c r="AA207" i="1" s="1"/>
  <c r="V208" i="1"/>
  <c r="Y208" i="1" s="1"/>
  <c r="AA208" i="1" s="1"/>
  <c r="V209" i="1"/>
  <c r="Y209" i="1" s="1"/>
  <c r="AA209" i="1" s="1"/>
  <c r="V210" i="1"/>
  <c r="Y210" i="1" s="1"/>
  <c r="AA210" i="1" s="1"/>
  <c r="V211" i="1"/>
  <c r="Y211" i="1" s="1"/>
  <c r="AA211" i="1" s="1"/>
  <c r="V212" i="1"/>
  <c r="Y212" i="1" s="1"/>
  <c r="AA212" i="1" s="1"/>
  <c r="V213" i="1"/>
  <c r="Y213" i="1" s="1"/>
  <c r="AA213" i="1" s="1"/>
  <c r="V214" i="1"/>
  <c r="Y214" i="1" s="1"/>
  <c r="AA214" i="1" s="1"/>
  <c r="V215" i="1"/>
  <c r="Y215" i="1" s="1"/>
  <c r="AA215" i="1" s="1"/>
  <c r="V216" i="1"/>
  <c r="Y216" i="1" s="1"/>
  <c r="AA216" i="1" s="1"/>
  <c r="V217" i="1"/>
  <c r="Y217" i="1" s="1"/>
  <c r="AA217" i="1" s="1"/>
  <c r="V218" i="1"/>
  <c r="Y218" i="1" s="1"/>
  <c r="AA218" i="1" s="1"/>
  <c r="V219" i="1"/>
  <c r="Y219" i="1" s="1"/>
  <c r="AA219" i="1" s="1"/>
  <c r="V220" i="1"/>
  <c r="Y220" i="1" s="1"/>
  <c r="AA220" i="1" s="1"/>
  <c r="V221" i="1"/>
  <c r="Y221" i="1" s="1"/>
  <c r="AA221" i="1" s="1"/>
  <c r="V222" i="1"/>
  <c r="Y222" i="1" s="1"/>
  <c r="AA222" i="1" s="1"/>
  <c r="V223" i="1"/>
  <c r="Y223" i="1" s="1"/>
  <c r="AA223" i="1" s="1"/>
  <c r="V224" i="1"/>
  <c r="Y224" i="1" s="1"/>
  <c r="AA224" i="1" s="1"/>
  <c r="V225" i="1"/>
  <c r="Y225" i="1" s="1"/>
  <c r="AA225" i="1" s="1"/>
  <c r="V226" i="1"/>
  <c r="Y226" i="1" s="1"/>
  <c r="AA226" i="1" s="1"/>
  <c r="V227" i="1"/>
  <c r="Y227" i="1" s="1"/>
  <c r="AA227" i="1" s="1"/>
  <c r="V228" i="1"/>
  <c r="Y228" i="1" s="1"/>
  <c r="AA228" i="1" s="1"/>
  <c r="V229" i="1"/>
  <c r="Y229" i="1" s="1"/>
  <c r="AA229" i="1" s="1"/>
  <c r="V230" i="1"/>
  <c r="Y230" i="1" s="1"/>
  <c r="AA230" i="1" s="1"/>
  <c r="V231" i="1"/>
  <c r="Y231" i="1" s="1"/>
  <c r="AA231" i="1" s="1"/>
  <c r="V232" i="1"/>
  <c r="Y232" i="1" s="1"/>
  <c r="AA232" i="1" s="1"/>
  <c r="V233" i="1"/>
  <c r="Y233" i="1" s="1"/>
  <c r="AA233" i="1" s="1"/>
  <c r="V234" i="1"/>
  <c r="Y234" i="1" s="1"/>
  <c r="AA234" i="1" s="1"/>
  <c r="V235" i="1"/>
  <c r="Y235" i="1" s="1"/>
  <c r="AA235" i="1" s="1"/>
  <c r="V236" i="1"/>
  <c r="Y236" i="1" s="1"/>
  <c r="AA236" i="1" s="1"/>
  <c r="V237" i="1"/>
  <c r="Y237" i="1" s="1"/>
  <c r="AA237" i="1" s="1"/>
  <c r="V238" i="1"/>
  <c r="Y238" i="1" s="1"/>
  <c r="AA238" i="1" s="1"/>
  <c r="V239" i="1"/>
  <c r="Y239" i="1" s="1"/>
  <c r="AA239" i="1" s="1"/>
  <c r="V240" i="1"/>
  <c r="Y240" i="1" s="1"/>
  <c r="AA240" i="1" s="1"/>
  <c r="V241" i="1"/>
  <c r="Y241" i="1" s="1"/>
  <c r="AA241" i="1" s="1"/>
  <c r="V242" i="1"/>
  <c r="Y242" i="1" s="1"/>
  <c r="AA242" i="1" s="1"/>
  <c r="V243" i="1"/>
  <c r="Y243" i="1" s="1"/>
  <c r="AA243" i="1" s="1"/>
  <c r="V244" i="1"/>
  <c r="Y244" i="1" s="1"/>
  <c r="AA244" i="1" s="1"/>
  <c r="V245" i="1"/>
  <c r="Y245" i="1" s="1"/>
  <c r="AA245" i="1" s="1"/>
  <c r="V246" i="1"/>
  <c r="Y246" i="1" s="1"/>
  <c r="AA246" i="1" s="1"/>
  <c r="V247" i="1"/>
  <c r="Y247" i="1" s="1"/>
  <c r="AA247" i="1" s="1"/>
  <c r="V248" i="1"/>
  <c r="Y248" i="1" s="1"/>
  <c r="AA248" i="1" s="1"/>
  <c r="V249" i="1"/>
  <c r="Y249" i="1" s="1"/>
  <c r="AA249" i="1" s="1"/>
  <c r="V250" i="1"/>
  <c r="Y250" i="1" s="1"/>
  <c r="AA250" i="1" s="1"/>
  <c r="V251" i="1"/>
  <c r="Y251" i="1" s="1"/>
  <c r="AA251" i="1" s="1"/>
  <c r="V252" i="1"/>
  <c r="Y252" i="1" s="1"/>
  <c r="AA252" i="1" s="1"/>
  <c r="V253" i="1"/>
  <c r="Y253" i="1" s="1"/>
  <c r="AA253" i="1" s="1"/>
  <c r="V254" i="1"/>
  <c r="Y254" i="1" s="1"/>
  <c r="AA254" i="1" s="1"/>
  <c r="V255" i="1"/>
  <c r="Y255" i="1" s="1"/>
  <c r="AA255" i="1" s="1"/>
  <c r="V256" i="1"/>
  <c r="Y256" i="1" s="1"/>
  <c r="AA256" i="1" s="1"/>
  <c r="V257" i="1"/>
  <c r="Y257" i="1" s="1"/>
  <c r="AA257" i="1" s="1"/>
  <c r="V258" i="1"/>
  <c r="Y258" i="1" s="1"/>
  <c r="AA258" i="1" s="1"/>
  <c r="V259" i="1"/>
  <c r="Y259" i="1" s="1"/>
  <c r="AA259" i="1" s="1"/>
  <c r="V260" i="1"/>
  <c r="Y260" i="1" s="1"/>
  <c r="AA260" i="1" s="1"/>
  <c r="V261" i="1"/>
  <c r="Y261" i="1" s="1"/>
  <c r="AA261" i="1" s="1"/>
  <c r="V262" i="1"/>
  <c r="Y262" i="1" s="1"/>
  <c r="AA262" i="1" s="1"/>
  <c r="V263" i="1"/>
  <c r="Y263" i="1" s="1"/>
  <c r="AA263" i="1" s="1"/>
  <c r="V264" i="1"/>
  <c r="Y264" i="1" s="1"/>
  <c r="AA264" i="1" s="1"/>
  <c r="V265" i="1"/>
  <c r="Y265" i="1" s="1"/>
  <c r="AA265" i="1" s="1"/>
  <c r="V266" i="1"/>
  <c r="Y266" i="1" s="1"/>
  <c r="AA266" i="1" s="1"/>
  <c r="V267" i="1"/>
  <c r="Y267" i="1" s="1"/>
  <c r="AA267" i="1" s="1"/>
  <c r="V268" i="1"/>
  <c r="Y268" i="1" s="1"/>
  <c r="AA268" i="1" s="1"/>
  <c r="V269" i="1"/>
  <c r="Y269" i="1" s="1"/>
  <c r="AA269" i="1" s="1"/>
  <c r="V270" i="1"/>
  <c r="Y270" i="1" s="1"/>
  <c r="AA270" i="1" s="1"/>
  <c r="V271" i="1"/>
  <c r="Y271" i="1" s="1"/>
  <c r="AA271" i="1" s="1"/>
  <c r="V272" i="1"/>
  <c r="Y272" i="1" s="1"/>
  <c r="AA272" i="1" s="1"/>
  <c r="V273" i="1"/>
  <c r="Y273" i="1" s="1"/>
  <c r="AA273" i="1" s="1"/>
  <c r="V274" i="1"/>
  <c r="Y274" i="1" s="1"/>
  <c r="AA274" i="1" s="1"/>
  <c r="V275" i="1"/>
  <c r="Y275" i="1" s="1"/>
  <c r="AA275" i="1" s="1"/>
  <c r="V276" i="1"/>
  <c r="Y276" i="1" s="1"/>
  <c r="AA276" i="1" s="1"/>
  <c r="V277" i="1"/>
  <c r="Y277" i="1" s="1"/>
  <c r="AA277" i="1" s="1"/>
  <c r="V278" i="1"/>
  <c r="Y278" i="1" s="1"/>
  <c r="AA278" i="1" s="1"/>
  <c r="V279" i="1"/>
  <c r="Y279" i="1" s="1"/>
  <c r="AA279" i="1" s="1"/>
  <c r="V280" i="1"/>
  <c r="Y280" i="1" s="1"/>
  <c r="AA280" i="1" s="1"/>
  <c r="V281" i="1"/>
  <c r="Y281" i="1" s="1"/>
  <c r="AA281" i="1" s="1"/>
  <c r="V282" i="1"/>
  <c r="Y282" i="1" s="1"/>
  <c r="AA282" i="1" s="1"/>
  <c r="V283" i="1"/>
  <c r="Y283" i="1" s="1"/>
  <c r="AA283" i="1" s="1"/>
  <c r="V284" i="1"/>
  <c r="Y284" i="1" s="1"/>
  <c r="AA284" i="1" s="1"/>
  <c r="V285" i="1"/>
  <c r="Y285" i="1" s="1"/>
  <c r="AA285" i="1" s="1"/>
  <c r="V286" i="1"/>
  <c r="Y286" i="1" s="1"/>
  <c r="AA286" i="1" s="1"/>
  <c r="V287" i="1"/>
  <c r="Y287" i="1" s="1"/>
  <c r="AA287" i="1" s="1"/>
  <c r="V288" i="1"/>
  <c r="Y288" i="1" s="1"/>
  <c r="AA288" i="1" s="1"/>
  <c r="V289" i="1"/>
  <c r="Y289" i="1" s="1"/>
  <c r="AA289" i="1" s="1"/>
  <c r="V290" i="1"/>
  <c r="Y290" i="1" s="1"/>
  <c r="AA290" i="1" s="1"/>
  <c r="V291" i="1"/>
  <c r="Y291" i="1" s="1"/>
  <c r="AA291" i="1" s="1"/>
  <c r="V292" i="1"/>
  <c r="Y292" i="1" s="1"/>
  <c r="AA292" i="1" s="1"/>
  <c r="V293" i="1"/>
  <c r="Y293" i="1" s="1"/>
  <c r="AA293" i="1" s="1"/>
  <c r="V294" i="1"/>
  <c r="Y294" i="1" s="1"/>
  <c r="AA294" i="1" s="1"/>
  <c r="V295" i="1"/>
  <c r="Y295" i="1" s="1"/>
  <c r="AA295" i="1" s="1"/>
  <c r="V296" i="1"/>
  <c r="Y296" i="1" s="1"/>
  <c r="AA296" i="1" s="1"/>
  <c r="V297" i="1"/>
  <c r="Y297" i="1" s="1"/>
  <c r="AA297" i="1" s="1"/>
  <c r="V298" i="1"/>
  <c r="Y298" i="1" s="1"/>
  <c r="AA298" i="1" s="1"/>
  <c r="V299" i="1"/>
  <c r="Y299" i="1" s="1"/>
  <c r="AA299" i="1" s="1"/>
  <c r="V300" i="1"/>
  <c r="Y300" i="1" s="1"/>
  <c r="AA300" i="1" s="1"/>
  <c r="V301" i="1"/>
  <c r="Y301" i="1" s="1"/>
  <c r="AA301" i="1" s="1"/>
  <c r="V302" i="1"/>
  <c r="Y302" i="1" s="1"/>
  <c r="AA302" i="1" s="1"/>
  <c r="V303" i="1"/>
  <c r="Y303" i="1" s="1"/>
  <c r="AA303" i="1" s="1"/>
  <c r="V304" i="1"/>
  <c r="Y304" i="1" s="1"/>
  <c r="AA304" i="1" s="1"/>
  <c r="V305" i="1"/>
  <c r="Y305" i="1" s="1"/>
  <c r="AA305" i="1" s="1"/>
  <c r="V306" i="1"/>
  <c r="Y306" i="1" s="1"/>
  <c r="AA306" i="1" s="1"/>
  <c r="V307" i="1"/>
  <c r="Y307" i="1" s="1"/>
  <c r="AA307" i="1" s="1"/>
  <c r="V308" i="1"/>
  <c r="Y308" i="1" s="1"/>
  <c r="AA308" i="1" s="1"/>
  <c r="V309" i="1"/>
  <c r="Y309" i="1" s="1"/>
  <c r="AA309" i="1" s="1"/>
  <c r="V310" i="1"/>
  <c r="Y310" i="1" s="1"/>
  <c r="AA310" i="1" s="1"/>
  <c r="V311" i="1"/>
  <c r="Y311" i="1" s="1"/>
  <c r="AA311" i="1" s="1"/>
  <c r="V312" i="1"/>
  <c r="Y312" i="1" s="1"/>
  <c r="AA312" i="1" s="1"/>
  <c r="V313" i="1"/>
  <c r="Y313" i="1" s="1"/>
  <c r="AA313" i="1" s="1"/>
  <c r="V314" i="1"/>
  <c r="Y314" i="1" s="1"/>
  <c r="AA314" i="1" s="1"/>
  <c r="V315" i="1"/>
  <c r="Y315" i="1" s="1"/>
  <c r="AA315" i="1" s="1"/>
  <c r="V316" i="1"/>
  <c r="Y316" i="1" s="1"/>
  <c r="AA316" i="1" s="1"/>
  <c r="V317" i="1"/>
  <c r="Y317" i="1" s="1"/>
  <c r="AA317" i="1" s="1"/>
  <c r="V318" i="1"/>
  <c r="Y318" i="1" s="1"/>
  <c r="AA318" i="1" s="1"/>
  <c r="V319" i="1"/>
  <c r="Y319" i="1" s="1"/>
  <c r="AA319" i="1" s="1"/>
  <c r="V320" i="1"/>
  <c r="Y320" i="1" s="1"/>
  <c r="AA320" i="1" s="1"/>
  <c r="V321" i="1"/>
  <c r="Y321" i="1" s="1"/>
  <c r="AA321" i="1" s="1"/>
  <c r="V322" i="1"/>
  <c r="Y322" i="1" s="1"/>
  <c r="AA322" i="1" s="1"/>
  <c r="V323" i="1"/>
  <c r="Y323" i="1" s="1"/>
  <c r="AA323" i="1" s="1"/>
  <c r="V324" i="1"/>
  <c r="Y324" i="1" s="1"/>
  <c r="AA324" i="1" s="1"/>
  <c r="V325" i="1"/>
  <c r="Y325" i="1" s="1"/>
  <c r="AA325" i="1" s="1"/>
  <c r="V326" i="1"/>
  <c r="Y326" i="1" s="1"/>
  <c r="AA326" i="1" s="1"/>
  <c r="V327" i="1"/>
  <c r="Y327" i="1" s="1"/>
  <c r="AA327" i="1" s="1"/>
  <c r="V328" i="1"/>
  <c r="Y328" i="1" s="1"/>
  <c r="AA328" i="1" s="1"/>
  <c r="V329" i="1"/>
  <c r="Y329" i="1" s="1"/>
  <c r="AA329" i="1" s="1"/>
  <c r="V330" i="1"/>
  <c r="Y330" i="1" s="1"/>
  <c r="AA330" i="1" s="1"/>
  <c r="V331" i="1"/>
  <c r="Y331" i="1" s="1"/>
  <c r="AA331" i="1" s="1"/>
  <c r="V332" i="1"/>
  <c r="Y332" i="1" s="1"/>
  <c r="AA332" i="1" s="1"/>
  <c r="V333" i="1"/>
  <c r="Y333" i="1" s="1"/>
  <c r="AA333" i="1" s="1"/>
  <c r="V334" i="1"/>
  <c r="Y334" i="1" s="1"/>
  <c r="AA334" i="1" s="1"/>
  <c r="V335" i="1"/>
  <c r="Y335" i="1" s="1"/>
  <c r="AA335" i="1" s="1"/>
  <c r="V336" i="1"/>
  <c r="Y336" i="1" s="1"/>
  <c r="AA336" i="1" s="1"/>
  <c r="V337" i="1"/>
  <c r="Y337" i="1" s="1"/>
  <c r="AA337" i="1" s="1"/>
  <c r="V338" i="1"/>
  <c r="Y338" i="1" s="1"/>
  <c r="AA338" i="1" s="1"/>
  <c r="V339" i="1"/>
  <c r="Y339" i="1" s="1"/>
  <c r="AA339" i="1" s="1"/>
  <c r="V340" i="1"/>
  <c r="Y340" i="1" s="1"/>
  <c r="AA340" i="1" s="1"/>
  <c r="V341" i="1"/>
  <c r="Y341" i="1" s="1"/>
  <c r="AA341" i="1" s="1"/>
  <c r="V342" i="1"/>
  <c r="Y342" i="1" s="1"/>
  <c r="AA342" i="1" s="1"/>
  <c r="V343" i="1"/>
  <c r="Y343" i="1" s="1"/>
  <c r="AA343" i="1" s="1"/>
  <c r="V344" i="1"/>
  <c r="Y344" i="1" s="1"/>
  <c r="AA344" i="1" s="1"/>
  <c r="V345" i="1"/>
  <c r="Y345" i="1" s="1"/>
  <c r="AA345" i="1" s="1"/>
  <c r="V346" i="1"/>
  <c r="Y346" i="1" s="1"/>
  <c r="AA346" i="1" s="1"/>
  <c r="V347" i="1"/>
  <c r="Y347" i="1" s="1"/>
  <c r="AA347" i="1" s="1"/>
  <c r="V348" i="1"/>
  <c r="Y348" i="1" s="1"/>
  <c r="AA348" i="1" s="1"/>
  <c r="V349" i="1"/>
  <c r="Y349" i="1" s="1"/>
  <c r="AA349" i="1" s="1"/>
  <c r="V350" i="1"/>
  <c r="Y350" i="1" s="1"/>
  <c r="AA350" i="1" s="1"/>
  <c r="V351" i="1"/>
  <c r="Y351" i="1" s="1"/>
  <c r="AA351" i="1" s="1"/>
  <c r="V352" i="1"/>
  <c r="Y352" i="1" s="1"/>
  <c r="AA352" i="1" s="1"/>
  <c r="V353" i="1"/>
  <c r="Y353" i="1" s="1"/>
  <c r="AA353" i="1" s="1"/>
  <c r="V354" i="1"/>
  <c r="Y354" i="1" s="1"/>
  <c r="AA354" i="1" s="1"/>
  <c r="V355" i="1"/>
  <c r="Y355" i="1" s="1"/>
  <c r="AA355" i="1" s="1"/>
  <c r="V356" i="1"/>
  <c r="Y356" i="1" s="1"/>
  <c r="AA356" i="1" s="1"/>
  <c r="V357" i="1"/>
  <c r="Y357" i="1" s="1"/>
  <c r="AA357" i="1" s="1"/>
  <c r="V358" i="1"/>
  <c r="Y358" i="1" s="1"/>
  <c r="AA358" i="1" s="1"/>
  <c r="V359" i="1"/>
  <c r="Y359" i="1" s="1"/>
  <c r="AA359" i="1" s="1"/>
  <c r="V360" i="1"/>
  <c r="Y360" i="1" s="1"/>
  <c r="AA360" i="1" s="1"/>
  <c r="V361" i="1"/>
  <c r="Y361" i="1" s="1"/>
  <c r="AA361" i="1" s="1"/>
  <c r="V362" i="1"/>
  <c r="Y362" i="1" s="1"/>
  <c r="AA362" i="1" s="1"/>
  <c r="V363" i="1"/>
  <c r="Y363" i="1" s="1"/>
  <c r="AA363" i="1" s="1"/>
  <c r="V364" i="1"/>
  <c r="Y364" i="1" s="1"/>
  <c r="AA364" i="1" s="1"/>
  <c r="V365" i="1"/>
  <c r="Y365" i="1" s="1"/>
  <c r="AA365" i="1" s="1"/>
  <c r="V366" i="1"/>
  <c r="Y366" i="1" s="1"/>
  <c r="AA366" i="1" s="1"/>
  <c r="V367" i="1"/>
  <c r="Y367" i="1" s="1"/>
  <c r="AA367" i="1" s="1"/>
  <c r="V368" i="1"/>
  <c r="Y368" i="1" s="1"/>
  <c r="AA368" i="1" s="1"/>
  <c r="V369" i="1"/>
  <c r="Y369" i="1" s="1"/>
  <c r="AA369" i="1" s="1"/>
  <c r="V370" i="1"/>
  <c r="Y370" i="1" s="1"/>
  <c r="AA3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Lopes</author>
  </authors>
  <commentList>
    <comment ref="E1" authorId="0" shapeId="0" xr:uid="{3F6FC39D-C3AF-4D8F-A491-8029281AB99E}">
      <text>
        <r>
          <rPr>
            <sz val="11"/>
            <color theme="1"/>
            <rFont val="Calibri"/>
            <family val="2"/>
            <scheme val="minor"/>
          </rPr>
          <t>Leonardo Lopes:
Clique duas vezes para ler inteiro, queria deixa um pouco bonito. Mas qualquer coisa da pra ler no pdf que é quase mesma coisa</t>
        </r>
      </text>
    </comment>
  </commentList>
</comments>
</file>

<file path=xl/sharedStrings.xml><?xml version="1.0" encoding="utf-8"?>
<sst xmlns="http://schemas.openxmlformats.org/spreadsheetml/2006/main" count="5121" uniqueCount="943">
  <si>
    <t>status</t>
  </si>
  <si>
    <t>nome</t>
  </si>
  <si>
    <t>cpf</t>
  </si>
  <si>
    <t>idade</t>
  </si>
  <si>
    <t>data_nascimento</t>
  </si>
  <si>
    <t>cidade</t>
  </si>
  <si>
    <t>regiao</t>
  </si>
  <si>
    <t>renda_mensal</t>
  </si>
  <si>
    <t>credito_tomado</t>
  </si>
  <si>
    <t>flag_inadimplente</t>
  </si>
  <si>
    <t>qtde_batalhas</t>
  </si>
  <si>
    <t>nivel_risco</t>
  </si>
  <si>
    <t>valor_solicitado</t>
  </si>
  <si>
    <t>Analise_Risco</t>
  </si>
  <si>
    <t>Analise_Credito</t>
  </si>
  <si>
    <t>Liberação_De_Creditos</t>
  </si>
  <si>
    <t>Nível de risco</t>
  </si>
  <si>
    <t>Quantidade</t>
  </si>
  <si>
    <t>Baixo</t>
  </si>
  <si>
    <t>Médio</t>
  </si>
  <si>
    <t>Alto</t>
  </si>
  <si>
    <t>flag_inadimplente2</t>
  </si>
  <si>
    <t>Coluna1</t>
  </si>
  <si>
    <t>Ativo</t>
  </si>
  <si>
    <t>Ellaria Baelish</t>
  </si>
  <si>
    <t>000.000.336-00</t>
  </si>
  <si>
    <t>Ninho da Águia</t>
  </si>
  <si>
    <t>Vale</t>
  </si>
  <si>
    <t>Sim</t>
  </si>
  <si>
    <t>Inativo</t>
  </si>
  <si>
    <t>Stannis Lannister</t>
  </si>
  <si>
    <t>Ponta Tempestade</t>
  </si>
  <si>
    <t>Terras da Tempestade</t>
  </si>
  <si>
    <t>11000 moedas</t>
  </si>
  <si>
    <t>SIm</t>
  </si>
  <si>
    <t>Asha Hornwood</t>
  </si>
  <si>
    <t>000.000.363-00</t>
  </si>
  <si>
    <t>Pedra do Dragão</t>
  </si>
  <si>
    <t>Terras da Coroa</t>
  </si>
  <si>
    <t>21500 moedas</t>
  </si>
  <si>
    <t>N/A</t>
  </si>
  <si>
    <t>não</t>
  </si>
  <si>
    <t>Jorah Dondarrion</t>
  </si>
  <si>
    <t>000.000.210-00</t>
  </si>
  <si>
    <t>Pyke | Ilhas de Ferro</t>
  </si>
  <si>
    <t>10400 moedas</t>
  </si>
  <si>
    <t>Jojen Florent</t>
  </si>
  <si>
    <t>000.000.321-00</t>
  </si>
  <si>
    <t>vale</t>
  </si>
  <si>
    <t>Não</t>
  </si>
  <si>
    <t>Olenna Baelish</t>
  </si>
  <si>
    <t>000.000.191-00</t>
  </si>
  <si>
    <t>Lannisporto</t>
  </si>
  <si>
    <t>3500 moedas</t>
  </si>
  <si>
    <t>ATIVO</t>
  </si>
  <si>
    <t>Brienne Manderly</t>
  </si>
  <si>
    <t>000.000.076-00</t>
  </si>
  <si>
    <t>Oeste</t>
  </si>
  <si>
    <t>8600 moedas</t>
  </si>
  <si>
    <t>yara targaryen</t>
  </si>
  <si>
    <t>000.000.059-00</t>
  </si>
  <si>
    <t>Pyke</t>
  </si>
  <si>
    <t>Ilhas De Ferro</t>
  </si>
  <si>
    <t>18200 moedas</t>
  </si>
  <si>
    <t>31000 moedas</t>
  </si>
  <si>
    <t>Margaery Tarly</t>
  </si>
  <si>
    <t>000.000.274-00</t>
  </si>
  <si>
    <t>ilhas de ferro</t>
  </si>
  <si>
    <t>Viserys Seaworth</t>
  </si>
  <si>
    <t>000.000.024-00</t>
  </si>
  <si>
    <t>Meereen</t>
  </si>
  <si>
    <t>Essos</t>
  </si>
  <si>
    <t>23000 moedas</t>
  </si>
  <si>
    <t>Tormund  Cerwyn</t>
  </si>
  <si>
    <t>000.000.039-00</t>
  </si>
  <si>
    <t>catelyn westerling</t>
  </si>
  <si>
    <t>Braavos</t>
  </si>
  <si>
    <t>19500 moedas</t>
  </si>
  <si>
    <t>Robb Baratheon</t>
  </si>
  <si>
    <t>000.000.365-00</t>
  </si>
  <si>
    <t>Asha Tallhart</t>
  </si>
  <si>
    <t>Ilhas de Ferro</t>
  </si>
  <si>
    <t>17600 moedas</t>
  </si>
  <si>
    <t>Missandei Tarly</t>
  </si>
  <si>
    <t>TERRAS DA TEMPESTADE</t>
  </si>
  <si>
    <t>Jeor Mallister</t>
  </si>
  <si>
    <t>000.000.162-00</t>
  </si>
  <si>
    <t>Correrrio</t>
  </si>
  <si>
    <t>Terras Fluviais</t>
  </si>
  <si>
    <t>Eddard Crakehall</t>
  </si>
  <si>
    <t>Castelo Negro</t>
  </si>
  <si>
    <t>Norte</t>
  </si>
  <si>
    <t>5500 moedas</t>
  </si>
  <si>
    <t>Podrick Swyft</t>
  </si>
  <si>
    <t>000.000.090-00</t>
  </si>
  <si>
    <t>TERRAS FLUVIAIS</t>
  </si>
  <si>
    <t>Podrick Dayne</t>
  </si>
  <si>
    <t>Vilavelha</t>
  </si>
  <si>
    <t>Campina</t>
  </si>
  <si>
    <t>Ellaria Seaworth</t>
  </si>
  <si>
    <t>000.000.125-00</t>
  </si>
  <si>
    <t>Melisandre Clegane</t>
  </si>
  <si>
    <t>000.000.231-00</t>
  </si>
  <si>
    <t>Ilha dos Ursos</t>
  </si>
  <si>
    <t>NORTE</t>
  </si>
  <si>
    <t>Robert Karstark</t>
  </si>
  <si>
    <t>000.000.184-00</t>
  </si>
  <si>
    <t>rhaegar stark</t>
  </si>
  <si>
    <t>000.000.119-00</t>
  </si>
  <si>
    <t>Loras Greyjoy</t>
  </si>
  <si>
    <t>000.000.362-00</t>
  </si>
  <si>
    <t>Fosso Cailin</t>
  </si>
  <si>
    <t>Jorah Hightower</t>
  </si>
  <si>
    <t>000.000.346-00</t>
  </si>
  <si>
    <t>TERRAS DA COROA</t>
  </si>
  <si>
    <t>1 batalhas</t>
  </si>
  <si>
    <t>Loras Clegane</t>
  </si>
  <si>
    <t>000.000.287-00</t>
  </si>
  <si>
    <t>Harrenhal</t>
  </si>
  <si>
    <t>Winterfell</t>
  </si>
  <si>
    <t>samwell yronwood</t>
  </si>
  <si>
    <t>000.000.124-00</t>
  </si>
  <si>
    <t>Jardim de Cima</t>
  </si>
  <si>
    <t>Ativoo</t>
  </si>
  <si>
    <t>Catelyn Yronwood</t>
  </si>
  <si>
    <t>000.000.226-00</t>
  </si>
  <si>
    <t>norte</t>
  </si>
  <si>
    <t>Brienne Reed</t>
  </si>
  <si>
    <t>000.000.306-00</t>
  </si>
  <si>
    <t>Rhaegar Umber</t>
  </si>
  <si>
    <t>000.000.247-00</t>
  </si>
  <si>
    <t>sim</t>
  </si>
  <si>
    <t>Roose Manderly</t>
  </si>
  <si>
    <t>Dorne</t>
  </si>
  <si>
    <t>sem renda</t>
  </si>
  <si>
    <t>Jeor Florent</t>
  </si>
  <si>
    <t>000.000.249-00</t>
  </si>
  <si>
    <t>terras da tempestade</t>
  </si>
  <si>
    <t>Bran Yronwood</t>
  </si>
  <si>
    <t>000.000.057-00</t>
  </si>
  <si>
    <t>Nao</t>
  </si>
  <si>
    <t>BRONN ARRYN</t>
  </si>
  <si>
    <t>000.000.016-00</t>
  </si>
  <si>
    <t>oeste</t>
  </si>
  <si>
    <t>Shae Clegane</t>
  </si>
  <si>
    <t>000.000.205-00</t>
  </si>
  <si>
    <t>Ramsay Hornwood</t>
  </si>
  <si>
    <t>000.000.005-00</t>
  </si>
  <si>
    <t>23400 moedas</t>
  </si>
  <si>
    <t>MEERA PAYNE</t>
  </si>
  <si>
    <t>000.000.131-00</t>
  </si>
  <si>
    <t>DORNE</t>
  </si>
  <si>
    <t>MELISANDRE BARATHEON</t>
  </si>
  <si>
    <t>000.000.364-00</t>
  </si>
  <si>
    <t>27 batalhas</t>
  </si>
  <si>
    <t>Podrick Targaryen</t>
  </si>
  <si>
    <t>000.000.050-00</t>
  </si>
  <si>
    <t>29900 moedas</t>
  </si>
  <si>
    <t>Margaery Manderly</t>
  </si>
  <si>
    <t>000.000.222-00</t>
  </si>
  <si>
    <t>Daenerys Seaworth</t>
  </si>
  <si>
    <t>000.000.341-00</t>
  </si>
  <si>
    <t>CAMPINA</t>
  </si>
  <si>
    <t>000.000.140-00</t>
  </si>
  <si>
    <t>Fosso Cailin | Norte</t>
  </si>
  <si>
    <t>Jorah Redwyne</t>
  </si>
  <si>
    <t>Monte Chifre</t>
  </si>
  <si>
    <t>campina</t>
  </si>
  <si>
    <t>Margaery  Hornwood</t>
  </si>
  <si>
    <t>Arya Redwyne</t>
  </si>
  <si>
    <t>000.000.333-00</t>
  </si>
  <si>
    <t>3800 moedas</t>
  </si>
  <si>
    <t>VARYS BRACKEN</t>
  </si>
  <si>
    <t>000.000.215-00</t>
  </si>
  <si>
    <t>Porto Real</t>
  </si>
  <si>
    <t>2000 moedas</t>
  </si>
  <si>
    <t>Brienne Royce</t>
  </si>
  <si>
    <t>23500 moedas</t>
  </si>
  <si>
    <t>Rickon Redwyne</t>
  </si>
  <si>
    <t>Tormund Karstark</t>
  </si>
  <si>
    <t>000.000.284-00</t>
  </si>
  <si>
    <t>Bran Dayne</t>
  </si>
  <si>
    <t>000.000.288-00</t>
  </si>
  <si>
    <t>4500 moedas</t>
  </si>
  <si>
    <t>000.000.294-00</t>
  </si>
  <si>
    <t>Aegon Frey</t>
  </si>
  <si>
    <t>000.000.338-00</t>
  </si>
  <si>
    <t>11100 moedas</t>
  </si>
  <si>
    <t>Daenerys Snow</t>
  </si>
  <si>
    <t>Dorne | Dorne</t>
  </si>
  <si>
    <t>Asha Baratheon</t>
  </si>
  <si>
    <t>000.000.195-00</t>
  </si>
  <si>
    <t>Rickon Crakehall</t>
  </si>
  <si>
    <t>000.000.066-00</t>
  </si>
  <si>
    <t>Atalaia da Água Cinzenta</t>
  </si>
  <si>
    <t>gargalo</t>
  </si>
  <si>
    <t>NÃO</t>
  </si>
  <si>
    <t>Eddard Mallister</t>
  </si>
  <si>
    <t>000.000.309-00</t>
  </si>
  <si>
    <t>GARGALO</t>
  </si>
  <si>
    <t>Daario Clegane</t>
  </si>
  <si>
    <t>000.000.270-00</t>
  </si>
  <si>
    <t>38 batalhas</t>
  </si>
  <si>
    <t>Ellaria Mallister</t>
  </si>
  <si>
    <t>000.000.194-00</t>
  </si>
  <si>
    <t>Stannis  Cerwyn</t>
  </si>
  <si>
    <t>ELLARIA TARLY</t>
  </si>
  <si>
    <t>000.000.026-00</t>
  </si>
  <si>
    <t>ESSOS</t>
  </si>
  <si>
    <t>ativo</t>
  </si>
  <si>
    <t>Daario Tyrell</t>
  </si>
  <si>
    <t>000.000.251-00</t>
  </si>
  <si>
    <t>Daario Marbrand</t>
  </si>
  <si>
    <t>000.000.014-00</t>
  </si>
  <si>
    <t>46 anos</t>
  </si>
  <si>
    <t>Thoros Tarth</t>
  </si>
  <si>
    <t>ILHAS DE FERRO</t>
  </si>
  <si>
    <t>Arya Marbrand</t>
  </si>
  <si>
    <t>000.000.133-00</t>
  </si>
  <si>
    <t>Davos Tyrell</t>
  </si>
  <si>
    <t>28 batalhas</t>
  </si>
  <si>
    <t>Lyanna Florent</t>
  </si>
  <si>
    <t>Varys Bolton</t>
  </si>
  <si>
    <t>Shae Seaworth</t>
  </si>
  <si>
    <t>000.000.030-00</t>
  </si>
  <si>
    <t>essos</t>
  </si>
  <si>
    <t>Jojen Reed</t>
  </si>
  <si>
    <t>000.000.136-00</t>
  </si>
  <si>
    <t>20000 moedas</t>
  </si>
  <si>
    <t>Podrick Blackwood</t>
  </si>
  <si>
    <t>000.000.135-00</t>
  </si>
  <si>
    <t>Renly Mallister</t>
  </si>
  <si>
    <t>000.000.372-00</t>
  </si>
  <si>
    <t>Cersei Clegane</t>
  </si>
  <si>
    <t>000.000.323-00</t>
  </si>
  <si>
    <t>BERIC CRAKEHALL</t>
  </si>
  <si>
    <t>000.000.067-00</t>
  </si>
  <si>
    <t>Ellaria Bracken</t>
  </si>
  <si>
    <t>000.000.138-00</t>
  </si>
  <si>
    <t>Ellaria  Reed</t>
  </si>
  <si>
    <t>000.000.311-00</t>
  </si>
  <si>
    <t>Daenerys Tallhart</t>
  </si>
  <si>
    <t>000.000.092-00</t>
  </si>
  <si>
    <t>Lyanna Marbrand</t>
  </si>
  <si>
    <t>000.000.283-00</t>
  </si>
  <si>
    <t>22000 moedas</t>
  </si>
  <si>
    <t>Ramsay Dondarrion</t>
  </si>
  <si>
    <t>000.000.054-00</t>
  </si>
  <si>
    <t>dorne</t>
  </si>
  <si>
    <t>Thoros  Baelish</t>
  </si>
  <si>
    <t>000.000.011-00</t>
  </si>
  <si>
    <t>Melisandre Blackwood</t>
  </si>
  <si>
    <t>000.000.051-00</t>
  </si>
  <si>
    <t>Yara Baelish</t>
  </si>
  <si>
    <t>Solar do Entardecer</t>
  </si>
  <si>
    <t>Terras Da Tempestade</t>
  </si>
  <si>
    <t>Cersei Stark</t>
  </si>
  <si>
    <t>000.000.293-00</t>
  </si>
  <si>
    <t>Jon  Karstark</t>
  </si>
  <si>
    <t>000.000.139-00</t>
  </si>
  <si>
    <t>55 anos</t>
  </si>
  <si>
    <t>70500 moedas</t>
  </si>
  <si>
    <t>Yara Royce</t>
  </si>
  <si>
    <t>Jeor Lannister</t>
  </si>
  <si>
    <t>000.000.091-00</t>
  </si>
  <si>
    <t>10 batalhas</t>
  </si>
  <si>
    <t>bran florent</t>
  </si>
  <si>
    <t>000.000.218-00</t>
  </si>
  <si>
    <t>Jojen Redwyne</t>
  </si>
  <si>
    <t>000.000.334-00</t>
  </si>
  <si>
    <t>24 anos</t>
  </si>
  <si>
    <t>Bronn Mallister</t>
  </si>
  <si>
    <t>000.000.200-00</t>
  </si>
  <si>
    <t>76500 moedas</t>
  </si>
  <si>
    <t>Olenna Reed</t>
  </si>
  <si>
    <t>000.000.248-00</t>
  </si>
  <si>
    <t>Braavos | Essos</t>
  </si>
  <si>
    <t>Jon Hightower</t>
  </si>
  <si>
    <t>000.000.081-00</t>
  </si>
  <si>
    <t>renly dayne</t>
  </si>
  <si>
    <t>000.000.065-00</t>
  </si>
  <si>
    <t>Missandei Karstark</t>
  </si>
  <si>
    <t>000.000.044-00</t>
  </si>
  <si>
    <t>terras da coroa</t>
  </si>
  <si>
    <t>Catelyn Cerwyn</t>
  </si>
  <si>
    <t>000.000.308-00</t>
  </si>
  <si>
    <t>Margaery Dayne</t>
  </si>
  <si>
    <t>000.000.276-00</t>
  </si>
  <si>
    <t>Rickon Karstark</t>
  </si>
  <si>
    <t>000.000.088-00</t>
  </si>
  <si>
    <t>Jorah Seaworth</t>
  </si>
  <si>
    <t>28800 moedas</t>
  </si>
  <si>
    <t>Stannis Redwyne</t>
  </si>
  <si>
    <t>000.000.216-00</t>
  </si>
  <si>
    <t>Jardim de Cima | Campina</t>
  </si>
  <si>
    <t>3 batalhas</t>
  </si>
  <si>
    <t>000.000.277-00</t>
  </si>
  <si>
    <t>LORAS BAELISH</t>
  </si>
  <si>
    <t>000.000.217-00</t>
  </si>
  <si>
    <t>Viserys Florent</t>
  </si>
  <si>
    <t>000.000.129-00</t>
  </si>
  <si>
    <t>Jon Marbrand</t>
  </si>
  <si>
    <t>000.000.359-00</t>
  </si>
  <si>
    <t>Aegon Bracken</t>
  </si>
  <si>
    <t>000.000.244-00</t>
  </si>
  <si>
    <t>terras fluviais</t>
  </si>
  <si>
    <t>loras payne</t>
  </si>
  <si>
    <t>000.000.027-00</t>
  </si>
  <si>
    <t>Missandei  Tarly</t>
  </si>
  <si>
    <t>000.000.196-00</t>
  </si>
  <si>
    <t>24 batalhas</t>
  </si>
  <si>
    <t>Aegon Baelish</t>
  </si>
  <si>
    <t>Meereen | Essos</t>
  </si>
  <si>
    <t>MELISANDRE TARGARYEN</t>
  </si>
  <si>
    <t>000.000.170-00</t>
  </si>
  <si>
    <t>loqueado</t>
  </si>
  <si>
    <t>Roose Cerwyn</t>
  </si>
  <si>
    <t>000.000.047-00</t>
  </si>
  <si>
    <t>Shae Frey</t>
  </si>
  <si>
    <t>61500 moedas</t>
  </si>
  <si>
    <t>Lyanna Swyft</t>
  </si>
  <si>
    <t>Rhaegar Targaryen</t>
  </si>
  <si>
    <t>000.000.342-00</t>
  </si>
  <si>
    <t>31 batalhas</t>
  </si>
  <si>
    <t>Varys Targaryen</t>
  </si>
  <si>
    <t>000.000.234-00</t>
  </si>
  <si>
    <t>Robb Stark</t>
  </si>
  <si>
    <t>000.000.228-00</t>
  </si>
  <si>
    <t>Gendry Hightower</t>
  </si>
  <si>
    <t>000.000.167-00</t>
  </si>
  <si>
    <t>Harrenhal | Terras Fluviais</t>
  </si>
  <si>
    <t>tormund glover</t>
  </si>
  <si>
    <t>000.000.087-00</t>
  </si>
  <si>
    <t>Tyrion Snow</t>
  </si>
  <si>
    <t>Beric  Umber</t>
  </si>
  <si>
    <t>Varys Florent</t>
  </si>
  <si>
    <t>Catelyn Umber</t>
  </si>
  <si>
    <t>Samwell Glover</t>
  </si>
  <si>
    <t>Thoros Clegane</t>
  </si>
  <si>
    <t>000.000.141-00</t>
  </si>
  <si>
    <t>THEON BARATHEON</t>
  </si>
  <si>
    <t>000.000.375-00</t>
  </si>
  <si>
    <t>22900 moedas</t>
  </si>
  <si>
    <t>SIM</t>
  </si>
  <si>
    <t>Melisandre  Baelish</t>
  </si>
  <si>
    <t>000.000.152-00</t>
  </si>
  <si>
    <t>25100 moedas</t>
  </si>
  <si>
    <t>Robert Yronwood</t>
  </si>
  <si>
    <t>000.000.075-00</t>
  </si>
  <si>
    <t>Meera Reed</t>
  </si>
  <si>
    <t>000.000.314-00</t>
  </si>
  <si>
    <t>tormund royce</t>
  </si>
  <si>
    <t>000.000.297-00</t>
  </si>
  <si>
    <t>Tyrion Karstark</t>
  </si>
  <si>
    <t>OESTE</t>
  </si>
  <si>
    <t>Missandei Florent</t>
  </si>
  <si>
    <t>000.000.282-00</t>
  </si>
  <si>
    <t>Varys  Stark</t>
  </si>
  <si>
    <t>Jeor Karstark</t>
  </si>
  <si>
    <t>000.000.310-00</t>
  </si>
  <si>
    <t>RENLY MORMONT</t>
  </si>
  <si>
    <t>000.000.376-00</t>
  </si>
  <si>
    <t>19 batalhas</t>
  </si>
  <si>
    <t>Eddard Royce</t>
  </si>
  <si>
    <t>000.000.181-00</t>
  </si>
  <si>
    <t>Terras Da Coroa</t>
  </si>
  <si>
    <t>16000 moedas</t>
  </si>
  <si>
    <t>Rhaegar Lannister</t>
  </si>
  <si>
    <t>Varys Blackwood</t>
  </si>
  <si>
    <t>000.000.373-00</t>
  </si>
  <si>
    <t>EDDARD WESTERLING</t>
  </si>
  <si>
    <t>000.000.094-00</t>
  </si>
  <si>
    <t>Varys  Blackwood</t>
  </si>
  <si>
    <t>41 batalhas</t>
  </si>
  <si>
    <t>Olenna Bracken</t>
  </si>
  <si>
    <t>000.000.225-00</t>
  </si>
  <si>
    <t>Aegon Marbrand</t>
  </si>
  <si>
    <t>Beric Tyrell</t>
  </si>
  <si>
    <t>000.000.242-00</t>
  </si>
  <si>
    <t>Asha Manderly</t>
  </si>
  <si>
    <t>000.000.357-00</t>
  </si>
  <si>
    <t>Ellaria Mormont</t>
  </si>
  <si>
    <t>000.000.157-00</t>
  </si>
  <si>
    <t>29 batalhas</t>
  </si>
  <si>
    <t>Grey Worm Baratheon</t>
  </si>
  <si>
    <t>000.000.221-00</t>
  </si>
  <si>
    <t>Ellaria Swyft</t>
  </si>
  <si>
    <t>000.000.115-00</t>
  </si>
  <si>
    <t>VALE</t>
  </si>
  <si>
    <t>Grey  Worm  Greyjoy</t>
  </si>
  <si>
    <t>000.000.182-00</t>
  </si>
  <si>
    <t>Jeor  Payne</t>
  </si>
  <si>
    <t>Bronn Royce</t>
  </si>
  <si>
    <t>Robert Hornwood</t>
  </si>
  <si>
    <t>000.000.259-00</t>
  </si>
  <si>
    <t>inativo</t>
  </si>
  <si>
    <t>Asha Bolton</t>
  </si>
  <si>
    <t>Bronn Blackwood</t>
  </si>
  <si>
    <t>000.000.052-00</t>
  </si>
  <si>
    <t>Daario Arryn</t>
  </si>
  <si>
    <t>000.000.173-00</t>
  </si>
  <si>
    <t>Jeor Marbrand</t>
  </si>
  <si>
    <t>000.000.073-00</t>
  </si>
  <si>
    <t>Petyr Karstark</t>
  </si>
  <si>
    <t>Ramsay Stark</t>
  </si>
  <si>
    <t>000.000.169-00</t>
  </si>
  <si>
    <t>Thoros Karstark</t>
  </si>
  <si>
    <t>000.000.012-00</t>
  </si>
  <si>
    <t>Gargalo</t>
  </si>
  <si>
    <t>Ellaria Martell</t>
  </si>
  <si>
    <t>000.000.148-00</t>
  </si>
  <si>
    <t>Yara Payne</t>
  </si>
  <si>
    <t>000.000.250-00</t>
  </si>
  <si>
    <t>Viserys Baratheon</t>
  </si>
  <si>
    <t>000.000.186-00</t>
  </si>
  <si>
    <t>Jeor Clegane</t>
  </si>
  <si>
    <t>42000 moedas</t>
  </si>
  <si>
    <t>SANDOR WESTERLING</t>
  </si>
  <si>
    <t>30 batalhas</t>
  </si>
  <si>
    <t>Gilly Frey</t>
  </si>
  <si>
    <t>000.000.258-00</t>
  </si>
  <si>
    <t>Loras Bracken</t>
  </si>
  <si>
    <t>000.000.254-00</t>
  </si>
  <si>
    <t>Atalaia da Água Cinzenta | Gargalo</t>
  </si>
  <si>
    <t>17500 moedas</t>
  </si>
  <si>
    <t>Varys Tallhart</t>
  </si>
  <si>
    <t>Roose Bracken</t>
  </si>
  <si>
    <t>Varys Arryn</t>
  </si>
  <si>
    <t>000.000.097-00</t>
  </si>
  <si>
    <t>Asha Redwyne</t>
  </si>
  <si>
    <t>Beric Tallhart</t>
  </si>
  <si>
    <t>000.000.291-00</t>
  </si>
  <si>
    <t>Margaery Cerwyn</t>
  </si>
  <si>
    <t>000.000.211-00</t>
  </si>
  <si>
    <t>5 batalhas</t>
  </si>
  <si>
    <t>Loras Frey</t>
  </si>
  <si>
    <t>000.000.017-00</t>
  </si>
  <si>
    <t>Bran Karstark</t>
  </si>
  <si>
    <t>000.000.241-00</t>
  </si>
  <si>
    <t>ROBERT CERWYN</t>
  </si>
  <si>
    <t>17800 moedas</t>
  </si>
  <si>
    <t>Thoros Yronwood</t>
  </si>
  <si>
    <t>000.000.201-00</t>
  </si>
  <si>
    <t>Bronn Umber</t>
  </si>
  <si>
    <t>000.000.177-00</t>
  </si>
  <si>
    <t>Brienne Dayne</t>
  </si>
  <si>
    <t>000.000.070-00</t>
  </si>
  <si>
    <t>Bronn Bolton</t>
  </si>
  <si>
    <t>000.000.143-00</t>
  </si>
  <si>
    <t>26800 moedas</t>
  </si>
  <si>
    <t>Rhaegar Hornwood</t>
  </si>
  <si>
    <t>000.000.178-00</t>
  </si>
  <si>
    <t>Meera Tarly</t>
  </si>
  <si>
    <t>000.000.326-00</t>
  </si>
  <si>
    <t>THOROS HORNWOOD</t>
  </si>
  <si>
    <t>000.000.245-00</t>
  </si>
  <si>
    <t>Jeor Martell</t>
  </si>
  <si>
    <t>000.000.061-00</t>
  </si>
  <si>
    <t>20100 moedas</t>
  </si>
  <si>
    <t>Lyanna Stark</t>
  </si>
  <si>
    <t>000.000.023-00</t>
  </si>
  <si>
    <t>Rhaegar Tallhart</t>
  </si>
  <si>
    <t>Petyr Greyjoy</t>
  </si>
  <si>
    <t>000.000.301-00</t>
  </si>
  <si>
    <t>Renly Redwyne</t>
  </si>
  <si>
    <t>000.000.045-00</t>
  </si>
  <si>
    <t>Asha Arryn</t>
  </si>
  <si>
    <t>000.000.122-00</t>
  </si>
  <si>
    <t>Podrick Florent</t>
  </si>
  <si>
    <t>000.000.354-00</t>
  </si>
  <si>
    <t>INATIVO</t>
  </si>
  <si>
    <t>Daario Cerwyn</t>
  </si>
  <si>
    <t>Catelyn Tarly</t>
  </si>
  <si>
    <t>27 anos</t>
  </si>
  <si>
    <t>Rickon Lannister</t>
  </si>
  <si>
    <t>000.000.197-00</t>
  </si>
  <si>
    <t>40 batalhas</t>
  </si>
  <si>
    <t>Jorah Marbrand</t>
  </si>
  <si>
    <t>000.000.168-00</t>
  </si>
  <si>
    <t>Pedra do Dragão | Terras da Coroa</t>
  </si>
  <si>
    <t>Renly Seaworth</t>
  </si>
  <si>
    <t>robert mallister</t>
  </si>
  <si>
    <t>000.000.037-00</t>
  </si>
  <si>
    <t>Ramsay Dayne</t>
  </si>
  <si>
    <t>000.000.224-00</t>
  </si>
  <si>
    <t>BRIENNE KARSTARK</t>
  </si>
  <si>
    <t>000.000.031-00</t>
  </si>
  <si>
    <t>Tormund Greyjoy</t>
  </si>
  <si>
    <t>000.000.009-00</t>
  </si>
  <si>
    <t>Jaime Yronwood</t>
  </si>
  <si>
    <t>Thoros Payne</t>
  </si>
  <si>
    <t>000.000.006-00</t>
  </si>
  <si>
    <t>Correrrio | Terras Fluviais</t>
  </si>
  <si>
    <t>theon tarth</t>
  </si>
  <si>
    <t>000.000.289-00</t>
  </si>
  <si>
    <t>Stannis Seaworth</t>
  </si>
  <si>
    <t>000.000.316-00</t>
  </si>
  <si>
    <t>Grey Worm Dondarrion</t>
  </si>
  <si>
    <t>Olenna Arryn</t>
  </si>
  <si>
    <t>Tyrion Tyrell</t>
  </si>
  <si>
    <t>Robb Clegane</t>
  </si>
  <si>
    <t>000.000.304-00</t>
  </si>
  <si>
    <t>Bran Dondarrion</t>
  </si>
  <si>
    <t>Jeor Baelish</t>
  </si>
  <si>
    <t>000.000.332-00</t>
  </si>
  <si>
    <t>14300 moedas</t>
  </si>
  <si>
    <t>78000 moedas</t>
  </si>
  <si>
    <t>Jaime Dondarrion</t>
  </si>
  <si>
    <t>000.000.056-00</t>
  </si>
  <si>
    <t>20900 moedas</t>
  </si>
  <si>
    <t>Loras Manderly</t>
  </si>
  <si>
    <t>Monte Chifre | Campina</t>
  </si>
  <si>
    <t>18 batalhas</t>
  </si>
  <si>
    <t>Beric Seaworth</t>
  </si>
  <si>
    <t>000.000.025-00</t>
  </si>
  <si>
    <t>Lyanna Seaworth</t>
  </si>
  <si>
    <t>000.000.041-00</t>
  </si>
  <si>
    <t>Margaery Marbrand</t>
  </si>
  <si>
    <t>000.000.146-00</t>
  </si>
  <si>
    <t>Tormund Yronwood</t>
  </si>
  <si>
    <t>000.000.187-00</t>
  </si>
  <si>
    <t>Ramsay Tarly</t>
  </si>
  <si>
    <t>Shae Mormont</t>
  </si>
  <si>
    <t>000.000.114-00</t>
  </si>
  <si>
    <t>renly bolton</t>
  </si>
  <si>
    <t>000.000.303-00</t>
  </si>
  <si>
    <t>Grey Worm Hornwood</t>
  </si>
  <si>
    <t>000.000.322-00</t>
  </si>
  <si>
    <t>52000 moedas</t>
  </si>
  <si>
    <t>Rhaegar Dayne</t>
  </si>
  <si>
    <t>000.000.335-00</t>
  </si>
  <si>
    <t>BRAN BOLTON</t>
  </si>
  <si>
    <t>000.000.003-00</t>
  </si>
  <si>
    <t>Shae Tarly</t>
  </si>
  <si>
    <t>000.000.235-00</t>
  </si>
  <si>
    <t>000.000.307-00</t>
  </si>
  <si>
    <t>Melisandre Crakehall</t>
  </si>
  <si>
    <t>000.000.260-00</t>
  </si>
  <si>
    <t>45500 moedas</t>
  </si>
  <si>
    <t>Sandor Westerling</t>
  </si>
  <si>
    <t>000.000.008-00</t>
  </si>
  <si>
    <t>Petyr Snow</t>
  </si>
  <si>
    <t>Robert Tarth</t>
  </si>
  <si>
    <t>000.000.001-00</t>
  </si>
  <si>
    <t>Robb Greyjoy</t>
  </si>
  <si>
    <t>000.000.227-00</t>
  </si>
  <si>
    <t>Yara  Marbrand</t>
  </si>
  <si>
    <t>000.000.266-00</t>
  </si>
  <si>
    <t>Cersei  Marbrand</t>
  </si>
  <si>
    <t>000.000.158-00</t>
  </si>
  <si>
    <t>Melisandre Baratheon</t>
  </si>
  <si>
    <t>000.000.020-00</t>
  </si>
  <si>
    <t>Yara Tallhart</t>
  </si>
  <si>
    <t>Gilly Mormont</t>
  </si>
  <si>
    <t>000.000.220-00</t>
  </si>
  <si>
    <t>Brienne Dondarrion</t>
  </si>
  <si>
    <t>000.000.256-00</t>
  </si>
  <si>
    <t>Missandei Glover</t>
  </si>
  <si>
    <t>Bronn Manderly</t>
  </si>
  <si>
    <t>000.000.074-00</t>
  </si>
  <si>
    <t>Aegon Florent</t>
  </si>
  <si>
    <t>Daario  Dayne</t>
  </si>
  <si>
    <t>000.000.144-00</t>
  </si>
  <si>
    <t>32 anos</t>
  </si>
  <si>
    <t>Roose Dondarrion</t>
  </si>
  <si>
    <t>000.000.126-00</t>
  </si>
  <si>
    <t>Stannis Greyjoy</t>
  </si>
  <si>
    <t>000.000.236-00</t>
  </si>
  <si>
    <t>Thoros Greyjoy</t>
  </si>
  <si>
    <t>000.000.043-00</t>
  </si>
  <si>
    <t>60000 moedas</t>
  </si>
  <si>
    <t>Thoros Crakehall</t>
  </si>
  <si>
    <t>Viserys  Umber</t>
  </si>
  <si>
    <t>000.000.155-00</t>
  </si>
  <si>
    <t>18000 moedas</t>
  </si>
  <si>
    <t>Cersei Greyjoy</t>
  </si>
  <si>
    <t>000.000.265-00</t>
  </si>
  <si>
    <t>21300 moedas</t>
  </si>
  <si>
    <t>Tormund Tyrell</t>
  </si>
  <si>
    <t>000.000.378-00</t>
  </si>
  <si>
    <t>Bronn Stark</t>
  </si>
  <si>
    <t>000.000.313-00</t>
  </si>
  <si>
    <t>Tyrion Blackwood</t>
  </si>
  <si>
    <t>000.000.100-00</t>
  </si>
  <si>
    <t>Brienne Westerling</t>
  </si>
  <si>
    <t>000.000.379-00</t>
  </si>
  <si>
    <t>Beric Manderly</t>
  </si>
  <si>
    <t>Jojen Hornwood</t>
  </si>
  <si>
    <t>000.000.128-00</t>
  </si>
  <si>
    <t>theon baelish</t>
  </si>
  <si>
    <t>000.000.380-00</t>
  </si>
  <si>
    <t>Aegon Hornwood</t>
  </si>
  <si>
    <t>Ellaria Redwyne</t>
  </si>
  <si>
    <t>000.000.093-00</t>
  </si>
  <si>
    <t>missandei redwyne</t>
  </si>
  <si>
    <t>000.000.111-00</t>
  </si>
  <si>
    <t>000.000.007-00</t>
  </si>
  <si>
    <t>Eddard Payne</t>
  </si>
  <si>
    <t>9200 moedas</t>
  </si>
  <si>
    <t>CERSEI GLOVER</t>
  </si>
  <si>
    <t>000.000.324-00</t>
  </si>
  <si>
    <t>4 batalhas</t>
  </si>
  <si>
    <t>Theon Karstark</t>
  </si>
  <si>
    <t>000.000.296-00</t>
  </si>
  <si>
    <t>Jon Cerwyn</t>
  </si>
  <si>
    <t>000.000.112-00</t>
  </si>
  <si>
    <t>13 batalhas</t>
  </si>
  <si>
    <t>Jon Bolton</t>
  </si>
  <si>
    <t>000.000.130-00</t>
  </si>
  <si>
    <t>Robert Stark</t>
  </si>
  <si>
    <t>000.000.315-00</t>
  </si>
  <si>
    <t>Tyrion Lannister</t>
  </si>
  <si>
    <t>26 batalhas</t>
  </si>
  <si>
    <t>Eddard Greyjoy</t>
  </si>
  <si>
    <t>000.000.238-00</t>
  </si>
  <si>
    <t>000.000.374-00</t>
  </si>
  <si>
    <t>Gilly Marbrand</t>
  </si>
  <si>
    <t>Catelyn Lannister</t>
  </si>
  <si>
    <t>000.000.110-00</t>
  </si>
  <si>
    <t>Gendry Cerwyn</t>
  </si>
  <si>
    <t>000.000.153-00</t>
  </si>
  <si>
    <t>Lannisporto | Oeste</t>
  </si>
  <si>
    <t>Jon Dayne</t>
  </si>
  <si>
    <t>Renly Blackwood</t>
  </si>
  <si>
    <t>000.000.106-00</t>
  </si>
  <si>
    <t>Davos  Baratheon</t>
  </si>
  <si>
    <t>000.000.055-00</t>
  </si>
  <si>
    <t>Bronn Crakehall</t>
  </si>
  <si>
    <t>3600 moedas</t>
  </si>
  <si>
    <t>000.000.339-00</t>
  </si>
  <si>
    <t>Cersei Umber</t>
  </si>
  <si>
    <t>000.000.058-00</t>
  </si>
  <si>
    <t>petyr yronwood</t>
  </si>
  <si>
    <t>000.000.095-00</t>
  </si>
  <si>
    <t>Robert Westerling</t>
  </si>
  <si>
    <t>000.000.105-00</t>
  </si>
  <si>
    <t>27300 moedas</t>
  </si>
  <si>
    <t>Jon Tarth</t>
  </si>
  <si>
    <t>000.000.208-00</t>
  </si>
  <si>
    <t>Jaime Seaworth</t>
  </si>
  <si>
    <t>000.000.263-00</t>
  </si>
  <si>
    <t>Jorah  Tyrell</t>
  </si>
  <si>
    <t>000.000.229-00</t>
  </si>
  <si>
    <t>Eddard Stark</t>
  </si>
  <si>
    <t>000.000.015-00</t>
  </si>
  <si>
    <t>29700 moedas</t>
  </si>
  <si>
    <t>Lyanna Tarly</t>
  </si>
  <si>
    <t>000.000.232-00</t>
  </si>
  <si>
    <t>Cersei Tarth</t>
  </si>
  <si>
    <t>000.000.147-00</t>
  </si>
  <si>
    <t>74000 moedas</t>
  </si>
  <si>
    <t>Catelyn Mallister</t>
  </si>
  <si>
    <t>000.000.062-00</t>
  </si>
  <si>
    <t>Castelo Negro | Norte</t>
  </si>
  <si>
    <t>Brienne Mallister</t>
  </si>
  <si>
    <t>000.000.202-00</t>
  </si>
  <si>
    <t>Ilha dos Ursos | Norte</t>
  </si>
  <si>
    <t>Stannis Crakehall</t>
  </si>
  <si>
    <t>000.000.351-00</t>
  </si>
  <si>
    <t>Sansa Dondarrion</t>
  </si>
  <si>
    <t>000.000.101-00</t>
  </si>
  <si>
    <t>Beric  Karstark</t>
  </si>
  <si>
    <t>000.000.172-00</t>
  </si>
  <si>
    <t>Bran Umber</t>
  </si>
  <si>
    <t>000.000.104-00</t>
  </si>
  <si>
    <t>Davos Umber</t>
  </si>
  <si>
    <t>000.000.353-00</t>
  </si>
  <si>
    <t>6 batalhas</t>
  </si>
  <si>
    <t>Aegon Redwyne</t>
  </si>
  <si>
    <t>000.000.347-00</t>
  </si>
  <si>
    <t>Robert Mallister</t>
  </si>
  <si>
    <t>MARGAERY DONDARRION</t>
  </si>
  <si>
    <t>41 anos</t>
  </si>
  <si>
    <t>Roose Bolton</t>
  </si>
  <si>
    <t>Jon Hornwood</t>
  </si>
  <si>
    <t>Shae  Dayne</t>
  </si>
  <si>
    <t>000.000.312-00</t>
  </si>
  <si>
    <t>Petyr Swyft</t>
  </si>
  <si>
    <t>000.000.275-00</t>
  </si>
  <si>
    <t>Jaime Bracken</t>
  </si>
  <si>
    <t>Rhaegar Mormont</t>
  </si>
  <si>
    <t>000.000.109-00</t>
  </si>
  <si>
    <t>Jorah Florent</t>
  </si>
  <si>
    <t>000.000.204-00</t>
  </si>
  <si>
    <t>Asha Blackwood</t>
  </si>
  <si>
    <t>000.000.085-00</t>
  </si>
  <si>
    <t>Gilly Swyft</t>
  </si>
  <si>
    <t>000.000.261-00</t>
  </si>
  <si>
    <t>Bran Frey</t>
  </si>
  <si>
    <t>000.000.189-00</t>
  </si>
  <si>
    <t>Rickon Targaryen</t>
  </si>
  <si>
    <t>000.000.298-00</t>
  </si>
  <si>
    <t>4000 moedas</t>
  </si>
  <si>
    <t>Lyanna Westerling</t>
  </si>
  <si>
    <t>000.000.004-00</t>
  </si>
  <si>
    <t>RENLY STARK</t>
  </si>
  <si>
    <t>olenna hornwood</t>
  </si>
  <si>
    <t>Aegon Blackwood</t>
  </si>
  <si>
    <t>000.000.118-00</t>
  </si>
  <si>
    <t>Brienne Glover</t>
  </si>
  <si>
    <t>000.000.355-00</t>
  </si>
  <si>
    <t>Ellaria Cerwyn</t>
  </si>
  <si>
    <t>000.000.019-00</t>
  </si>
  <si>
    <t>51 anos</t>
  </si>
  <si>
    <t>7 batalhas</t>
  </si>
  <si>
    <t>Loras Lannister</t>
  </si>
  <si>
    <t>000.000.302-00</t>
  </si>
  <si>
    <t>000.000.103-00</t>
  </si>
  <si>
    <t>Catelyn  Dayne</t>
  </si>
  <si>
    <t>000.000.213-00</t>
  </si>
  <si>
    <t>LYANNA TARTH</t>
  </si>
  <si>
    <t>000.000.345-00</t>
  </si>
  <si>
    <t>19900 moedas</t>
  </si>
  <si>
    <t>Varys Lannister</t>
  </si>
  <si>
    <t>000.000.367-00</t>
  </si>
  <si>
    <t>21600 moedas</t>
  </si>
  <si>
    <t>Ellaria Targaryen</t>
  </si>
  <si>
    <t>000.000.149-00</t>
  </si>
  <si>
    <t>000.000.010-00</t>
  </si>
  <si>
    <t>80000 moedas</t>
  </si>
  <si>
    <t>48500 moedas</t>
  </si>
  <si>
    <t>Bronn Baratheon</t>
  </si>
  <si>
    <t>Jojen Dayne</t>
  </si>
  <si>
    <t>000.000.199-00</t>
  </si>
  <si>
    <t>Sandor Clegane</t>
  </si>
  <si>
    <t>000.000.164-00</t>
  </si>
  <si>
    <t>Thoros Westerling</t>
  </si>
  <si>
    <t>Stannis Westerling</t>
  </si>
  <si>
    <t>000.000.071-00</t>
  </si>
  <si>
    <t>000.000.079-00</t>
  </si>
  <si>
    <t>Melisandre Cerwyn</t>
  </si>
  <si>
    <t>000.000.120-00</t>
  </si>
  <si>
    <t>6400 moedas</t>
  </si>
  <si>
    <t>Thoros  Frey</t>
  </si>
  <si>
    <t>000.000.113-00</t>
  </si>
  <si>
    <t>Gilly Glover</t>
  </si>
  <si>
    <t>Robb Reed</t>
  </si>
  <si>
    <t>000.000.246-00</t>
  </si>
  <si>
    <t>Petyr Mallister</t>
  </si>
  <si>
    <t>Rickon Frey</t>
  </si>
  <si>
    <t>000.000.013-00</t>
  </si>
  <si>
    <t>Loras  Tarth</t>
  </si>
  <si>
    <t>000.000.286-00</t>
  </si>
  <si>
    <t>Theon Frey</t>
  </si>
  <si>
    <t>000.000.123-00</t>
  </si>
  <si>
    <t>Renly Tallhart</t>
  </si>
  <si>
    <t>Yara Mallister</t>
  </si>
  <si>
    <t>000.000.134-00</t>
  </si>
  <si>
    <t>Grey Worm Targaryen</t>
  </si>
  <si>
    <t>000.000.060-00</t>
  </si>
  <si>
    <t>Sandor Dondarrion</t>
  </si>
  <si>
    <t>Robert Manderly</t>
  </si>
  <si>
    <t>Margaery Tyrell</t>
  </si>
  <si>
    <t>000.000.107-00</t>
  </si>
  <si>
    <t>DAARIO TARLY</t>
  </si>
  <si>
    <t>000.000.046-00</t>
  </si>
  <si>
    <t>Tyrion Clegane</t>
  </si>
  <si>
    <t>000.000.281-00</t>
  </si>
  <si>
    <t>11400 moedas</t>
  </si>
  <si>
    <t>Viserys Hightower</t>
  </si>
  <si>
    <t>000.000.080-00</t>
  </si>
  <si>
    <t>20800 moedas</t>
  </si>
  <si>
    <t>Aegon Umber</t>
  </si>
  <si>
    <t>000.000.356-00</t>
  </si>
  <si>
    <t>Melisandre Glover</t>
  </si>
  <si>
    <t>000.000.329-00</t>
  </si>
  <si>
    <t>Jon Baelish</t>
  </si>
  <si>
    <t>Bran Tarly</t>
  </si>
  <si>
    <t>000.000.269-00</t>
  </si>
  <si>
    <t>Eddard Dayne</t>
  </si>
  <si>
    <t>000.000.280-00</t>
  </si>
  <si>
    <t>29500 moedas</t>
  </si>
  <si>
    <t>Renly Bolton</t>
  </si>
  <si>
    <t>Rhaegar Payne</t>
  </si>
  <si>
    <t>000.000.253-00</t>
  </si>
  <si>
    <t>Bronn Dondarrion</t>
  </si>
  <si>
    <t>000.000.036-00</t>
  </si>
  <si>
    <t xml:space="preserve"> Auditoria de Westeros</t>
  </si>
  <si>
    <t>Formula Data Nasc</t>
  </si>
  <si>
    <t>Formula Idade</t>
  </si>
  <si>
    <t>Formula Nome</t>
  </si>
  <si>
    <t>Formula CPF</t>
  </si>
  <si>
    <t>Formula Regiao</t>
  </si>
  <si>
    <t>Formula Nivel Risco</t>
  </si>
  <si>
    <t>Formula Renda_Mensal</t>
  </si>
  <si>
    <t>Formula Credito Tomado</t>
  </si>
  <si>
    <t>Formula Flag</t>
  </si>
  <si>
    <t>Liberação_de_Credito</t>
  </si>
  <si>
    <t>eeeee</t>
  </si>
  <si>
    <t xml:space="preserve">Pyke </t>
  </si>
  <si>
    <t xml:space="preserve"> Ilhas de Ferro</t>
  </si>
  <si>
    <t xml:space="preserve">  </t>
  </si>
  <si>
    <t>Ilhas de ferro</t>
  </si>
  <si>
    <t>Tormund  Cerwyn</t>
  </si>
  <si>
    <t>Podrick Ilhasyne</t>
  </si>
  <si>
    <t>Terras da tempestade</t>
  </si>
  <si>
    <t>Ilhasenerys Seaworth</t>
  </si>
  <si>
    <t xml:space="preserve">Fosso Cailin </t>
  </si>
  <si>
    <t xml:space="preserve"> Norte</t>
  </si>
  <si>
    <t>Margaery  Hornwood</t>
  </si>
  <si>
    <t>Bran Ilhasyne</t>
  </si>
  <si>
    <t>Ilhasenerys Snow</t>
  </si>
  <si>
    <t>Ilhasario Clegane</t>
  </si>
  <si>
    <t>Stannis  Cerwyn</t>
  </si>
  <si>
    <t>Ilhasario Tyrell</t>
  </si>
  <si>
    <t>Ilhasario Marbrand</t>
  </si>
  <si>
    <t>Ilhasvos Tyrell</t>
  </si>
  <si>
    <t>Ellaria  Reed</t>
  </si>
  <si>
    <t>Ilhasenerys Tallhart</t>
  </si>
  <si>
    <t>Thoros  Baelish</t>
  </si>
  <si>
    <t>Terras Ilhas Tempestade</t>
  </si>
  <si>
    <t>Jon  Karstark</t>
  </si>
  <si>
    <t xml:space="preserve">Braavos </t>
  </si>
  <si>
    <t xml:space="preserve"> Essos</t>
  </si>
  <si>
    <t>Terras da coroa</t>
  </si>
  <si>
    <t>Margaery Ilhasyne</t>
  </si>
  <si>
    <t xml:space="preserve">Jardim de Cima </t>
  </si>
  <si>
    <t xml:space="preserve"> Campina</t>
  </si>
  <si>
    <t>Terras fluviais</t>
  </si>
  <si>
    <t>Missandei  Tarly</t>
  </si>
  <si>
    <t xml:space="preserve">Meereen </t>
  </si>
  <si>
    <t>Bloqueado</t>
  </si>
  <si>
    <t xml:space="preserve">Harrenhal </t>
  </si>
  <si>
    <t xml:space="preserve"> Terras Fluviais</t>
  </si>
  <si>
    <t>Beric  Umber</t>
  </si>
  <si>
    <t>Melisandre  Baelish</t>
  </si>
  <si>
    <t>Varys  Stark</t>
  </si>
  <si>
    <t>Terras Ilhas Coroa</t>
  </si>
  <si>
    <t>EDdaRD WESTERLING</t>
  </si>
  <si>
    <t>Varys  Blackwood</t>
  </si>
  <si>
    <t>Grey  Worm  Greyjoy</t>
  </si>
  <si>
    <t>Jeor  Payne</t>
  </si>
  <si>
    <t>Ilhasario Arryn</t>
  </si>
  <si>
    <t xml:space="preserve">Atalaia da Água Cinzenta </t>
  </si>
  <si>
    <t xml:space="preserve"> Gargalo</t>
  </si>
  <si>
    <t>Brienne Ilhasyne</t>
  </si>
  <si>
    <t>Ilhasario Cerwyn</t>
  </si>
  <si>
    <t xml:space="preserve">Pedra do Dragão </t>
  </si>
  <si>
    <t xml:space="preserve"> Terras da Coroa</t>
  </si>
  <si>
    <t>Ramsay Ilhasyne</t>
  </si>
  <si>
    <t xml:space="preserve">Correrrio </t>
  </si>
  <si>
    <t xml:space="preserve">Monte Chifre </t>
  </si>
  <si>
    <t>Rhaegar Ilhasyne</t>
  </si>
  <si>
    <t>Yara  Marbrand</t>
  </si>
  <si>
    <t>Cersei  Marbrand</t>
  </si>
  <si>
    <t>Ilhasario  Ilhasyne</t>
  </si>
  <si>
    <t>Viserys  Umber</t>
  </si>
  <si>
    <t xml:space="preserve">Lannisporto </t>
  </si>
  <si>
    <t xml:space="preserve"> Oeste</t>
  </si>
  <si>
    <t>Jon Ilhasyne</t>
  </si>
  <si>
    <t>Ilhasvos  Baratheon</t>
  </si>
  <si>
    <t>Jorah  Tyrell</t>
  </si>
  <si>
    <t xml:space="preserve">Castelo Negro </t>
  </si>
  <si>
    <t>Beric  Karstark</t>
  </si>
  <si>
    <t>Ilhasvos Umber</t>
  </si>
  <si>
    <t>MARGAERY DONdaRRION</t>
  </si>
  <si>
    <t>Shae  Ilhasyne</t>
  </si>
  <si>
    <t>Catelyn  Ilhasyne</t>
  </si>
  <si>
    <t>Jojen Ilhasyne</t>
  </si>
  <si>
    <t>Thoros  Frey</t>
  </si>
  <si>
    <t>Loras  Tarth</t>
  </si>
  <si>
    <t>daARIO TARLY</t>
  </si>
  <si>
    <t>Eddard Ilhasyne</t>
  </si>
  <si>
    <t>Areas da Planilha</t>
  </si>
  <si>
    <t>Problema Encontrado</t>
  </si>
  <si>
    <t>Exemplo Encontrado</t>
  </si>
  <si>
    <t>Ação Necessaria</t>
  </si>
  <si>
    <t>Formula ou Resolução</t>
  </si>
  <si>
    <t>Resultado Esperado</t>
  </si>
  <si>
    <t>Decisão</t>
  </si>
  <si>
    <t>Status</t>
  </si>
  <si>
    <t>Textos muitos variados</t>
  </si>
  <si>
    <t>ATivo, ATIVO, ativo, loqueado</t>
  </si>
  <si>
    <t>Colocar uma Padronização</t>
  </si>
  <si>
    <t>Control + L e Substituir</t>
  </si>
  <si>
    <t>Ativo, Inativo, Bloqueado</t>
  </si>
  <si>
    <t>Realizado</t>
  </si>
  <si>
    <t>Nome</t>
  </si>
  <si>
    <t>Nomes Sem Padronização</t>
  </si>
  <si>
    <t>samwell yronwood, BRONN ARRYN</t>
  </si>
  <si>
    <t>Padronizar com uma função</t>
  </si>
  <si>
    <t>FUNÇÂO -&gt; =PRI.MAIÚSCULA(Tabela1[@nome])</t>
  </si>
  <si>
    <t>CPF</t>
  </si>
  <si>
    <t>Falta de numeros e talvez erro de dados</t>
  </si>
  <si>
    <t>36100, 200</t>
  </si>
  <si>
    <t>Função para verificar e add quando possivel</t>
  </si>
  <si>
    <t>FUNÇÃO -&gt; =SE(NÚM.CARACT(SUBSTITUIR(SUBSTITUIR(SUBSTITUIR(H3;".";"");"-";"");" ";""))=11;H3;"-") E então copia tudo e cola como colar especial</t>
  </si>
  <si>
    <t>- , 000.000.283-00</t>
  </si>
  <si>
    <t>Idade</t>
  </si>
  <si>
    <t xml:space="preserve">Dois Problemas, o primeiro é que algumas idades tem o ano ao lado exemplo 12, e no caso tem que estar só o numero como 12. O segundo erro é que em alguns não há a idade. </t>
  </si>
  <si>
    <t>46 anos, n/a</t>
  </si>
  <si>
    <t>Localizar e substituir + Função que pega a data nasc e transforma em idade</t>
  </si>
  <si>
    <t>FUNÇÃO -&gt; =INT((HOJE()-CELULA DE NASC)/365) + Control L e Substituir</t>
  </si>
  <si>
    <t>46, 46</t>
  </si>
  <si>
    <t>Data_Nasc</t>
  </si>
  <si>
    <t>Datas sem estar formatadas e datas vazias</t>
  </si>
  <si>
    <t>34144, n/a</t>
  </si>
  <si>
    <t>Formatar a coluna como DATA, e talvez achar um jeito de fazer idade pra data nascimento</t>
  </si>
  <si>
    <t>FORMATAR DA CELULA, A Função correta só das pra fazer até o ano pois não tem como identificar o mes nem o dia com precisão -&gt; FUNÇÃO -&gt; =ANO(HOJE())-I3</t>
  </si>
  <si>
    <t>Cidade</t>
  </si>
  <si>
    <t>Cidades  juntas com regiao por barra</t>
  </si>
  <si>
    <t>Passar tudo depois da barra pro lado</t>
  </si>
  <si>
    <t>Selecione todos com a barra e passei indo em dados e clicando em dividir texto em colunas, ai é so colocar personalizado e colocar a barra. MAS ISSO SÓ  no aplicativo pq o online não da.</t>
  </si>
  <si>
    <t>Cidade em Correrrio e Terras Fluvias em Regiao</t>
  </si>
  <si>
    <t>Regiao</t>
  </si>
  <si>
    <t>Regiao em branco e falta de padronização</t>
  </si>
  <si>
    <t>terras da tempestade, n/a</t>
  </si>
  <si>
    <t>Formulas pra formatar e maneiras de colocar as regioes faltantes com base na cidade</t>
  </si>
  <si>
    <t>Padronizei os textos, e nessa proxima eu tentei usar procv  mas não tive sucesso....Forma na Gambiarra =SE(P29="Lannisporto";"Oeste";
SE(P29="Ninho da Águia";"Vale";
SE(P29="Ponta Tempestade";"Terras da Tempestade";
SE(P29="Pedra do Dragão";"Terras da Coroa";
SE(P29="Pyke";"Ilhas de Ferro";
SE(P29="Meereen";"Essos";
SE(P29="Braavos";"Essos";
SE(P29="Correrrio";"Terras Fluviais";
SE(P29="Castelo Negro";"Norte";
SE(P29="Vilavelha";"Campina";
SE(P29="Ilha dos Ursos";"Norte";
SE(P29="Fosso Cailin";"Norte";
SE(P29="Harrenhal";"Terras Fluviais";
SE(P29="Winterfell";"Norte";
SE(P29="Jardim de Cima";"Campina";
SE(P29="Dorne";"Dorne";
SE(P29="Monte Chifre";"Campina";
SE(P29="Atalaia da Água Cinzenta";"Oeste";
SE(P29="Porto Real";"Terras da Coroa";
SE(P29="Solar do Entardecer";"Terras da Tempestade";
""))))))))))))))))))))</t>
  </si>
  <si>
    <t>Renda_Mensal</t>
  </si>
  <si>
    <t>Falta de formar pra contabilidade e dados incorretos</t>
  </si>
  <si>
    <t>11000 moedas, sem renda, n/a</t>
  </si>
  <si>
    <t>Padronizar e função para quando estiver vazia colocar -</t>
  </si>
  <si>
    <t>Colocar a coluna como contabilidade e FUNÇÃO -&gt; =SE(R3="";"-";SE(ÉNÚM(R3);R3;SE(MAIÚSCULA(ARRUMAR(R3))="SEM RENDA";"-";"-")))</t>
  </si>
  <si>
    <t>31000 moedas, n/a</t>
  </si>
  <si>
    <t>FUNÇÃO -&gt;  =SE(S3="";"-";SE(ÉNÚM(S3);S3;SE(MAIÚSCULA(ARRUMAR(S3))="SEM RENDA";"-";"-")))</t>
  </si>
  <si>
    <t>Erro de padronização e falta de dados</t>
  </si>
  <si>
    <t>NÃO, 0 ou 1, n/a</t>
  </si>
  <si>
    <t>Formula -&gt; =SE(ARRUMAR(W3)="";"-";
SE(OU(MAIÚSCULA(ARRUMAR(W3))="SIM";ARRUMAR(W3)="1");"Sim";
SE(OU(MAIÚSCULA(ARRUMAR(W3))="NÃO";MAIÚSCULA(ARRUMAR(W3))="NAO";ARRUMAR(W3)="0");"Não";
"-")))</t>
  </si>
  <si>
    <t>Não, Não ou Sim, -</t>
  </si>
  <si>
    <t>Falta padronização</t>
  </si>
  <si>
    <t>Padronizar com uma função e arruma o texto</t>
  </si>
  <si>
    <t>No caso só passar a coluna para geral e retirar todas as escritas batalhas no contro + l</t>
  </si>
  <si>
    <t>Sem o nivel de risco</t>
  </si>
  <si>
    <t>n/a</t>
  </si>
  <si>
    <t>Formula para ter esse embassamento</t>
  </si>
  <si>
    <t>Formula -&gt; =SE([@[qtde_batalhas]]&lt;=10;"Baixo";SE([@[qtde_batalhas]]&lt;=25;"Médio";"Alto"))</t>
  </si>
  <si>
    <t>Valor Solicitado</t>
  </si>
  <si>
    <t>Numeros Sem Padronização</t>
  </si>
  <si>
    <t>Colocar uma formatação de contabilidade</t>
  </si>
  <si>
    <t>Formatar como contabilidade</t>
  </si>
  <si>
    <t>-</t>
  </si>
  <si>
    <t>Criar uma função pra analisar o risco</t>
  </si>
  <si>
    <t>Função -&gt; =SE(E(V3="Alto";T3="Sim");"Negado";"Aprovado")</t>
  </si>
  <si>
    <t>Criar uma função pra analisar o credito</t>
  </si>
  <si>
    <t>Função -&gt; =SE(E(ÉNÚM(S3);S3&gt;50000;T3="Sim");"Negado";"Aprovado")</t>
  </si>
  <si>
    <t>Negado</t>
  </si>
  <si>
    <t>Criar uma função pra Liberação de credito</t>
  </si>
  <si>
    <t>Função -&gt; =SE(OU(Y3="Negado";Z3="Negado");0;SE(K3="Ativo";X3*1,08;0))</t>
  </si>
  <si>
    <t>Grafico</t>
  </si>
  <si>
    <t>Criar uma pergunta e apresentar no gracifico</t>
  </si>
  <si>
    <t>Pegar os dados e criar um grafico</t>
  </si>
  <si>
    <t>algo simples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</si>
</sst>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00\000\000\-00"/>
    <numFmt numFmtId="165" formatCode="&quot;R$&quot;\ #,##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charset val="1"/>
    </font>
    <font>
      <b/>
      <sz val="11"/>
      <name val="Calibri"/>
    </font>
    <font>
      <sz val="11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3" fillId="34" borderId="10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0" xfId="0" applyFont="1" applyBorder="1" applyAlignment="1">
      <alignment horizontal="center"/>
    </xf>
    <xf numFmtId="0" fontId="20" fillId="0" borderId="0" xfId="0" applyFont="1"/>
    <xf numFmtId="49" fontId="0" fillId="0" borderId="10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left" vertical="top"/>
    </xf>
    <xf numFmtId="0" fontId="19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35" borderId="10" xfId="0" applyFont="1" applyFill="1" applyBorder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14" fontId="0" fillId="0" borderId="10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8" fontId="0" fillId="0" borderId="10" xfId="0" applyNumberFormat="1" applyBorder="1" applyAlignment="1">
      <alignment horizontal="left" vertical="top"/>
    </xf>
    <xf numFmtId="0" fontId="13" fillId="36" borderId="10" xfId="0" applyFont="1" applyFill="1" applyBorder="1" applyAlignment="1">
      <alignment horizontal="center"/>
    </xf>
    <xf numFmtId="0" fontId="0" fillId="0" borderId="0" xfId="0" applyAlignment="1"/>
    <xf numFmtId="0" fontId="18" fillId="33" borderId="0" xfId="0" applyFont="1" applyFill="1" applyBorder="1" applyAlignment="1">
      <alignment horizontal="center"/>
    </xf>
    <xf numFmtId="0" fontId="0" fillId="0" borderId="10" xfId="0" applyBorder="1" applyAlignment="1">
      <alignment horizontal="center" vertical="top"/>
    </xf>
    <xf numFmtId="8" fontId="0" fillId="0" borderId="10" xfId="0" applyNumberFormat="1" applyBorder="1" applyAlignment="1">
      <alignment horizontal="center" vertical="top"/>
    </xf>
    <xf numFmtId="44" fontId="0" fillId="0" borderId="0" xfId="0" applyNumberFormat="1" applyAlignment="1">
      <alignment horizontal="center"/>
    </xf>
    <xf numFmtId="165" fontId="21" fillId="0" borderId="0" xfId="0" applyNumberFormat="1" applyFont="1" applyAlignment="1">
      <alignment horizontal="center"/>
    </xf>
    <xf numFmtId="0" fontId="22" fillId="0" borderId="0" xfId="0" applyFont="1" applyFill="1" applyBorder="1" applyAlignment="1"/>
    <xf numFmtId="0" fontId="23" fillId="0" borderId="0" xfId="0" applyFont="1" applyFill="1" applyBorder="1" applyAlignment="1"/>
    <xf numFmtId="14" fontId="23" fillId="0" borderId="0" xfId="0" applyNumberFormat="1" applyFont="1" applyFill="1" applyBorder="1" applyAlignment="1"/>
    <xf numFmtId="8" fontId="23" fillId="0" borderId="0" xfId="0" applyNumberFormat="1" applyFont="1" applyFill="1" applyBorder="1" applyAlignment="1"/>
    <xf numFmtId="3" fontId="23" fillId="0" borderId="0" xfId="0" applyNumberFormat="1" applyFont="1" applyFill="1" applyBorder="1" applyAlignment="1"/>
    <xf numFmtId="44" fontId="0" fillId="0" borderId="10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0" applyNumberFormat="1" applyAlignment="1"/>
    <xf numFmtId="0" fontId="22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8"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4" tint="-0.499984740745262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alignment horizontal="center"/>
    </dxf>
    <dxf>
      <font>
        <b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</font>
      <fill>
        <patternFill>
          <bgColor rgb="FFFFC7CE"/>
        </patternFill>
      </fill>
    </dxf>
    <dxf>
      <numFmt numFmtId="165" formatCode="&quot;R$&quot;\ #,##0.00"/>
      <alignment horizontal="center"/>
    </dxf>
    <dxf>
      <numFmt numFmtId="0" formatCode="General"/>
      <alignment horizontal="center"/>
    </dxf>
    <dxf>
      <numFmt numFmtId="0" formatCode="General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R$&quot;\ #,##0.00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R$&quot;\ #,##0.00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R$&quot;\ #,##0.00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" formatCode="0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000\000\000\-00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  <alignment horizontal="general"/>
    </dxf>
    <dxf>
      <numFmt numFmtId="0" formatCode="General"/>
      <alignment horizontal="center"/>
    </dxf>
    <dxf>
      <numFmt numFmtId="0" formatCode="General"/>
      <alignment horizontal="center"/>
    </dxf>
    <dxf>
      <numFmt numFmtId="34" formatCode="_-&quot;R$&quot;\ * #,##0.00_-;\-&quot;R$&quot;\ * #,##0.00_-;_-&quot;R$&quot;\ * &quot;-&quot;??_-;_-@_-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34" formatCode="_-&quot;R$&quot;\ * #,##0.00_-;\-&quot;R$&quot;\ * #,##0.00_-;_-&quot;R$&quot;\ * &quot;-&quot;??_-;_-@_-"/>
      <alignment horizontal="center"/>
    </dxf>
    <dxf>
      <numFmt numFmtId="34" formatCode="_-&quot;R$&quot;\ * #,##0.00_-;\-&quot;R$&quot;\ * #,##0.00_-;_-&quot;R$&quot;\ * &quot;-&quot;??_-;_-@_-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19" formatCode="dd/mm/yyyy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Distribuição dos Clientes por Nível de Risco</a:t>
            </a:r>
          </a:p>
        </c:rich>
      </c:tx>
      <c:layout>
        <c:manualLayout>
          <c:xMode val="edge"/>
          <c:yMode val="edge"/>
          <c:x val="1.6823198305031147E-2"/>
          <c:y val="1.6147841854963662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'Analise (Grafico)'!$P$3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FFFF00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92D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7FF-46CE-82FE-38332F12463D}"/>
              </c:ext>
            </c:extLst>
          </c:dPt>
          <c:dPt>
            <c:idx val="2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17FF-46CE-82FE-38332F12463D}"/>
              </c:ext>
            </c:extLst>
          </c:dPt>
          <c:dLbls>
            <c:dLbl>
              <c:idx val="0"/>
              <c:layout>
                <c:manualLayout>
                  <c:x val="-9.9626400996264079E-3"/>
                  <c:y val="1.8050541516245488E-3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FF-46CE-82FE-38332F12463D}"/>
                </c:ext>
              </c:extLst>
            </c:dLbl>
            <c:dLbl>
              <c:idx val="1"/>
              <c:layout>
                <c:manualLayout>
                  <c:x val="-1.1207970112079701E-2"/>
                  <c:y val="5.4151624548736017E-3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FF-46CE-82FE-38332F12463D}"/>
                </c:ext>
              </c:extLst>
            </c:dLbl>
            <c:dLbl>
              <c:idx val="2"/>
              <c:layout>
                <c:manualLayout>
                  <c:x val="-1.4942391229738873E-2"/>
                  <c:y val="-3.6101083032491197E-3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FF-46CE-82FE-38332F1246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/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'Analise (Grafico)'!$O$4:$O$6</c:f>
              <c:strCache>
                <c:ptCount val="3"/>
                <c:pt idx="0">
                  <c:v>Baixo</c:v>
                </c:pt>
                <c:pt idx="1">
                  <c:v>Médio</c:v>
                </c:pt>
                <c:pt idx="2">
                  <c:v>Alto</c:v>
                </c:pt>
              </c:strCache>
            </c:strRef>
          </c:cat>
          <c:val>
            <c:numRef>
              <c:f>'Analise (Grafico)'!$P$4:$P$6</c:f>
              <c:numCache>
                <c:formatCode>General</c:formatCode>
                <c:ptCount val="3"/>
                <c:pt idx="0">
                  <c:v>85</c:v>
                </c:pt>
                <c:pt idx="1">
                  <c:v>123</c:v>
                </c:pt>
                <c:pt idx="2">
                  <c:v>156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57FC-434A-AF13-25726B4A920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46"/>
        <c:axId val="10"/>
        <c:axId val="100"/>
      </c:barChart>
      <c:catAx>
        <c:axId val="1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pt-BR"/>
                  <a:t>Quantidade de clientes</a:t>
                </a:r>
              </a:p>
            </c:rich>
          </c:tx>
          <c:layout>
            <c:manualLayout>
              <c:xMode val="edge"/>
              <c:yMode val="edge"/>
              <c:x val="2.3206937239943388E-2"/>
              <c:y val="0.63424997868046273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707412818727671"/>
          <c:y val="0.41254991140547864"/>
          <c:w val="9.6755670173855918E-2"/>
          <c:h val="0.16547997384803431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12</xdr:col>
      <xdr:colOff>476250</xdr:colOff>
      <xdr:row>28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10E3BE-C65C-4E96-B453-5C543AAAE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dosBruto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omeDaAb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tividade20Excel20-20grafi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Bruto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DaAba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e (Grafico)"/>
      <sheetName val="DadosLimpos"/>
      <sheetName val="DadosBrutos"/>
      <sheetName val="Funções + Tratamento"/>
      <sheetName val="Caminho da Resolução Explicação"/>
      <sheetName val="Planilh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90BB25-0B9B-49B9-86FC-7D10E8E0A932}" name="DadosL" displayName="DadosL" ref="A1:P368" totalsRowShown="0">
  <autoFilter ref="A1:P368" xr:uid="{DD90BB25-0B9B-49B9-86FC-7D10E8E0A932}"/>
  <tableColumns count="16">
    <tableColumn id="1" xr3:uid="{A77A3A0A-9526-4087-B2A2-270299DEDC12}" name="status" dataDxfId="47">
      <calculatedColumnFormula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calculatedColumnFormula>
    </tableColumn>
    <tableColumn id="2" xr3:uid="{0DF273A4-2E11-4CFA-93E4-867D949028F1}" name="nome" dataDxfId="46">
      <calculatedColumnFormula>PROPER(TRIM(DadosBrutos[[#This Row],[nome]]))</calculatedColumnFormula>
    </tableColumn>
    <tableColumn id="3" xr3:uid="{19263F8C-903A-4366-AF21-1557B481281C}" name="cpf" dataDxfId="45">
      <calculatedColumnFormula>IF(LEN(SUBSTITUTE(SUBSTITUTE(SUBSTITUTE(DadosBrutos[[#This Row],[cpf]],".",""),"-","")," ",""))=11,DadosBrutos[[#This Row],[cpf]],"-")</calculatedColumnFormula>
    </tableColumn>
    <tableColumn id="4" xr3:uid="{DB5DF7AB-FD6B-450E-8F66-3ED79D87C39C}" name="idade" dataDxfId="44">
      <calculatedColumnFormula>IF(DadosBrutos[[#This Row],[idade]]="",IF(DadosBrutos[[#This Row],[data_nascimento]]="","-",YEAR(TODAY())-YEAR(DadosBrutos[[#This Row],[data_nascimento]])),IF(ISNUMBER(DadosBrutos[[#This Row],[idade]]),DadosBrutos[[#This Row],[idade]],"-"))</calculatedColumnFormula>
    </tableColumn>
    <tableColumn id="5" xr3:uid="{C9255036-BE11-4C6B-9193-19322D8C9C14}" name="data_nascimento" dataDxfId="43">
      <calculatedColumnFormula>IF(DadosBrutos[[#This Row],[data_nascimento]]="","-",DadosBrutos[[#This Row],[data_nascimento]])</calculatedColumnFormula>
    </tableColumn>
    <tableColumn id="6" xr3:uid="{71FBE048-AA0D-4372-BEA5-F3F4AF871E5F}" name="cidade" dataDxfId="42">
      <calculatedColumnFormula>IF(ISNUMBER(SEARCH("|",DadosBrutos[[#This Row],[cidade]])),TRIM(LEFT(DadosBrutos[[#This Row],[cidade]],SEARCH("|",DadosBrutos[[#This Row],[cidade]])-1)),TRIM(DadosBrutos[[#This Row],[cidade]]))</calculatedColumnFormula>
    </tableColumn>
    <tableColumn id="7" xr3:uid="{3C65A5B3-0CFD-47B5-BA61-0D7D0DA486CC}" name="regiao" dataDxfId="41">
      <calculatedColumnFormula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calculatedColumnFormula>
    </tableColumn>
    <tableColumn id="8" xr3:uid="{C595C88E-D0DE-42A7-8C88-E47040AA69B9}" name="renda_mensal" dataDxfId="40">
      <calculatedColumnFormula>IF(DadosBrutos[[#This Row],[renda_mensal]]="","-",IF(ISNUMBER(DadosBrutos[[#This Row],[renda_mensal]]),DadosBrutos[[#This Row],[renda_mensal]],IFERROR(VALUE(SUBSTITUTE(DadosBrutos[[#This Row],[renda_mensal]]," moedas","")),"-")))</calculatedColumnFormula>
    </tableColumn>
    <tableColumn id="9" xr3:uid="{52496B7C-F187-45E9-BAD5-A59988E647B8}" name="credito_tomado" dataDxfId="39">
      <calculatedColumnFormula>IF(DadosBrutos[[#This Row],[credito_tomado]]="","-",IF(ISNUMBER(DadosBrutos[[#This Row],[credito_tomado]]),DadosBrutos[[#This Row],[credito_tomado]],IFERROR(VALUE(SUBSTITUTE(DadosBrutos[[#This Row],[credito_tomado]]," moedas","")),"-")))</calculatedColumnFormula>
    </tableColumn>
    <tableColumn id="10" xr3:uid="{DC7657E4-FC43-4B9D-8DFC-0B504ED579D6}" name="flag_inadimplente" dataDxfId="38">
      <calculatedColumnFormula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calculatedColumnFormula>
    </tableColumn>
    <tableColumn id="11" xr3:uid="{348C7082-13FE-427A-82BC-645272A8F31C}" name="qtde_batalhas" dataDxfId="37">
      <calculatedColumnFormula>IF(DadosBrutos[[#This Row],[qtde_batalhas]]="","-",IF(ISNUMBER(DadosBrutos[[#This Row],[qtde_batalhas]]),DadosBrutos[[#This Row],[qtde_batalhas]],IFERROR(VALUE(SUBSTITUTE(DadosBrutos[[#This Row],[qtde_batalhas]]," batalhas","")),"-")))</calculatedColumnFormula>
    </tableColumn>
    <tableColumn id="12" xr3:uid="{8ADA496B-E537-4247-B5A0-D5870BF98191}" name="nivel_risco" dataDxfId="36">
      <calculatedColumnFormula>IF(DadosL[[#This Row],[qtde_batalhas]]="-","-",IF(DadosL[[#This Row],[qtde_batalhas]]&lt;=10,"Baixo",IF(DadosL[[#This Row],[qtde_batalhas]]&lt;=25,"Médio","Alto")))</calculatedColumnFormula>
    </tableColumn>
    <tableColumn id="14" xr3:uid="{8CBEDE9A-1068-40AC-9303-3CAD012F40F3}" name="valor_solicitado" dataDxfId="35">
      <calculatedColumnFormula>IF(DadosBrutos[[#This Row],[valor_solicitado]]="","-",IF(ISNUMBER(DadosBrutos[[#This Row],[valor_solicitado]]),DadosBrutos[[#This Row],[valor_solicitado]],IFERROR(VALUE(SUBSTITUTE(DadosBrutos[[#This Row],[valor_solicitado]]," moedas","")),"-")))</calculatedColumnFormula>
    </tableColumn>
    <tableColumn id="15" xr3:uid="{33DB1004-DB13-4F95-9526-C128051CCA54}" name="Analise_Risco" dataDxfId="34">
      <calculatedColumnFormula>IF(AND(DadosL[[#This Row],[nivel_risco]]="Alto",DadosL[[#This Row],[flag_inadimplente]]="Sim"),"Negado","Aprovado")</calculatedColumnFormula>
    </tableColumn>
    <tableColumn id="16" xr3:uid="{01CDFFA6-4ACF-4143-8D2B-DAB7C6A5AF92}" name="Analise_Credito" dataDxfId="33">
      <calculatedColumnFormula>IF(AND(ISNUMBER(DadosL[[#This Row],[credito_tomado]]),DadosL[[#This Row],[credito_tomado]]&gt;50000,DadosL[[#This Row],[flag_inadimplente]]="Sim"),"Negado","Aprovado")</calculatedColumnFormula>
    </tableColumn>
    <tableColumn id="17" xr3:uid="{F9BDB618-3573-4277-904F-7A15645B3A7F}" name="Liberação_De_Creditos" dataDxfId="32">
      <calculatedColumnFormula>IF(OR(DadosL[[#This Row],[Analise_Risco]]="Negado",DadosL[[#This Row],[Analise_Credito]]="Negado"),0,IF(DadosL[[#This Row],[status]]="Ativo",DadosL[[#This Row],[valor_solicitado]]*1.08,0))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D77DD3-8202-4639-934D-4E165F980B6C}" name="DadosBrutos" displayName="DadosBrutos" ref="A1:O369" totalsRowShown="0">
  <autoFilter ref="A1:O369" xr:uid="{EFD77DD3-8202-4639-934D-4E165F980B6C}"/>
  <tableColumns count="15">
    <tableColumn id="1" xr3:uid="{5AC0E51E-0017-4EDA-A24C-A5A532F183B7}" name="status"/>
    <tableColumn id="2" xr3:uid="{172D0C7C-DC62-4D9E-89B5-A59752B68A7D}" name="nome"/>
    <tableColumn id="3" xr3:uid="{E09F0858-1F27-4653-A2B2-9D7F51752BDB}" name="cpf"/>
    <tableColumn id="4" xr3:uid="{2CEBD622-0DAE-4C43-9F56-32966199B424}" name="idade"/>
    <tableColumn id="5" xr3:uid="{62B35D72-D2F9-4869-BF54-1852A4CEEFB8}" name="data_nascimento"/>
    <tableColumn id="6" xr3:uid="{D35A0AA7-3BAC-4671-9AD8-59514220DADD}" name="cidade"/>
    <tableColumn id="7" xr3:uid="{F9F9525E-0075-453D-A623-20BCB9CDF805}" name="regiao"/>
    <tableColumn id="8" xr3:uid="{C7CE3EF9-E694-4AA9-BE9C-E297A2FF1A8F}" name="renda_mensal"/>
    <tableColumn id="9" xr3:uid="{312C4185-BC47-489A-A05E-10F141D4D96B}" name="credito_tomado"/>
    <tableColumn id="10" xr3:uid="{C74CFA9D-D363-4603-87D3-23478AB93248}" name="flag_inadimplente"/>
    <tableColumn id="11" xr3:uid="{BF12D062-BB24-41A1-9E97-3BC0DD14BFF6}" name="qtde_batalhas"/>
    <tableColumn id="12" xr3:uid="{D19567C8-8CC9-4EA1-BBD6-A0D585B10FCE}" name="nivel_risco"/>
    <tableColumn id="13" xr3:uid="{7F8442E6-92FA-4316-B195-F020E76D0100}" name="flag_inadimplente2"/>
    <tableColumn id="14" xr3:uid="{0F79F5B8-9A10-4190-A0B8-896784203496}" name="valor_solicitado"/>
    <tableColumn id="15" xr3:uid="{BF8D4D78-A220-4D47-B836-134D1DD78B83}" name="Coluna1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7154D2-CB37-4049-B3A7-81D965FD5A3E}" name="Tabela1" displayName="Tabela1" ref="K2:AA370" totalsRowShown="0" headerRowDxfId="31" dataDxfId="30">
  <autoFilter ref="K2:AA370" xr:uid="{C57154D2-CB37-4049-B3A7-81D965FD5A3E}"/>
  <tableColumns count="17">
    <tableColumn id="1" xr3:uid="{93C0A8A2-7013-4C6E-8A55-438F6350FDE6}" name="status" dataDxfId="29"/>
    <tableColumn id="2" xr3:uid="{92CEC3D7-D723-486E-80E8-E83BCCA6F456}" name="nome" dataDxfId="28"/>
    <tableColumn id="3" xr3:uid="{13C1718F-9608-415A-8A04-9F4255FD5CC3}" name="cpf" dataDxfId="27"/>
    <tableColumn id="4" xr3:uid="{0B6087AD-1C09-4E1F-88C6-DD4B873ECC27}" name="idade" dataDxfId="26">
      <calculatedColumnFormula>DATEDIF(O3,TODAY(),"Y")</calculatedColumnFormula>
    </tableColumn>
    <tableColumn id="5" xr3:uid="{5A4B4C33-A471-4F05-8A7E-8C084A516A2E}" name="data_nascimento" dataDxfId="25"/>
    <tableColumn id="6" xr3:uid="{FA8E4F2A-1525-4A08-BA5A-F679C0037A19}" name="cidade" dataDxfId="24"/>
    <tableColumn id="7" xr3:uid="{EFB6CCEE-722C-4995-A741-F8CAB4C3AB01}" name="regiao" dataDxfId="23"/>
    <tableColumn id="8" xr3:uid="{3929E843-9171-4A4F-84F0-79A97E78167C}" name="renda_mensal" dataDxfId="22"/>
    <tableColumn id="9" xr3:uid="{566C7199-3093-47CC-9EBB-DBD3A5A5E7C5}" name="credito_tomado" dataDxfId="21"/>
    <tableColumn id="10" xr3:uid="{3AE24683-4ABF-45B6-92BD-AAA3755F96D4}" name="flag_inadimplente" dataDxfId="20"/>
    <tableColumn id="11" xr3:uid="{5B44108D-A47F-46CD-941E-BD1BDFA768A9}" name="qtde_batalhas" dataDxfId="19"/>
    <tableColumn id="12" xr3:uid="{046F9162-4EB0-4A3B-9C69-71CA163F4E0D}" name="nivel_risco" dataDxfId="18">
      <calculatedColumnFormula>IF(Tabela1[[#This Row],[qtde_batalhas]]&lt;=10,"Baixo",IF(Tabela1[[#This Row],[qtde_batalhas]]&lt;=25,"Médio","Alto"))</calculatedColumnFormula>
    </tableColumn>
    <tableColumn id="13" xr3:uid="{480A6769-26DE-4E9D-AC6E-24A386DFAEA5}" name="flag_inadimplente2" dataDxfId="17"/>
    <tableColumn id="14" xr3:uid="{B7AF5576-DBE7-4AF0-8DE8-4CE57A11E93B}" name="valor_solicitado" dataDxfId="16"/>
    <tableColumn id="15" xr3:uid="{21AEA73E-F1F7-4DDE-B741-7343C7962880}" name="Analise_Risco" dataDxfId="15">
      <calculatedColumnFormula>IF(AND(V3="Alto",T3="Sim"),"Negado","Aprovado")</calculatedColumnFormula>
    </tableColumn>
    <tableColumn id="16" xr3:uid="{53373295-3CD8-42B9-9998-30C183F4CD66}" name="Analise_Credito" dataDxfId="14">
      <calculatedColumnFormula>IF(AND(ISNUMBER(S3),S3&gt;50000,T3="Sim"),"Negado","Aprovado")</calculatedColumnFormula>
    </tableColumn>
    <tableColumn id="17" xr3:uid="{F44F39B9-11E4-4B90-893E-F240ACCAF49B}" name="Liberação_de_Credito" dataDxfId="13">
      <calculatedColumnFormula>IF(OR(Y3="Negado",Z3="Negado"),0,IF(K3="Ativo",X3*1.08,0))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A7D62F-675B-4B33-8B13-465208FAE283}" name="Tabela3" displayName="Tabela3" ref="A1:G18" totalsRowShown="0" headerRowDxfId="9" dataDxfId="8" headerRowBorderDxfId="7">
  <autoFilter ref="A1:G18" xr:uid="{3AA7D62F-675B-4B33-8B13-465208FAE283}"/>
  <tableColumns count="7">
    <tableColumn id="1" xr3:uid="{3B108A5A-49D6-4D4B-98CA-E481F42FF12E}" name="Areas da Planilha" dataDxfId="6"/>
    <tableColumn id="2" xr3:uid="{30B48FDD-6722-482D-8C95-2B08BB52E486}" name="Problema Encontrado" dataDxfId="5"/>
    <tableColumn id="3" xr3:uid="{FEFF9475-6793-429D-BF11-1541FEA89F1B}" name="Exemplo Encontrado" dataDxfId="4"/>
    <tableColumn id="5" xr3:uid="{7502FC02-D9FC-4B9B-AB7E-33CD20844FA7}" name="Ação Necessaria" dataDxfId="3"/>
    <tableColumn id="6" xr3:uid="{B948DE2F-52A0-4679-A878-3468F14D2C1F}" name="Formula ou Resolução" dataDxfId="2"/>
    <tableColumn id="8" xr3:uid="{E072C520-E9D0-4742-B009-E0BEA6012C15}" name="Resultado Esperado" dataDxfId="1"/>
    <tableColumn id="7" xr3:uid="{9945FF67-F586-4EB8-97F3-95132E7DF3E5}" name="Decisão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15FE-384D-4BA4-89A6-A6D0C3F1C7DD}">
  <dimension ref="A1:P368"/>
  <sheetViews>
    <sheetView tabSelected="1" workbookViewId="0">
      <selection activeCell="K14" sqref="K14"/>
    </sheetView>
  </sheetViews>
  <sheetFormatPr defaultRowHeight="15"/>
  <cols>
    <col min="1" max="1" width="18.5703125" style="1" customWidth="1"/>
    <col min="2" max="2" width="23" style="1" customWidth="1"/>
    <col min="3" max="3" width="19.7109375" style="1" customWidth="1"/>
    <col min="4" max="4" width="14.28515625" style="15" customWidth="1"/>
    <col min="5" max="5" width="22.28515625" style="45" customWidth="1"/>
    <col min="6" max="6" width="26.5703125" style="1" customWidth="1"/>
    <col min="7" max="7" width="22" style="1" customWidth="1"/>
    <col min="8" max="8" width="21.85546875" style="37" customWidth="1"/>
    <col min="9" max="9" width="22" style="37" customWidth="1"/>
    <col min="10" max="10" width="22.140625" style="1" customWidth="1"/>
    <col min="11" max="11" width="19.42578125" style="1" customWidth="1"/>
    <col min="12" max="12" width="15.85546875" style="1" customWidth="1"/>
    <col min="13" max="13" width="23.140625" style="37" customWidth="1"/>
    <col min="14" max="15" width="21.140625" style="1" customWidth="1"/>
    <col min="16" max="16" width="24.28515625" style="46" customWidth="1"/>
  </cols>
  <sheetData>
    <row r="1" spans="1:16">
      <c r="A1" s="2" t="s">
        <v>0</v>
      </c>
      <c r="B1" s="2" t="s">
        <v>1</v>
      </c>
      <c r="C1" s="3" t="s">
        <v>2</v>
      </c>
      <c r="D1" s="20" t="s">
        <v>3</v>
      </c>
      <c r="E1" s="5" t="s">
        <v>4</v>
      </c>
      <c r="F1" s="2" t="s">
        <v>5</v>
      </c>
      <c r="G1" s="2" t="s">
        <v>6</v>
      </c>
      <c r="H1" s="44" t="s">
        <v>7</v>
      </c>
      <c r="I1" s="44" t="s">
        <v>8</v>
      </c>
      <c r="J1" s="7" t="s">
        <v>9</v>
      </c>
      <c r="K1" s="2" t="s">
        <v>10</v>
      </c>
      <c r="L1" s="2" t="s">
        <v>11</v>
      </c>
      <c r="M1" s="44" t="s">
        <v>12</v>
      </c>
      <c r="N1" s="1" t="s">
        <v>13</v>
      </c>
      <c r="O1" s="1" t="s">
        <v>14</v>
      </c>
      <c r="P1" s="46" t="s">
        <v>15</v>
      </c>
    </row>
    <row r="2" spans="1:16">
      <c r="A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" s="1" t="str">
        <f>PROPER(TRIM(DadosBrutos[[#This Row],[nome]]))</f>
        <v>Ellaria Baelish</v>
      </c>
      <c r="C2" s="1" t="str">
        <f>IF(LEN(SUBSTITUTE(SUBSTITUTE(SUBSTITUTE(DadosBrutos[[#This Row],[cpf]],".",""),"-","")," ",""))=11,DadosBrutos[[#This Row],[cpf]],"-")</f>
        <v>000.000.336-00</v>
      </c>
      <c r="D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32</v>
      </c>
      <c r="E2" s="45">
        <f>IF(DadosBrutos[[#This Row],[data_nascimento]]="","-",DadosBrutos[[#This Row],[data_nascimento]])</f>
        <v>34347</v>
      </c>
      <c r="F2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2" s="37">
        <f>IF(DadosBrutos[[#This Row],[renda_mensal]]="","-",IF(ISNUMBER(DadosBrutos[[#This Row],[renda_mensal]]),DadosBrutos[[#This Row],[renda_mensal]],IFERROR(VALUE(SUBSTITUTE(DadosBrutos[[#This Row],[renda_mensal]]," moedas","")),"-")))</f>
        <v>15600</v>
      </c>
      <c r="I2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" s="1">
        <f>IF(DadosBrutos[[#This Row],[qtde_batalhas]]="","-",IF(ISNUMBER(DadosBrutos[[#This Row],[qtde_batalhas]]),DadosBrutos[[#This Row],[qtde_batalhas]],IFERROR(VALUE(SUBSTITUTE(DadosBrutos[[#This Row],[qtde_batalhas]]," batalhas","")),"-")))</f>
        <v>34</v>
      </c>
      <c r="L2" s="1" t="str">
        <f>IF(DadosL[[#This Row],[qtde_batalhas]]="-","-",IF(DadosL[[#This Row],[qtde_batalhas]]&lt;=10,"Baixo",IF(DadosL[[#This Row],[qtde_batalhas]]&lt;=25,"Médio","Alto")))</f>
        <v>Alto</v>
      </c>
      <c r="M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16000</v>
      </c>
      <c r="N2" s="1" t="str">
        <f>IF(AND(DadosL[[#This Row],[nivel_risco]]="Alto",DadosL[[#This Row],[flag_inadimplente]]="Sim"),"Negado","Aprovado")</f>
        <v>Negado</v>
      </c>
      <c r="O2" s="1" t="str">
        <f>IF(AND(ISNUMBER(DadosL[[#This Row],[credito_tomado]]),DadosL[[#This Row],[credito_tomado]]&gt;50000,DadosL[[#This Row],[flag_inadimplente]]="Sim"),"Negado","Aprovado")</f>
        <v>Aprovado</v>
      </c>
      <c r="P2" s="46">
        <f>IF(OR(DadosL[[#This Row],[Analise_Risco]]="Negado",DadosL[[#This Row],[Analise_Credito]]="Negado"),0,IF(DadosL[[#This Row],[status]]="Ativo",DadosL[[#This Row],[valor_solicitado]]*1.08,0))</f>
        <v>0</v>
      </c>
    </row>
    <row r="3" spans="1:16">
      <c r="A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" s="1" t="str">
        <f>PROPER(TRIM(DadosBrutos[[#This Row],[nome]]))</f>
        <v>Stannis Lannister</v>
      </c>
      <c r="C3" s="1" t="str">
        <f>IF(LEN(SUBSTITUTE(SUBSTITUTE(SUBSTITUTE(DadosBrutos[[#This Row],[cpf]],".",""),"-","")," ",""))=11,DadosBrutos[[#This Row],[cpf]],"-")</f>
        <v>-</v>
      </c>
      <c r="D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24</v>
      </c>
      <c r="E3" s="45">
        <f>IF(DadosBrutos[[#This Row],[data_nascimento]]="","-",DadosBrutos[[#This Row],[data_nascimento]])</f>
        <v>37313</v>
      </c>
      <c r="F3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3" s="37">
        <f>IF(DadosBrutos[[#This Row],[renda_mensal]]="","-",IF(ISNUMBER(DadosBrutos[[#This Row],[renda_mensal]]),DadosBrutos[[#This Row],[renda_mensal]],IFERROR(VALUE(SUBSTITUTE(DadosBrutos[[#This Row],[renda_mensal]]," moedas","")),"-")))</f>
        <v>11000</v>
      </c>
      <c r="I3" s="37">
        <f>IF(DadosBrutos[[#This Row],[credito_tomado]]="","-",IF(ISNUMBER(DadosBrutos[[#This Row],[credito_tomado]]),DadosBrutos[[#This Row],[credito_tomado]],IFERROR(VALUE(SUBSTITUTE(DadosBrutos[[#This Row],[credito_tomado]]," moedas","")),"-")))</f>
        <v>76500</v>
      </c>
      <c r="J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" s="1">
        <f>IF(DadosBrutos[[#This Row],[qtde_batalhas]]="","-",IF(ISNUMBER(DadosBrutos[[#This Row],[qtde_batalhas]]),DadosBrutos[[#This Row],[qtde_batalhas]],IFERROR(VALUE(SUBSTITUTE(DadosBrutos[[#This Row],[qtde_batalhas]]," batalhas","")),"-")))</f>
        <v>33</v>
      </c>
      <c r="L3" s="1" t="str">
        <f>IF(DadosL[[#This Row],[qtde_batalhas]]="-","-",IF(DadosL[[#This Row],[qtde_batalhas]]&lt;=10,"Baixo",IF(DadosL[[#This Row],[qtde_batalhas]]&lt;=25,"Médio","Alto")))</f>
        <v>Alto</v>
      </c>
      <c r="M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26000</v>
      </c>
      <c r="N3" s="1" t="str">
        <f>IF(AND(DadosL[[#This Row],[nivel_risco]]="Alto",DadosL[[#This Row],[flag_inadimplente]]="Sim"),"Negado","Aprovado")</f>
        <v>Negado</v>
      </c>
      <c r="O3" s="1" t="str">
        <f>IF(AND(ISNUMBER(DadosL[[#This Row],[credito_tomado]]),DadosL[[#This Row],[credito_tomado]]&gt;50000,DadosL[[#This Row],[flag_inadimplente]]="Sim"),"Negado","Aprovado")</f>
        <v>Negado</v>
      </c>
      <c r="P3" s="46">
        <f>IF(OR(DadosL[[#This Row],[Analise_Risco]]="Negado",DadosL[[#This Row],[Analise_Credito]]="Negado"),0,IF(DadosL[[#This Row],[status]]="Ativo",DadosL[[#This Row],[valor_solicitado]]*1.08,0))</f>
        <v>0</v>
      </c>
    </row>
    <row r="4" spans="1:16">
      <c r="A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4" s="1" t="str">
        <f>PROPER(TRIM(DadosBrutos[[#This Row],[nome]]))</f>
        <v>Asha Hornwood</v>
      </c>
      <c r="C4" s="1" t="str">
        <f>IF(LEN(SUBSTITUTE(SUBSTITUTE(SUBSTITUTE(DadosBrutos[[#This Row],[cpf]],".",""),"-","")," ",""))=11,DadosBrutos[[#This Row],[cpf]],"-")</f>
        <v>000.000.363-00</v>
      </c>
      <c r="D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33</v>
      </c>
      <c r="E4" s="45">
        <f>IF(DadosBrutos[[#This Row],[data_nascimento]]="","-",DadosBrutos[[#This Row],[data_nascimento]])</f>
        <v>34144</v>
      </c>
      <c r="F4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4" s="37">
        <f>IF(DadosBrutos[[#This Row],[renda_mensal]]="","-",IF(ISNUMBER(DadosBrutos[[#This Row],[renda_mensal]]),DadosBrutos[[#This Row],[renda_mensal]],IFERROR(VALUE(SUBSTITUTE(DadosBrutos[[#This Row],[renda_mensal]]," moedas","")),"-")))</f>
        <v>21500</v>
      </c>
      <c r="I4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4" s="1">
        <f>IF(DadosBrutos[[#This Row],[qtde_batalhas]]="","-",IF(ISNUMBER(DadosBrutos[[#This Row],[qtde_batalhas]]),DadosBrutos[[#This Row],[qtde_batalhas]],IFERROR(VALUE(SUBSTITUTE(DadosBrutos[[#This Row],[qtde_batalhas]]," batalhas","")),"-")))</f>
        <v>22</v>
      </c>
      <c r="L4" s="1" t="str">
        <f>IF(DadosL[[#This Row],[qtde_batalhas]]="-","-",IF(DadosL[[#This Row],[qtde_batalhas]]&lt;=10,"Baixo",IF(DadosL[[#This Row],[qtde_batalhas]]&lt;=25,"Médio","Alto")))</f>
        <v>Médio</v>
      </c>
      <c r="M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51500</v>
      </c>
      <c r="N4" s="1" t="str">
        <f>IF(AND(DadosL[[#This Row],[nivel_risco]]="Alto",DadosL[[#This Row],[flag_inadimplente]]="Sim"),"Negado","Aprovado")</f>
        <v>Aprovado</v>
      </c>
      <c r="O4" s="1" t="str">
        <f>IF(AND(ISNUMBER(DadosL[[#This Row],[credito_tomado]]),DadosL[[#This Row],[credito_tomado]]&gt;50000,DadosL[[#This Row],[flag_inadimplente]]="Sim"),"Negado","Aprovado")</f>
        <v>Aprovado</v>
      </c>
      <c r="P4" s="46">
        <f>IF(OR(DadosL[[#This Row],[Analise_Risco]]="Negado",DadosL[[#This Row],[Analise_Credito]]="Negado"),0,IF(DadosL[[#This Row],[status]]="Ativo",DadosL[[#This Row],[valor_solicitado]]*1.08,0))</f>
        <v>55620.000000000007</v>
      </c>
    </row>
    <row r="5" spans="1:16">
      <c r="A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5" s="1" t="str">
        <f>PROPER(TRIM(DadosBrutos[[#This Row],[nome]]))</f>
        <v>Jorah Dondarrion</v>
      </c>
      <c r="C5" s="1" t="str">
        <f>IF(LEN(SUBSTITUTE(SUBSTITUTE(SUBSTITUTE(DadosBrutos[[#This Row],[cpf]],".",""),"-","")," ",""))=11,DadosBrutos[[#This Row],[cpf]],"-")</f>
        <v>000.000.210-00</v>
      </c>
      <c r="D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63</v>
      </c>
      <c r="E5" s="45">
        <f>IF(DadosBrutos[[#This Row],[data_nascimento]]="","-",DadosBrutos[[#This Row],[data_nascimento]])</f>
        <v>23156</v>
      </c>
      <c r="F5" s="1" t="str">
        <f>IF(ISNUMBER(SEARCH("|",DadosBrutos[[#This Row],[cidade]])),TRIM(LEFT(DadosBrutos[[#This Row],[cidade]],SEARCH("|",DadosBrutos[[#This Row],[cidade]])-1)),TRIM(DadosBrutos[[#This Row],[cidade]]))</f>
        <v>Pyke</v>
      </c>
      <c r="G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5" s="37">
        <f>IF(DadosBrutos[[#This Row],[renda_mensal]]="","-",IF(ISNUMBER(DadosBrutos[[#This Row],[renda_mensal]]),DadosBrutos[[#This Row],[renda_mensal]],IFERROR(VALUE(SUBSTITUTE(DadosBrutos[[#This Row],[renda_mensal]]," moedas","")),"-")))</f>
        <v>10400</v>
      </c>
      <c r="I5" s="37">
        <f>IF(DadosBrutos[[#This Row],[credito_tomado]]="","-",IF(ISNUMBER(DadosBrutos[[#This Row],[credito_tomado]]),DadosBrutos[[#This Row],[credito_tomado]],IFERROR(VALUE(SUBSTITUTE(DadosBrutos[[#This Row],[credito_tomado]]," moedas","")),"-")))</f>
        <v>8500</v>
      </c>
      <c r="J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5" s="1">
        <f>IF(DadosBrutos[[#This Row],[qtde_batalhas]]="","-",IF(ISNUMBER(DadosBrutos[[#This Row],[qtde_batalhas]]),DadosBrutos[[#This Row],[qtde_batalhas]],IFERROR(VALUE(SUBSTITUTE(DadosBrutos[[#This Row],[qtde_batalhas]]," batalhas","")),"-")))</f>
        <v>39</v>
      </c>
      <c r="L5" s="1" t="str">
        <f>IF(DadosL[[#This Row],[qtde_batalhas]]="-","-",IF(DadosL[[#This Row],[qtde_batalhas]]&lt;=10,"Baixo",IF(DadosL[[#This Row],[qtde_batalhas]]&lt;=25,"Médio","Alto")))</f>
        <v>Alto</v>
      </c>
      <c r="M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36500</v>
      </c>
      <c r="N5" s="1" t="str">
        <f>IF(AND(DadosL[[#This Row],[nivel_risco]]="Alto",DadosL[[#This Row],[flag_inadimplente]]="Sim"),"Negado","Aprovado")</f>
        <v>Aprovado</v>
      </c>
      <c r="O5" s="1" t="str">
        <f>IF(AND(ISNUMBER(DadosL[[#This Row],[credito_tomado]]),DadosL[[#This Row],[credito_tomado]]&gt;50000,DadosL[[#This Row],[flag_inadimplente]]="Sim"),"Negado","Aprovado")</f>
        <v>Aprovado</v>
      </c>
      <c r="P5" s="46">
        <f>IF(OR(DadosL[[#This Row],[Analise_Risco]]="Negado",DadosL[[#This Row],[Analise_Credito]]="Negado"),0,IF(DadosL[[#This Row],[status]]="Ativo",DadosL[[#This Row],[valor_solicitado]]*1.08,0))</f>
        <v>39420</v>
      </c>
    </row>
    <row r="6" spans="1:16">
      <c r="A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6" s="1" t="str">
        <f>PROPER(TRIM(DadosBrutos[[#This Row],[nome]]))</f>
        <v>Jojen Florent</v>
      </c>
      <c r="C6" s="1" t="str">
        <f>IF(LEN(SUBSTITUTE(SUBSTITUTE(SUBSTITUTE(DadosBrutos[[#This Row],[cpf]],".",""),"-","")," ",""))=11,DadosBrutos[[#This Row],[cpf]],"-")</f>
        <v>000.000.321-00</v>
      </c>
      <c r="D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32</v>
      </c>
      <c r="E6" s="45">
        <f>IF(DadosBrutos[[#This Row],[data_nascimento]]="","-",DadosBrutos[[#This Row],[data_nascimento]])</f>
        <v>34299</v>
      </c>
      <c r="F6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6" s="37">
        <f>IF(DadosBrutos[[#This Row],[renda_mensal]]="","-",IF(ISNUMBER(DadosBrutos[[#This Row],[renda_mensal]]),DadosBrutos[[#This Row],[renda_mensal]],IFERROR(VALUE(SUBSTITUTE(DadosBrutos[[#This Row],[renda_mensal]]," moedas","")),"-")))</f>
        <v>30000</v>
      </c>
      <c r="I6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6" s="1">
        <f>IF(DadosBrutos[[#This Row],[qtde_batalhas]]="","-",IF(ISNUMBER(DadosBrutos[[#This Row],[qtde_batalhas]]),DadosBrutos[[#This Row],[qtde_batalhas]],IFERROR(VALUE(SUBSTITUTE(DadosBrutos[[#This Row],[qtde_batalhas]]," batalhas","")),"-")))</f>
        <v>5</v>
      </c>
      <c r="L6" s="1" t="str">
        <f>IF(DadosL[[#This Row],[qtde_batalhas]]="-","-",IF(DadosL[[#This Row],[qtde_batalhas]]&lt;=10,"Baixo",IF(DadosL[[#This Row],[qtde_batalhas]]&lt;=25,"Médio","Alto")))</f>
        <v>Baixo</v>
      </c>
      <c r="M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65000</v>
      </c>
      <c r="N6" s="1" t="str">
        <f>IF(AND(DadosL[[#This Row],[nivel_risco]]="Alto",DadosL[[#This Row],[flag_inadimplente]]="Sim"),"Negado","Aprovado")</f>
        <v>Aprovado</v>
      </c>
      <c r="O6" s="1" t="str">
        <f>IF(AND(ISNUMBER(DadosL[[#This Row],[credito_tomado]]),DadosL[[#This Row],[credito_tomado]]&gt;50000,DadosL[[#This Row],[flag_inadimplente]]="Sim"),"Negado","Aprovado")</f>
        <v>Aprovado</v>
      </c>
      <c r="P6" s="46">
        <f>IF(OR(DadosL[[#This Row],[Analise_Risco]]="Negado",DadosL[[#This Row],[Analise_Credito]]="Negado"),0,IF(DadosL[[#This Row],[status]]="Ativo",DadosL[[#This Row],[valor_solicitado]]*1.08,0))</f>
        <v>70200</v>
      </c>
    </row>
    <row r="7" spans="1:16">
      <c r="A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7" s="1" t="str">
        <f>PROPER(TRIM(DadosBrutos[[#This Row],[nome]]))</f>
        <v>Olenna Baelish</v>
      </c>
      <c r="C7" s="1" t="str">
        <f>IF(LEN(SUBSTITUTE(SUBSTITUTE(SUBSTITUTE(DadosBrutos[[#This Row],[cpf]],".",""),"-","")," ",""))=11,DadosBrutos[[#This Row],[cpf]],"-")</f>
        <v>000.000.191-00</v>
      </c>
      <c r="D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48</v>
      </c>
      <c r="E7" s="45">
        <f>IF(DadosBrutos[[#This Row],[data_nascimento]]="","-",DadosBrutos[[#This Row],[data_nascimento]])</f>
        <v>28647</v>
      </c>
      <c r="F7" s="1" t="str">
        <f>IF(ISNUMBER(SEARCH("|",DadosBrutos[[#This Row],[cidade]])),TRIM(LEFT(DadosBrutos[[#This Row],[cidade]],SEARCH("|",DadosBrutos[[#This Row],[cidade]])-1)),TRIM(DadosBrutos[[#This Row],[cidade]]))</f>
        <v>Lannisporto</v>
      </c>
      <c r="G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7" s="37">
        <f>IF(DadosBrutos[[#This Row],[renda_mensal]]="","-",IF(ISNUMBER(DadosBrutos[[#This Row],[renda_mensal]]),DadosBrutos[[#This Row],[renda_mensal]],IFERROR(VALUE(SUBSTITUTE(DadosBrutos[[#This Row],[renda_mensal]]," moedas","")),"-")))</f>
        <v>13200</v>
      </c>
      <c r="I7" s="37">
        <f>IF(DadosBrutos[[#This Row],[credito_tomado]]="","-",IF(ISNUMBER(DadosBrutos[[#This Row],[credito_tomado]]),DadosBrutos[[#This Row],[credito_tomado]],IFERROR(VALUE(SUBSTITUTE(DadosBrutos[[#This Row],[credito_tomado]]," moedas","")),"-")))</f>
        <v>3500</v>
      </c>
      <c r="J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7" s="1">
        <f>IF(DadosBrutos[[#This Row],[qtde_batalhas]]="","-",IF(ISNUMBER(DadosBrutos[[#This Row],[qtde_batalhas]]),DadosBrutos[[#This Row],[qtde_batalhas]],IFERROR(VALUE(SUBSTITUTE(DadosBrutos[[#This Row],[qtde_batalhas]]," batalhas","")),"-")))</f>
        <v>1</v>
      </c>
      <c r="L7" s="1" t="str">
        <f>IF(DadosL[[#This Row],[qtde_batalhas]]="-","-",IF(DadosL[[#This Row],[qtde_batalhas]]&lt;=10,"Baixo",IF(DadosL[[#This Row],[qtde_batalhas]]&lt;=25,"Médio","Alto")))</f>
        <v>Baixo</v>
      </c>
      <c r="M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32500</v>
      </c>
      <c r="N7" s="1" t="str">
        <f>IF(AND(DadosL[[#This Row],[nivel_risco]]="Alto",DadosL[[#This Row],[flag_inadimplente]]="Sim"),"Negado","Aprovado")</f>
        <v>Aprovado</v>
      </c>
      <c r="O7" s="1" t="str">
        <f>IF(AND(ISNUMBER(DadosL[[#This Row],[credito_tomado]]),DadosL[[#This Row],[credito_tomado]]&gt;50000,DadosL[[#This Row],[flag_inadimplente]]="Sim"),"Negado","Aprovado")</f>
        <v>Aprovado</v>
      </c>
      <c r="P7" s="46">
        <f>IF(OR(DadosL[[#This Row],[Analise_Risco]]="Negado",DadosL[[#This Row],[Analise_Credito]]="Negado"),0,IF(DadosL[[#This Row],[status]]="Ativo",DadosL[[#This Row],[valor_solicitado]]*1.08,0))</f>
        <v>35100</v>
      </c>
    </row>
    <row r="8" spans="1:16">
      <c r="A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8" s="1" t="str">
        <f>PROPER(TRIM(DadosBrutos[[#This Row],[nome]]))</f>
        <v>Brienne Manderly</v>
      </c>
      <c r="C8" s="1" t="str">
        <f>IF(LEN(SUBSTITUTE(SUBSTITUTE(SUBSTITUTE(DadosBrutos[[#This Row],[cpf]],".",""),"-","")," ",""))=11,DadosBrutos[[#This Row],[cpf]],"-")</f>
        <v>000.000.076-00</v>
      </c>
      <c r="D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28</v>
      </c>
      <c r="E8" s="45">
        <f>IF(DadosBrutos[[#This Row],[data_nascimento]]="","-",DadosBrutos[[#This Row],[data_nascimento]])</f>
        <v>35830</v>
      </c>
      <c r="F8" s="1" t="str">
        <f>IF(ISNUMBER(SEARCH("|",DadosBrutos[[#This Row],[cidade]])),TRIM(LEFT(DadosBrutos[[#This Row],[cidade]],SEARCH("|",DadosBrutos[[#This Row],[cidade]])-1)),TRIM(DadosBrutos[[#This Row],[cidade]]))</f>
        <v>Lannisporto</v>
      </c>
      <c r="G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8" s="37">
        <f>IF(DadosBrutos[[#This Row],[renda_mensal]]="","-",IF(ISNUMBER(DadosBrutos[[#This Row],[renda_mensal]]),DadosBrutos[[#This Row],[renda_mensal]],IFERROR(VALUE(SUBSTITUTE(DadosBrutos[[#This Row],[renda_mensal]]," moedas","")),"-")))</f>
        <v>8600</v>
      </c>
      <c r="I8" s="37">
        <f>IF(DadosBrutos[[#This Row],[credito_tomado]]="","-",IF(ISNUMBER(DadosBrutos[[#This Row],[credito_tomado]]),DadosBrutos[[#This Row],[credito_tomado]],IFERROR(VALUE(SUBSTITUTE(DadosBrutos[[#This Row],[credito_tomado]]," moedas","")),"-")))</f>
        <v>19000</v>
      </c>
      <c r="J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8" s="1">
        <f>IF(DadosBrutos[[#This Row],[qtde_batalhas]]="","-",IF(ISNUMBER(DadosBrutos[[#This Row],[qtde_batalhas]]),DadosBrutos[[#This Row],[qtde_batalhas]],IFERROR(VALUE(SUBSTITUTE(DadosBrutos[[#This Row],[qtde_batalhas]]," batalhas","")),"-")))</f>
        <v>4</v>
      </c>
      <c r="L8" s="1" t="str">
        <f>IF(DadosL[[#This Row],[qtde_batalhas]]="-","-",IF(DadosL[[#This Row],[qtde_batalhas]]&lt;=10,"Baixo",IF(DadosL[[#This Row],[qtde_batalhas]]&lt;=25,"Médio","Alto")))</f>
        <v>Baixo</v>
      </c>
      <c r="M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32500</v>
      </c>
      <c r="N8" s="1" t="str">
        <f>IF(AND(DadosL[[#This Row],[nivel_risco]]="Alto",DadosL[[#This Row],[flag_inadimplente]]="Sim"),"Negado","Aprovado")</f>
        <v>Aprovado</v>
      </c>
      <c r="O8" s="1" t="str">
        <f>IF(AND(ISNUMBER(DadosL[[#This Row],[credito_tomado]]),DadosL[[#This Row],[credito_tomado]]&gt;50000,DadosL[[#This Row],[flag_inadimplente]]="Sim"),"Negado","Aprovado")</f>
        <v>Aprovado</v>
      </c>
      <c r="P8" s="46">
        <f>IF(OR(DadosL[[#This Row],[Analise_Risco]]="Negado",DadosL[[#This Row],[Analise_Credito]]="Negado"),0,IF(DadosL[[#This Row],[status]]="Ativo",DadosL[[#This Row],[valor_solicitado]]*1.08,0))</f>
        <v>35100</v>
      </c>
    </row>
    <row r="9" spans="1:16">
      <c r="A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9" s="1" t="str">
        <f>PROPER(TRIM(DadosBrutos[[#This Row],[nome]]))</f>
        <v>Yara Targaryen</v>
      </c>
      <c r="C9" s="1" t="str">
        <f>IF(LEN(SUBSTITUTE(SUBSTITUTE(SUBSTITUTE(DadosBrutos[[#This Row],[cpf]],".",""),"-","")," ",""))=11,DadosBrutos[[#This Row],[cpf]],"-")</f>
        <v>000.000.059-00</v>
      </c>
      <c r="D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42</v>
      </c>
      <c r="E9" s="45">
        <f>IF(DadosBrutos[[#This Row],[data_nascimento]]="","-",DadosBrutos[[#This Row],[data_nascimento]])</f>
        <v>30810</v>
      </c>
      <c r="F9" s="1" t="str">
        <f>IF(ISNUMBER(SEARCH("|",DadosBrutos[[#This Row],[cidade]])),TRIM(LEFT(DadosBrutos[[#This Row],[cidade]],SEARCH("|",DadosBrutos[[#This Row],[cidade]])-1)),TRIM(DadosBrutos[[#This Row],[cidade]]))</f>
        <v>Pyke</v>
      </c>
      <c r="G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9" s="37">
        <f>IF(DadosBrutos[[#This Row],[renda_mensal]]="","-",IF(ISNUMBER(DadosBrutos[[#This Row],[renda_mensal]]),DadosBrutos[[#This Row],[renda_mensal]],IFERROR(VALUE(SUBSTITUTE(DadosBrutos[[#This Row],[renda_mensal]]," moedas","")),"-")))</f>
        <v>18200</v>
      </c>
      <c r="I9" s="37">
        <f>IF(DadosBrutos[[#This Row],[credito_tomado]]="","-",IF(ISNUMBER(DadosBrutos[[#This Row],[credito_tomado]]),DadosBrutos[[#This Row],[credito_tomado]],IFERROR(VALUE(SUBSTITUTE(DadosBrutos[[#This Row],[credito_tomado]]," moedas","")),"-")))</f>
        <v>31000</v>
      </c>
      <c r="J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9" s="1">
        <f>IF(DadosBrutos[[#This Row],[qtde_batalhas]]="","-",IF(ISNUMBER(DadosBrutos[[#This Row],[qtde_batalhas]]),DadosBrutos[[#This Row],[qtde_batalhas]],IFERROR(VALUE(SUBSTITUTE(DadosBrutos[[#This Row],[qtde_batalhas]]," batalhas","")),"-")))</f>
        <v>19</v>
      </c>
      <c r="L9" s="1" t="str">
        <f>IF(DadosL[[#This Row],[qtde_batalhas]]="-","-",IF(DadosL[[#This Row],[qtde_batalhas]]&lt;=10,"Baixo",IF(DadosL[[#This Row],[qtde_batalhas]]&lt;=25,"Médio","Alto")))</f>
        <v>Médio</v>
      </c>
      <c r="M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63500</v>
      </c>
      <c r="N9" s="1" t="str">
        <f>IF(AND(DadosL[[#This Row],[nivel_risco]]="Alto",DadosL[[#This Row],[flag_inadimplente]]="Sim"),"Negado","Aprovado")</f>
        <v>Aprovado</v>
      </c>
      <c r="O9" s="1" t="str">
        <f>IF(AND(ISNUMBER(DadosL[[#This Row],[credito_tomado]]),DadosL[[#This Row],[credito_tomado]]&gt;50000,DadosL[[#This Row],[flag_inadimplente]]="Sim"),"Negado","Aprovado")</f>
        <v>Aprovado</v>
      </c>
      <c r="P9" s="46">
        <f>IF(OR(DadosL[[#This Row],[Analise_Risco]]="Negado",DadosL[[#This Row],[Analise_Credito]]="Negado"),0,IF(DadosL[[#This Row],[status]]="Ativo",DadosL[[#This Row],[valor_solicitado]]*1.08,0))</f>
        <v>0</v>
      </c>
    </row>
    <row r="10" spans="1:16">
      <c r="A1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0" s="1" t="str">
        <f>PROPER(TRIM(DadosBrutos[[#This Row],[nome]]))</f>
        <v>Margaery Tarly</v>
      </c>
      <c r="C10" s="1" t="str">
        <f>IF(LEN(SUBSTITUTE(SUBSTITUTE(SUBSTITUTE(DadosBrutos[[#This Row],[cpf]],".",""),"-","")," ",""))=11,DadosBrutos[[#This Row],[cpf]],"-")</f>
        <v>000.000.274-00</v>
      </c>
      <c r="D1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34</v>
      </c>
      <c r="E10" s="45">
        <f>IF(DadosBrutos[[#This Row],[data_nascimento]]="","-",DadosBrutos[[#This Row],[data_nascimento]])</f>
        <v>33624</v>
      </c>
      <c r="F10" s="1" t="str">
        <f>IF(ISNUMBER(SEARCH("|",DadosBrutos[[#This Row],[cidade]])),TRIM(LEFT(DadosBrutos[[#This Row],[cidade]],SEARCH("|",DadosBrutos[[#This Row],[cidade]])-1)),TRIM(DadosBrutos[[#This Row],[cidade]]))</f>
        <v>Pyke</v>
      </c>
      <c r="G1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10" s="37">
        <f>IF(DadosBrutos[[#This Row],[renda_mensal]]="","-",IF(ISNUMBER(DadosBrutos[[#This Row],[renda_mensal]]),DadosBrutos[[#This Row],[renda_mensal]],IFERROR(VALUE(SUBSTITUTE(DadosBrutos[[#This Row],[renda_mensal]]," moedas","")),"-")))</f>
        <v>8000</v>
      </c>
      <c r="I10" s="37">
        <f>IF(DadosBrutos[[#This Row],[credito_tomado]]="","-",IF(ISNUMBER(DadosBrutos[[#This Row],[credito_tomado]]),DadosBrutos[[#This Row],[credito_tomado]],IFERROR(VALUE(SUBSTITUTE(DadosBrutos[[#This Row],[credito_tomado]]," moedas","")),"-")))</f>
        <v>14500</v>
      </c>
      <c r="J1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0" s="1">
        <f>IF(DadosBrutos[[#This Row],[qtde_batalhas]]="","-",IF(ISNUMBER(DadosBrutos[[#This Row],[qtde_batalhas]]),DadosBrutos[[#This Row],[qtde_batalhas]],IFERROR(VALUE(SUBSTITUTE(DadosBrutos[[#This Row],[qtde_batalhas]]," batalhas","")),"-")))</f>
        <v>9</v>
      </c>
      <c r="L10" s="1" t="str">
        <f>IF(DadosL[[#This Row],[qtde_batalhas]]="-","-",IF(DadosL[[#This Row],[qtde_batalhas]]&lt;=10,"Baixo",IF(DadosL[[#This Row],[qtde_batalhas]]&lt;=25,"Médio","Alto")))</f>
        <v>Baixo</v>
      </c>
      <c r="M1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17500</v>
      </c>
      <c r="N10" s="1" t="str">
        <f>IF(AND(DadosL[[#This Row],[nivel_risco]]="Alto",DadosL[[#This Row],[flag_inadimplente]]="Sim"),"Negado","Aprovado")</f>
        <v>Aprovado</v>
      </c>
      <c r="O10" s="1" t="str">
        <f>IF(AND(ISNUMBER(DadosL[[#This Row],[credito_tomado]]),DadosL[[#This Row],[credito_tomado]]&gt;50000,DadosL[[#This Row],[flag_inadimplente]]="Sim"),"Negado","Aprovado")</f>
        <v>Aprovado</v>
      </c>
      <c r="P10" s="46">
        <f>IF(OR(DadosL[[#This Row],[Analise_Risco]]="Negado",DadosL[[#This Row],[Analise_Credito]]="Negado"),0,IF(DadosL[[#This Row],[status]]="Ativo",DadosL[[#This Row],[valor_solicitado]]*1.08,0))</f>
        <v>18900</v>
      </c>
    </row>
    <row r="11" spans="1:16">
      <c r="A1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1" s="1" t="str">
        <f>PROPER(TRIM(DadosBrutos[[#This Row],[nome]]))</f>
        <v>Viserys Seaworth</v>
      </c>
      <c r="C11" s="1" t="str">
        <f>IF(LEN(SUBSTITUTE(SUBSTITUTE(SUBSTITUTE(DadosBrutos[[#This Row],[cpf]],".",""),"-","")," ",""))=11,DadosBrutos[[#This Row],[cpf]],"-")</f>
        <v>000.000.024-00</v>
      </c>
      <c r="D1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61</v>
      </c>
      <c r="E11" s="45">
        <f>IF(DadosBrutos[[#This Row],[data_nascimento]]="","-",DadosBrutos[[#This Row],[data_nascimento]])</f>
        <v>23667</v>
      </c>
      <c r="F11" s="1" t="str">
        <f>IF(ISNUMBER(SEARCH("|",DadosBrutos[[#This Row],[cidade]])),TRIM(LEFT(DadosBrutos[[#This Row],[cidade]],SEARCH("|",DadosBrutos[[#This Row],[cidade]])-1)),TRIM(DadosBrutos[[#This Row],[cidade]]))</f>
        <v>Meereen</v>
      </c>
      <c r="G1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11" s="37">
        <f>IF(DadosBrutos[[#This Row],[renda_mensal]]="","-",IF(ISNUMBER(DadosBrutos[[#This Row],[renda_mensal]]),DadosBrutos[[#This Row],[renda_mensal]],IFERROR(VALUE(SUBSTITUTE(DadosBrutos[[#This Row],[renda_mensal]]," moedas","")),"-")))</f>
        <v>23000</v>
      </c>
      <c r="I11" s="37">
        <f>IF(DadosBrutos[[#This Row],[credito_tomado]]="","-",IF(ISNUMBER(DadosBrutos[[#This Row],[credito_tomado]]),DadosBrutos[[#This Row],[credito_tomado]],IFERROR(VALUE(SUBSTITUTE(DadosBrutos[[#This Row],[credito_tomado]]," moedas","")),"-")))</f>
        <v>44500</v>
      </c>
      <c r="J1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1" s="1">
        <f>IF(DadosBrutos[[#This Row],[qtde_batalhas]]="","-",IF(ISNUMBER(DadosBrutos[[#This Row],[qtde_batalhas]]),DadosBrutos[[#This Row],[qtde_batalhas]],IFERROR(VALUE(SUBSTITUTE(DadosBrutos[[#This Row],[qtde_batalhas]]," batalhas","")),"-")))</f>
        <v>32</v>
      </c>
      <c r="L11" s="1" t="str">
        <f>IF(DadosL[[#This Row],[qtde_batalhas]]="-","-",IF(DadosL[[#This Row],[qtde_batalhas]]&lt;=10,"Baixo",IF(DadosL[[#This Row],[qtde_batalhas]]&lt;=25,"Médio","Alto")))</f>
        <v>Alto</v>
      </c>
      <c r="M1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2000</v>
      </c>
      <c r="N11" s="1" t="str">
        <f>IF(AND(DadosL[[#This Row],[nivel_risco]]="Alto",DadosL[[#This Row],[flag_inadimplente]]="Sim"),"Negado","Aprovado")</f>
        <v>Negado</v>
      </c>
      <c r="O11" s="1" t="str">
        <f>IF(AND(ISNUMBER(DadosL[[#This Row],[credito_tomado]]),DadosL[[#This Row],[credito_tomado]]&gt;50000,DadosL[[#This Row],[flag_inadimplente]]="Sim"),"Negado","Aprovado")</f>
        <v>Aprovado</v>
      </c>
      <c r="P11" s="46">
        <f>IF(OR(DadosL[[#This Row],[Analise_Risco]]="Negado",DadosL[[#This Row],[Analise_Credito]]="Negado"),0,IF(DadosL[[#This Row],[status]]="Ativo",DadosL[[#This Row],[valor_solicitado]]*1.08,0))</f>
        <v>0</v>
      </c>
    </row>
    <row r="12" spans="1:16">
      <c r="A1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2" s="1" t="str">
        <f>PROPER(TRIM(DadosBrutos[[#This Row],[nome]]))</f>
        <v>Tormund  Cerwyn</v>
      </c>
      <c r="C12" s="1" t="str">
        <f>IF(LEN(SUBSTITUTE(SUBSTITUTE(SUBSTITUTE(DadosBrutos[[#This Row],[cpf]],".",""),"-","")," ",""))=11,DadosBrutos[[#This Row],[cpf]],"-")</f>
        <v>000.000.039-00</v>
      </c>
      <c r="D1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33</v>
      </c>
      <c r="E12" s="45">
        <f>IF(DadosBrutos[[#This Row],[data_nascimento]]="","-",DadosBrutos[[#This Row],[data_nascimento]])</f>
        <v>34147</v>
      </c>
      <c r="F12" s="1" t="str">
        <f>IF(ISNUMBER(SEARCH("|",DadosBrutos[[#This Row],[cidade]])),TRIM(LEFT(DadosBrutos[[#This Row],[cidade]],SEARCH("|",DadosBrutos[[#This Row],[cidade]])-1)),TRIM(DadosBrutos[[#This Row],[cidade]]))</f>
        <v>Meereen</v>
      </c>
      <c r="G1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12" s="37">
        <f>IF(DadosBrutos[[#This Row],[renda_mensal]]="","-",IF(ISNUMBER(DadosBrutos[[#This Row],[renda_mensal]]),DadosBrutos[[#This Row],[renda_mensal]],IFERROR(VALUE(SUBSTITUTE(DadosBrutos[[#This Row],[renda_mensal]]," moedas","")),"-")))</f>
        <v>28700</v>
      </c>
      <c r="I12" s="37">
        <f>IF(DadosBrutos[[#This Row],[credito_tomado]]="","-",IF(ISNUMBER(DadosBrutos[[#This Row],[credito_tomado]]),DadosBrutos[[#This Row],[credito_tomado]],IFERROR(VALUE(SUBSTITUTE(DadosBrutos[[#This Row],[credito_tomado]]," moedas","")),"-")))</f>
        <v>12500</v>
      </c>
      <c r="J1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2" s="1">
        <f>IF(DadosBrutos[[#This Row],[qtde_batalhas]]="","-",IF(ISNUMBER(DadosBrutos[[#This Row],[qtde_batalhas]]),DadosBrutos[[#This Row],[qtde_batalhas]],IFERROR(VALUE(SUBSTITUTE(DadosBrutos[[#This Row],[qtde_batalhas]]," batalhas","")),"-")))</f>
        <v>41</v>
      </c>
      <c r="L12" s="1" t="str">
        <f>IF(DadosL[[#This Row],[qtde_batalhas]]="-","-",IF(DadosL[[#This Row],[qtde_batalhas]]&lt;=10,"Baixo",IF(DadosL[[#This Row],[qtde_batalhas]]&lt;=25,"Médio","Alto")))</f>
        <v>Alto</v>
      </c>
      <c r="M1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99500</v>
      </c>
      <c r="N12" s="1" t="str">
        <f>IF(AND(DadosL[[#This Row],[nivel_risco]]="Alto",DadosL[[#This Row],[flag_inadimplente]]="Sim"),"Negado","Aprovado")</f>
        <v>Aprovado</v>
      </c>
      <c r="O12" s="1" t="str">
        <f>IF(AND(ISNUMBER(DadosL[[#This Row],[credito_tomado]]),DadosL[[#This Row],[credito_tomado]]&gt;50000,DadosL[[#This Row],[flag_inadimplente]]="Sim"),"Negado","Aprovado")</f>
        <v>Aprovado</v>
      </c>
      <c r="P12" s="46">
        <f>IF(OR(DadosL[[#This Row],[Analise_Risco]]="Negado",DadosL[[#This Row],[Analise_Credito]]="Negado"),0,IF(DadosL[[#This Row],[status]]="Ativo",DadosL[[#This Row],[valor_solicitado]]*1.08,0))</f>
        <v>107460</v>
      </c>
    </row>
    <row r="13" spans="1:16">
      <c r="A1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3" s="1" t="str">
        <f>PROPER(TRIM(DadosBrutos[[#This Row],[nome]]))</f>
        <v>Catelyn Westerling</v>
      </c>
      <c r="C13" s="1" t="str">
        <f>IF(LEN(SUBSTITUTE(SUBSTITUTE(SUBSTITUTE(DadosBrutos[[#This Row],[cpf]],".",""),"-","")," ",""))=11,DadosBrutos[[#This Row],[cpf]],"-")</f>
        <v>-</v>
      </c>
      <c r="D1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70</v>
      </c>
      <c r="E13" s="45">
        <f>IF(DadosBrutos[[#This Row],[data_nascimento]]="","-",DadosBrutos[[#This Row],[data_nascimento]])</f>
        <v>20515</v>
      </c>
      <c r="F13" s="1" t="str">
        <f>IF(ISNUMBER(SEARCH("|",DadosBrutos[[#This Row],[cidade]])),TRIM(LEFT(DadosBrutos[[#This Row],[cidade]],SEARCH("|",DadosBrutos[[#This Row],[cidade]])-1)),TRIM(DadosBrutos[[#This Row],[cidade]]))</f>
        <v>Braavos</v>
      </c>
      <c r="G1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13" s="37">
        <f>IF(DadosBrutos[[#This Row],[renda_mensal]]="","-",IF(ISNUMBER(DadosBrutos[[#This Row],[renda_mensal]]),DadosBrutos[[#This Row],[renda_mensal]],IFERROR(VALUE(SUBSTITUTE(DadosBrutos[[#This Row],[renda_mensal]]," moedas","")),"-")))</f>
        <v>19500</v>
      </c>
      <c r="I13" s="37">
        <f>IF(DadosBrutos[[#This Row],[credito_tomado]]="","-",IF(ISNUMBER(DadosBrutos[[#This Row],[credito_tomado]]),DadosBrutos[[#This Row],[credito_tomado]],IFERROR(VALUE(SUBSTITUTE(DadosBrutos[[#This Row],[credito_tomado]]," moedas","")),"-")))</f>
        <v>62000</v>
      </c>
      <c r="J1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3" s="1">
        <f>IF(DadosBrutos[[#This Row],[qtde_batalhas]]="","-",IF(ISNUMBER(DadosBrutos[[#This Row],[qtde_batalhas]]),DadosBrutos[[#This Row],[qtde_batalhas]],IFERROR(VALUE(SUBSTITUTE(DadosBrutos[[#This Row],[qtde_batalhas]]," batalhas","")),"-")))</f>
        <v>45</v>
      </c>
      <c r="L13" s="1" t="str">
        <f>IF(DadosL[[#This Row],[qtde_batalhas]]="-","-",IF(DadosL[[#This Row],[qtde_batalhas]]&lt;=10,"Baixo",IF(DadosL[[#This Row],[qtde_batalhas]]&lt;=25,"Médio","Alto")))</f>
        <v>Alto</v>
      </c>
      <c r="M1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35500</v>
      </c>
      <c r="N13" s="1" t="str">
        <f>IF(AND(DadosL[[#This Row],[nivel_risco]]="Alto",DadosL[[#This Row],[flag_inadimplente]]="Sim"),"Negado","Aprovado")</f>
        <v>Negado</v>
      </c>
      <c r="O13" s="1" t="str">
        <f>IF(AND(ISNUMBER(DadosL[[#This Row],[credito_tomado]]),DadosL[[#This Row],[credito_tomado]]&gt;50000,DadosL[[#This Row],[flag_inadimplente]]="Sim"),"Negado","Aprovado")</f>
        <v>Negado</v>
      </c>
      <c r="P13" s="46">
        <f>IF(OR(DadosL[[#This Row],[Analise_Risco]]="Negado",DadosL[[#This Row],[Analise_Credito]]="Negado"),0,IF(DadosL[[#This Row],[status]]="Ativo",DadosL[[#This Row],[valor_solicitado]]*1.08,0))</f>
        <v>0</v>
      </c>
    </row>
    <row r="14" spans="1:16">
      <c r="A1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4" s="1" t="str">
        <f>PROPER(TRIM(DadosBrutos[[#This Row],[nome]]))</f>
        <v>Robb Baratheon</v>
      </c>
      <c r="C14" s="1" t="str">
        <f>IF(LEN(SUBSTITUTE(SUBSTITUTE(SUBSTITUTE(DadosBrutos[[#This Row],[cpf]],".",""),"-","")," ",""))=11,DadosBrutos[[#This Row],[cpf]],"-")</f>
        <v>000.000.365-00</v>
      </c>
      <c r="D1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54</v>
      </c>
      <c r="E14" s="45">
        <f>IF(DadosBrutos[[#This Row],[data_nascimento]]="","-",DadosBrutos[[#This Row],[data_nascimento]])</f>
        <v>26382</v>
      </c>
      <c r="F14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1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14" s="37">
        <f>IF(DadosBrutos[[#This Row],[renda_mensal]]="","-",IF(ISNUMBER(DadosBrutos[[#This Row],[renda_mensal]]),DadosBrutos[[#This Row],[renda_mensal]],IFERROR(VALUE(SUBSTITUTE(DadosBrutos[[#This Row],[renda_mensal]]," moedas","")),"-")))</f>
        <v>22100</v>
      </c>
      <c r="I14" s="37">
        <f>IF(DadosBrutos[[#This Row],[credito_tomado]]="","-",IF(ISNUMBER(DadosBrutos[[#This Row],[credito_tomado]]),DadosBrutos[[#This Row],[credito_tomado]],IFERROR(VALUE(SUBSTITUTE(DadosBrutos[[#This Row],[credito_tomado]]," moedas","")),"-")))</f>
        <v>37000</v>
      </c>
      <c r="J1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4" s="1">
        <f>IF(DadosBrutos[[#This Row],[qtde_batalhas]]="","-",IF(ISNUMBER(DadosBrutos[[#This Row],[qtde_batalhas]]),DadosBrutos[[#This Row],[qtde_batalhas]],IFERROR(VALUE(SUBSTITUTE(DadosBrutos[[#This Row],[qtde_batalhas]]," batalhas","")),"-")))</f>
        <v>34</v>
      </c>
      <c r="L14" s="1" t="str">
        <f>IF(DadosL[[#This Row],[qtde_batalhas]]="-","-",IF(DadosL[[#This Row],[qtde_batalhas]]&lt;=10,"Baixo",IF(DadosL[[#This Row],[qtde_batalhas]]&lt;=25,"Médio","Alto")))</f>
        <v>Alto</v>
      </c>
      <c r="M1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87000</v>
      </c>
      <c r="N14" s="1" t="str">
        <f>IF(AND(DadosL[[#This Row],[nivel_risco]]="Alto",DadosL[[#This Row],[flag_inadimplente]]="Sim"),"Negado","Aprovado")</f>
        <v>Aprovado</v>
      </c>
      <c r="O14" s="1" t="str">
        <f>IF(AND(ISNUMBER(DadosL[[#This Row],[credito_tomado]]),DadosL[[#This Row],[credito_tomado]]&gt;50000,DadosL[[#This Row],[flag_inadimplente]]="Sim"),"Negado","Aprovado")</f>
        <v>Aprovado</v>
      </c>
      <c r="P14" s="46">
        <f>IF(OR(DadosL[[#This Row],[Analise_Risco]]="Negado",DadosL[[#This Row],[Analise_Credito]]="Negado"),0,IF(DadosL[[#This Row],[status]]="Ativo",DadosL[[#This Row],[valor_solicitado]]*1.08,0))</f>
        <v>93960</v>
      </c>
    </row>
    <row r="15" spans="1:16">
      <c r="A1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5" s="1" t="str">
        <f>PROPER(TRIM(DadosBrutos[[#This Row],[nome]]))</f>
        <v>Asha Tallhart</v>
      </c>
      <c r="C15" s="1" t="str">
        <f>IF(LEN(SUBSTITUTE(SUBSTITUTE(SUBSTITUTE(DadosBrutos[[#This Row],[cpf]],".",""),"-","")," ",""))=11,DadosBrutos[[#This Row],[cpf]],"-")</f>
        <v>-</v>
      </c>
      <c r="D1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38</v>
      </c>
      <c r="E15" s="45">
        <f>IF(DadosBrutos[[#This Row],[data_nascimento]]="","-",DadosBrutos[[#This Row],[data_nascimento]])</f>
        <v>32260</v>
      </c>
      <c r="F15" s="1" t="str">
        <f>IF(ISNUMBER(SEARCH("|",DadosBrutos[[#This Row],[cidade]])),TRIM(LEFT(DadosBrutos[[#This Row],[cidade]],SEARCH("|",DadosBrutos[[#This Row],[cidade]])-1)),TRIM(DadosBrutos[[#This Row],[cidade]]))</f>
        <v>Pyke</v>
      </c>
      <c r="G1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15" s="37">
        <f>IF(DadosBrutos[[#This Row],[renda_mensal]]="","-",IF(ISNUMBER(DadosBrutos[[#This Row],[renda_mensal]]),DadosBrutos[[#This Row],[renda_mensal]],IFERROR(VALUE(SUBSTITUTE(DadosBrutos[[#This Row],[renda_mensal]]," moedas","")),"-")))</f>
        <v>17600</v>
      </c>
      <c r="I15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1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5" s="1">
        <f>IF(DadosBrutos[[#This Row],[qtde_batalhas]]="","-",IF(ISNUMBER(DadosBrutos[[#This Row],[qtde_batalhas]]),DadosBrutos[[#This Row],[qtde_batalhas]],IFERROR(VALUE(SUBSTITUTE(DadosBrutos[[#This Row],[qtde_batalhas]]," batalhas","")),"-")))</f>
        <v>31</v>
      </c>
      <c r="L15" s="1" t="str">
        <f>IF(DadosL[[#This Row],[qtde_batalhas]]="-","-",IF(DadosL[[#This Row],[qtde_batalhas]]&lt;=10,"Baixo",IF(DadosL[[#This Row],[qtde_batalhas]]&lt;=25,"Médio","Alto")))</f>
        <v>Alto</v>
      </c>
      <c r="M1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47500</v>
      </c>
      <c r="N15" s="1" t="str">
        <f>IF(AND(DadosL[[#This Row],[nivel_risco]]="Alto",DadosL[[#This Row],[flag_inadimplente]]="Sim"),"Negado","Aprovado")</f>
        <v>Negado</v>
      </c>
      <c r="O15" s="1" t="str">
        <f>IF(AND(ISNUMBER(DadosL[[#This Row],[credito_tomado]]),DadosL[[#This Row],[credito_tomado]]&gt;50000,DadosL[[#This Row],[flag_inadimplente]]="Sim"),"Negado","Aprovado")</f>
        <v>Aprovado</v>
      </c>
      <c r="P15" s="46">
        <f>IF(OR(DadosL[[#This Row],[Analise_Risco]]="Negado",DadosL[[#This Row],[Analise_Credito]]="Negado"),0,IF(DadosL[[#This Row],[status]]="Ativo",DadosL[[#This Row],[valor_solicitado]]*1.08,0))</f>
        <v>0</v>
      </c>
    </row>
    <row r="16" spans="1:16">
      <c r="A1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6" s="1" t="str">
        <f>PROPER(TRIM(DadosBrutos[[#This Row],[nome]]))</f>
        <v>Missandei Tarly</v>
      </c>
      <c r="C16" s="1" t="str">
        <f>IF(LEN(SUBSTITUTE(SUBSTITUTE(SUBSTITUTE(DadosBrutos[[#This Row],[cpf]],".",""),"-","")," ",""))=11,DadosBrutos[[#This Row],[cpf]],"-")</f>
        <v>-</v>
      </c>
      <c r="D1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55</v>
      </c>
      <c r="E16" s="45">
        <f>IF(DadosBrutos[[#This Row],[data_nascimento]]="","-",DadosBrutos[[#This Row],[data_nascimento]])</f>
        <v>25892</v>
      </c>
      <c r="F16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1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16" s="37">
        <f>IF(DadosBrutos[[#This Row],[renda_mensal]]="","-",IF(ISNUMBER(DadosBrutos[[#This Row],[renda_mensal]]),DadosBrutos[[#This Row],[renda_mensal]],IFERROR(VALUE(SUBSTITUTE(DadosBrutos[[#This Row],[renda_mensal]]," moedas","")),"-")))</f>
        <v>5300</v>
      </c>
      <c r="I16" s="37">
        <f>IF(DadosBrutos[[#This Row],[credito_tomado]]="","-",IF(ISNUMBER(DadosBrutos[[#This Row],[credito_tomado]]),DadosBrutos[[#This Row],[credito_tomado]],IFERROR(VALUE(SUBSTITUTE(DadosBrutos[[#This Row],[credito_tomado]]," moedas","")),"-")))</f>
        <v>6500</v>
      </c>
      <c r="J1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6" s="1">
        <f>IF(DadosBrutos[[#This Row],[qtde_batalhas]]="","-",IF(ISNUMBER(DadosBrutos[[#This Row],[qtde_batalhas]]),DadosBrutos[[#This Row],[qtde_batalhas]],IFERROR(VALUE(SUBSTITUTE(DadosBrutos[[#This Row],[qtde_batalhas]]," batalhas","")),"-")))</f>
        <v>42</v>
      </c>
      <c r="L16" s="1" t="str">
        <f>IF(DadosL[[#This Row],[qtde_batalhas]]="-","-",IF(DadosL[[#This Row],[qtde_batalhas]]&lt;=10,"Baixo",IF(DadosL[[#This Row],[qtde_batalhas]]&lt;=25,"Médio","Alto")))</f>
        <v>Alto</v>
      </c>
      <c r="M1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96000</v>
      </c>
      <c r="N16" s="1" t="str">
        <f>IF(AND(DadosL[[#This Row],[nivel_risco]]="Alto",DadosL[[#This Row],[flag_inadimplente]]="Sim"),"Negado","Aprovado")</f>
        <v>Aprovado</v>
      </c>
      <c r="O16" s="1" t="str">
        <f>IF(AND(ISNUMBER(DadosL[[#This Row],[credito_tomado]]),DadosL[[#This Row],[credito_tomado]]&gt;50000,DadosL[[#This Row],[flag_inadimplente]]="Sim"),"Negado","Aprovado")</f>
        <v>Aprovado</v>
      </c>
      <c r="P16" s="46">
        <f>IF(OR(DadosL[[#This Row],[Analise_Risco]]="Negado",DadosL[[#This Row],[Analise_Credito]]="Negado"),0,IF(DadosL[[#This Row],[status]]="Ativo",DadosL[[#This Row],[valor_solicitado]]*1.08,0))</f>
        <v>0</v>
      </c>
    </row>
    <row r="17" spans="1:16">
      <c r="A1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7" s="1" t="str">
        <f>PROPER(TRIM(DadosBrutos[[#This Row],[nome]]))</f>
        <v>Jeor Mallister</v>
      </c>
      <c r="C17" s="1" t="str">
        <f>IF(LEN(SUBSTITUTE(SUBSTITUTE(SUBSTITUTE(DadosBrutos[[#This Row],[cpf]],".",""),"-","")," ",""))=11,DadosBrutos[[#This Row],[cpf]],"-")</f>
        <v>000.000.162-00</v>
      </c>
      <c r="D1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47</v>
      </c>
      <c r="E17" s="45">
        <f>IF(DadosBrutos[[#This Row],[data_nascimento]]="","-",DadosBrutos[[#This Row],[data_nascimento]])</f>
        <v>29064</v>
      </c>
      <c r="F17" s="1" t="str">
        <f>IF(ISNUMBER(SEARCH("|",DadosBrutos[[#This Row],[cidade]])),TRIM(LEFT(DadosBrutos[[#This Row],[cidade]],SEARCH("|",DadosBrutos[[#This Row],[cidade]])-1)),TRIM(DadosBrutos[[#This Row],[cidade]]))</f>
        <v>Correrrio</v>
      </c>
      <c r="G1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17" s="37">
        <f>IF(DadosBrutos[[#This Row],[renda_mensal]]="","-",IF(ISNUMBER(DadosBrutos[[#This Row],[renda_mensal]]),DadosBrutos[[#This Row],[renda_mensal]],IFERROR(VALUE(SUBSTITUTE(DadosBrutos[[#This Row],[renda_mensal]]," moedas","")),"-")))</f>
        <v>13300</v>
      </c>
      <c r="I17" s="37">
        <f>IF(DadosBrutos[[#This Row],[credito_tomado]]="","-",IF(ISNUMBER(DadosBrutos[[#This Row],[credito_tomado]]),DadosBrutos[[#This Row],[credito_tomado]],IFERROR(VALUE(SUBSTITUTE(DadosBrutos[[#This Row],[credito_tomado]]," moedas","")),"-")))</f>
        <v>1000</v>
      </c>
      <c r="J1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7" s="1">
        <f>IF(DadosBrutos[[#This Row],[qtde_batalhas]]="","-",IF(ISNUMBER(DadosBrutos[[#This Row],[qtde_batalhas]]),DadosBrutos[[#This Row],[qtde_batalhas]],IFERROR(VALUE(SUBSTITUTE(DadosBrutos[[#This Row],[qtde_batalhas]]," batalhas","")),"-")))</f>
        <v>24</v>
      </c>
      <c r="L17" s="1" t="str">
        <f>IF(DadosL[[#This Row],[qtde_batalhas]]="-","-",IF(DadosL[[#This Row],[qtde_batalhas]]&lt;=10,"Baixo",IF(DadosL[[#This Row],[qtde_batalhas]]&lt;=25,"Médio","Alto")))</f>
        <v>Médio</v>
      </c>
      <c r="M1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61500</v>
      </c>
      <c r="N17" s="1" t="str">
        <f>IF(AND(DadosL[[#This Row],[nivel_risco]]="Alto",DadosL[[#This Row],[flag_inadimplente]]="Sim"),"Negado","Aprovado")</f>
        <v>Aprovado</v>
      </c>
      <c r="O17" s="1" t="str">
        <f>IF(AND(ISNUMBER(DadosL[[#This Row],[credito_tomado]]),DadosL[[#This Row],[credito_tomado]]&gt;50000,DadosL[[#This Row],[flag_inadimplente]]="Sim"),"Negado","Aprovado")</f>
        <v>Aprovado</v>
      </c>
      <c r="P17" s="46">
        <f>IF(OR(DadosL[[#This Row],[Analise_Risco]]="Negado",DadosL[[#This Row],[Analise_Credito]]="Negado"),0,IF(DadosL[[#This Row],[status]]="Ativo",DadosL[[#This Row],[valor_solicitado]]*1.08,0))</f>
        <v>0</v>
      </c>
    </row>
    <row r="18" spans="1:16">
      <c r="A1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8" s="1" t="str">
        <f>PROPER(TRIM(DadosBrutos[[#This Row],[nome]]))</f>
        <v>Eddard Crakehall</v>
      </c>
      <c r="C18" s="1" t="str">
        <f>IF(LEN(SUBSTITUTE(SUBSTITUTE(SUBSTITUTE(DadosBrutos[[#This Row],[cpf]],".",""),"-","")," ",""))=11,DadosBrutos[[#This Row],[cpf]],"-")</f>
        <v>-</v>
      </c>
      <c r="D1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43</v>
      </c>
      <c r="E18" s="45">
        <f>IF(DadosBrutos[[#This Row],[data_nascimento]]="","-",DadosBrutos[[#This Row],[data_nascimento]])</f>
        <v>30391</v>
      </c>
      <c r="F18" s="1" t="str">
        <f>IF(ISNUMBER(SEARCH("|",DadosBrutos[[#This Row],[cidade]])),TRIM(LEFT(DadosBrutos[[#This Row],[cidade]],SEARCH("|",DadosBrutos[[#This Row],[cidade]])-1)),TRIM(DadosBrutos[[#This Row],[cidade]]))</f>
        <v>Castelo Negro</v>
      </c>
      <c r="G1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8" s="37">
        <f>IF(DadosBrutos[[#This Row],[renda_mensal]]="","-",IF(ISNUMBER(DadosBrutos[[#This Row],[renda_mensal]]),DadosBrutos[[#This Row],[renda_mensal]],IFERROR(VALUE(SUBSTITUTE(DadosBrutos[[#This Row],[renda_mensal]]," moedas","")),"-")))</f>
        <v>7100</v>
      </c>
      <c r="I18" s="37">
        <f>IF(DadosBrutos[[#This Row],[credito_tomado]]="","-",IF(ISNUMBER(DadosBrutos[[#This Row],[credito_tomado]]),DadosBrutos[[#This Row],[credito_tomado]],IFERROR(VALUE(SUBSTITUTE(DadosBrutos[[#This Row],[credito_tomado]]," moedas","")),"-")))</f>
        <v>5500</v>
      </c>
      <c r="J1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8" s="1">
        <f>IF(DadosBrutos[[#This Row],[qtde_batalhas]]="","-",IF(ISNUMBER(DadosBrutos[[#This Row],[qtde_batalhas]]),DadosBrutos[[#This Row],[qtde_batalhas]],IFERROR(VALUE(SUBSTITUTE(DadosBrutos[[#This Row],[qtde_batalhas]]," batalhas","")),"-")))</f>
        <v>23</v>
      </c>
      <c r="L18" s="1" t="str">
        <f>IF(DadosL[[#This Row],[qtde_batalhas]]="-","-",IF(DadosL[[#This Row],[qtde_batalhas]]&lt;=10,"Baixo",IF(DadosL[[#This Row],[qtde_batalhas]]&lt;=25,"Médio","Alto")))</f>
        <v>Médio</v>
      </c>
      <c r="M1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67000</v>
      </c>
      <c r="N18" s="1" t="str">
        <f>IF(AND(DadosL[[#This Row],[nivel_risco]]="Alto",DadosL[[#This Row],[flag_inadimplente]]="Sim"),"Negado","Aprovado")</f>
        <v>Aprovado</v>
      </c>
      <c r="O18" s="1" t="str">
        <f>IF(AND(ISNUMBER(DadosL[[#This Row],[credito_tomado]]),DadosL[[#This Row],[credito_tomado]]&gt;50000,DadosL[[#This Row],[flag_inadimplente]]="Sim"),"Negado","Aprovado")</f>
        <v>Aprovado</v>
      </c>
      <c r="P18" s="46">
        <f>IF(OR(DadosL[[#This Row],[Analise_Risco]]="Negado",DadosL[[#This Row],[Analise_Credito]]="Negado"),0,IF(DadosL[[#This Row],[status]]="Ativo",DadosL[[#This Row],[valor_solicitado]]*1.08,0))</f>
        <v>0</v>
      </c>
    </row>
    <row r="19" spans="1:16">
      <c r="A1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9" s="1" t="str">
        <f>PROPER(TRIM(DadosBrutos[[#This Row],[nome]]))</f>
        <v>Podrick Swyft</v>
      </c>
      <c r="C19" s="1" t="str">
        <f>IF(LEN(SUBSTITUTE(SUBSTITUTE(SUBSTITUTE(DadosBrutos[[#This Row],[cpf]],".",""),"-","")," ",""))=11,DadosBrutos[[#This Row],[cpf]],"-")</f>
        <v>000.000.090-00</v>
      </c>
      <c r="D1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32</v>
      </c>
      <c r="E19" s="45">
        <f>IF(DadosBrutos[[#This Row],[data_nascimento]]="","-",DadosBrutos[[#This Row],[data_nascimento]])</f>
        <v>34457</v>
      </c>
      <c r="F19" s="1" t="str">
        <f>IF(ISNUMBER(SEARCH("|",DadosBrutos[[#This Row],[cidade]])),TRIM(LEFT(DadosBrutos[[#This Row],[cidade]],SEARCH("|",DadosBrutos[[#This Row],[cidade]])-1)),TRIM(DadosBrutos[[#This Row],[cidade]]))</f>
        <v>Correrrio</v>
      </c>
      <c r="G1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19" s="37">
        <f>IF(DadosBrutos[[#This Row],[renda_mensal]]="","-",IF(ISNUMBER(DadosBrutos[[#This Row],[renda_mensal]]),DadosBrutos[[#This Row],[renda_mensal]],IFERROR(VALUE(SUBSTITUTE(DadosBrutos[[#This Row],[renda_mensal]]," moedas","")),"-")))</f>
        <v>21300</v>
      </c>
      <c r="I19" s="37">
        <f>IF(DadosBrutos[[#This Row],[credito_tomado]]="","-",IF(ISNUMBER(DadosBrutos[[#This Row],[credito_tomado]]),DadosBrutos[[#This Row],[credito_tomado]],IFERROR(VALUE(SUBSTITUTE(DadosBrutos[[#This Row],[credito_tomado]]," moedas","")),"-")))</f>
        <v>48000</v>
      </c>
      <c r="J1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9" s="1">
        <f>IF(DadosBrutos[[#This Row],[qtde_batalhas]]="","-",IF(ISNUMBER(DadosBrutos[[#This Row],[qtde_batalhas]]),DadosBrutos[[#This Row],[qtde_batalhas]],IFERROR(VALUE(SUBSTITUTE(DadosBrutos[[#This Row],[qtde_batalhas]]," batalhas","")),"-")))</f>
        <v>11</v>
      </c>
      <c r="L19" s="1" t="str">
        <f>IF(DadosL[[#This Row],[qtde_batalhas]]="-","-",IF(DadosL[[#This Row],[qtde_batalhas]]&lt;=10,"Baixo",IF(DadosL[[#This Row],[qtde_batalhas]]&lt;=25,"Médio","Alto")))</f>
        <v>Médio</v>
      </c>
      <c r="M1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35000</v>
      </c>
      <c r="N19" s="1" t="str">
        <f>IF(AND(DadosL[[#This Row],[nivel_risco]]="Alto",DadosL[[#This Row],[flag_inadimplente]]="Sim"),"Negado","Aprovado")</f>
        <v>Aprovado</v>
      </c>
      <c r="O19" s="1" t="str">
        <f>IF(AND(ISNUMBER(DadosL[[#This Row],[credito_tomado]]),DadosL[[#This Row],[credito_tomado]]&gt;50000,DadosL[[#This Row],[flag_inadimplente]]="Sim"),"Negado","Aprovado")</f>
        <v>Aprovado</v>
      </c>
      <c r="P19" s="46">
        <f>IF(OR(DadosL[[#This Row],[Analise_Risco]]="Negado",DadosL[[#This Row],[Analise_Credito]]="Negado"),0,IF(DadosL[[#This Row],[status]]="Ativo",DadosL[[#This Row],[valor_solicitado]]*1.08,0))</f>
        <v>37800</v>
      </c>
    </row>
    <row r="20" spans="1:16">
      <c r="A2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0" s="1" t="str">
        <f>PROPER(TRIM(DadosBrutos[[#This Row],[nome]]))</f>
        <v>Podrick Dayne</v>
      </c>
      <c r="C20" s="1" t="str">
        <f>IF(LEN(SUBSTITUTE(SUBSTITUTE(SUBSTITUTE(DadosBrutos[[#This Row],[cpf]],".",""),"-","")," ",""))=11,DadosBrutos[[#This Row],[cpf]],"-")</f>
        <v>-</v>
      </c>
      <c r="D2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25</v>
      </c>
      <c r="E20" s="45">
        <f>IF(DadosBrutos[[#This Row],[data_nascimento]]="","-",DadosBrutos[[#This Row],[data_nascimento]])</f>
        <v>36831</v>
      </c>
      <c r="F20" s="1" t="str">
        <f>IF(ISNUMBER(SEARCH("|",DadosBrutos[[#This Row],[cidade]])),TRIM(LEFT(DadosBrutos[[#This Row],[cidade]],SEARCH("|",DadosBrutos[[#This Row],[cidade]])-1)),TRIM(DadosBrutos[[#This Row],[cidade]]))</f>
        <v>Vilavelha</v>
      </c>
      <c r="G2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20" s="37">
        <f>IF(DadosBrutos[[#This Row],[renda_mensal]]="","-",IF(ISNUMBER(DadosBrutos[[#This Row],[renda_mensal]]),DadosBrutos[[#This Row],[renda_mensal]],IFERROR(VALUE(SUBSTITUTE(DadosBrutos[[#This Row],[renda_mensal]]," moedas","")),"-")))</f>
        <v>9400</v>
      </c>
      <c r="I20" s="37">
        <f>IF(DadosBrutos[[#This Row],[credito_tomado]]="","-",IF(ISNUMBER(DadosBrutos[[#This Row],[credito_tomado]]),DadosBrutos[[#This Row],[credito_tomado]],IFERROR(VALUE(SUBSTITUTE(DadosBrutos[[#This Row],[credito_tomado]]," moedas","")),"-")))</f>
        <v>51500</v>
      </c>
      <c r="J2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0" s="1">
        <f>IF(DadosBrutos[[#This Row],[qtde_batalhas]]="","-",IF(ISNUMBER(DadosBrutos[[#This Row],[qtde_batalhas]]),DadosBrutos[[#This Row],[qtde_batalhas]],IFERROR(VALUE(SUBSTITUTE(DadosBrutos[[#This Row],[qtde_batalhas]]," batalhas","")),"-")))</f>
        <v>14</v>
      </c>
      <c r="L20" s="1" t="str">
        <f>IF(DadosL[[#This Row],[qtde_batalhas]]="-","-",IF(DadosL[[#This Row],[qtde_batalhas]]&lt;=10,"Baixo",IF(DadosL[[#This Row],[qtde_batalhas]]&lt;=25,"Médio","Alto")))</f>
        <v>Médio</v>
      </c>
      <c r="M2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29500</v>
      </c>
      <c r="N20" s="1" t="str">
        <f>IF(AND(DadosL[[#This Row],[nivel_risco]]="Alto",DadosL[[#This Row],[flag_inadimplente]]="Sim"),"Negado","Aprovado")</f>
        <v>Aprovado</v>
      </c>
      <c r="O20" s="1" t="str">
        <f>IF(AND(ISNUMBER(DadosL[[#This Row],[credito_tomado]]),DadosL[[#This Row],[credito_tomado]]&gt;50000,DadosL[[#This Row],[flag_inadimplente]]="Sim"),"Negado","Aprovado")</f>
        <v>Aprovado</v>
      </c>
      <c r="P20" s="46">
        <f>IF(OR(DadosL[[#This Row],[Analise_Risco]]="Negado",DadosL[[#This Row],[Analise_Credito]]="Negado"),0,IF(DadosL[[#This Row],[status]]="Ativo",DadosL[[#This Row],[valor_solicitado]]*1.08,0))</f>
        <v>31860.000000000004</v>
      </c>
    </row>
    <row r="21" spans="1:16">
      <c r="A2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1" s="1" t="str">
        <f>PROPER(TRIM(DadosBrutos[[#This Row],[nome]]))</f>
        <v>Ellaria Seaworth</v>
      </c>
      <c r="C21" s="1" t="str">
        <f>IF(LEN(SUBSTITUTE(SUBSTITUTE(SUBSTITUTE(DadosBrutos[[#This Row],[cpf]],".",""),"-","")," ",""))=11,DadosBrutos[[#This Row],[cpf]],"-")</f>
        <v>000.000.125-00</v>
      </c>
      <c r="D2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23</v>
      </c>
      <c r="E21" s="45">
        <f>IF(DadosBrutos[[#This Row],[data_nascimento]]="","-",DadosBrutos[[#This Row],[data_nascimento]])</f>
        <v>37627</v>
      </c>
      <c r="F21" s="1" t="str">
        <f>IF(ISNUMBER(SEARCH("|",DadosBrutos[[#This Row],[cidade]])),TRIM(LEFT(DadosBrutos[[#This Row],[cidade]],SEARCH("|",DadosBrutos[[#This Row],[cidade]])-1)),TRIM(DadosBrutos[[#This Row],[cidade]]))</f>
        <v>Correrrio</v>
      </c>
      <c r="G2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21" s="37" t="str">
        <f>IF(DadosBrutos[[#This Row],[renda_mensal]]="","-",IF(ISNUMBER(DadosBrutos[[#This Row],[renda_mensal]]),DadosBrutos[[#This Row],[renda_mensal]],IFERROR(VALUE(SUBSTITUTE(DadosBrutos[[#This Row],[renda_mensal]]," moedas","")),"-")))</f>
        <v>-</v>
      </c>
      <c r="I21" s="37">
        <f>IF(DadosBrutos[[#This Row],[credito_tomado]]="","-",IF(ISNUMBER(DadosBrutos[[#This Row],[credito_tomado]]),DadosBrutos[[#This Row],[credito_tomado]],IFERROR(VALUE(SUBSTITUTE(DadosBrutos[[#This Row],[credito_tomado]]," moedas","")),"-")))</f>
        <v>69000</v>
      </c>
      <c r="J2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1" s="1">
        <f>IF(DadosBrutos[[#This Row],[qtde_batalhas]]="","-",IF(ISNUMBER(DadosBrutos[[#This Row],[qtde_batalhas]]),DadosBrutos[[#This Row],[qtde_batalhas]],IFERROR(VALUE(SUBSTITUTE(DadosBrutos[[#This Row],[qtde_batalhas]]," batalhas","")),"-")))</f>
        <v>20</v>
      </c>
      <c r="L21" s="1" t="str">
        <f>IF(DadosL[[#This Row],[qtde_batalhas]]="-","-",IF(DadosL[[#This Row],[qtde_batalhas]]&lt;=10,"Baixo",IF(DadosL[[#This Row],[qtde_batalhas]]&lt;=25,"Médio","Alto")))</f>
        <v>Médio</v>
      </c>
      <c r="M2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69000</v>
      </c>
      <c r="N21" s="1" t="str">
        <f>IF(AND(DadosL[[#This Row],[nivel_risco]]="Alto",DadosL[[#This Row],[flag_inadimplente]]="Sim"),"Negado","Aprovado")</f>
        <v>Aprovado</v>
      </c>
      <c r="O21" s="1" t="str">
        <f>IF(AND(ISNUMBER(DadosL[[#This Row],[credito_tomado]]),DadosL[[#This Row],[credito_tomado]]&gt;50000,DadosL[[#This Row],[flag_inadimplente]]="Sim"),"Negado","Aprovado")</f>
        <v>Aprovado</v>
      </c>
      <c r="P21" s="46">
        <f>IF(OR(DadosL[[#This Row],[Analise_Risco]]="Negado",DadosL[[#This Row],[Analise_Credito]]="Negado"),0,IF(DadosL[[#This Row],[status]]="Ativo",DadosL[[#This Row],[valor_solicitado]]*1.08,0))</f>
        <v>74520</v>
      </c>
    </row>
    <row r="22" spans="1:16">
      <c r="A2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2" s="1" t="str">
        <f>PROPER(TRIM(DadosBrutos[[#This Row],[nome]]))</f>
        <v>Melisandre Clegane</v>
      </c>
      <c r="C22" s="1" t="str">
        <f>IF(LEN(SUBSTITUTE(SUBSTITUTE(SUBSTITUTE(DadosBrutos[[#This Row],[cpf]],".",""),"-","")," ",""))=11,DadosBrutos[[#This Row],[cpf]],"-")</f>
        <v>000.000.231-00</v>
      </c>
      <c r="D2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53</v>
      </c>
      <c r="E22" s="45">
        <f>IF(DadosBrutos[[#This Row],[data_nascimento]]="","-",DadosBrutos[[#This Row],[data_nascimento]])</f>
        <v>26629</v>
      </c>
      <c r="F22" s="1" t="str">
        <f>IF(ISNUMBER(SEARCH("|",DadosBrutos[[#This Row],[cidade]])),TRIM(LEFT(DadosBrutos[[#This Row],[cidade]],SEARCH("|",DadosBrutos[[#This Row],[cidade]])-1)),TRIM(DadosBrutos[[#This Row],[cidade]]))</f>
        <v>Ilha dos Ursos</v>
      </c>
      <c r="G2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2" s="37">
        <f>IF(DadosBrutos[[#This Row],[renda_mensal]]="","-",IF(ISNUMBER(DadosBrutos[[#This Row],[renda_mensal]]),DadosBrutos[[#This Row],[renda_mensal]],IFERROR(VALUE(SUBSTITUTE(DadosBrutos[[#This Row],[renda_mensal]]," moedas","")),"-")))</f>
        <v>16500</v>
      </c>
      <c r="I22" s="37">
        <f>IF(DadosBrutos[[#This Row],[credito_tomado]]="","-",IF(ISNUMBER(DadosBrutos[[#This Row],[credito_tomado]]),DadosBrutos[[#This Row],[credito_tomado]],IFERROR(VALUE(SUBSTITUTE(DadosBrutos[[#This Row],[credito_tomado]]," moedas","")),"-")))</f>
        <v>4000</v>
      </c>
      <c r="J2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2" s="1">
        <f>IF(DadosBrutos[[#This Row],[qtde_batalhas]]="","-",IF(ISNUMBER(DadosBrutos[[#This Row],[qtde_batalhas]]),DadosBrutos[[#This Row],[qtde_batalhas]],IFERROR(VALUE(SUBSTITUTE(DadosBrutos[[#This Row],[qtde_batalhas]]," batalhas","")),"-")))</f>
        <v>14</v>
      </c>
      <c r="L22" s="1" t="str">
        <f>IF(DadosL[[#This Row],[qtde_batalhas]]="-","-",IF(DadosL[[#This Row],[qtde_batalhas]]&lt;=10,"Baixo",IF(DadosL[[#This Row],[qtde_batalhas]]&lt;=25,"Médio","Alto")))</f>
        <v>Médio</v>
      </c>
      <c r="M2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36000</v>
      </c>
      <c r="N22" s="1" t="str">
        <f>IF(AND(DadosL[[#This Row],[nivel_risco]]="Alto",DadosL[[#This Row],[flag_inadimplente]]="Sim"),"Negado","Aprovado")</f>
        <v>Aprovado</v>
      </c>
      <c r="O22" s="1" t="str">
        <f>IF(AND(ISNUMBER(DadosL[[#This Row],[credito_tomado]]),DadosL[[#This Row],[credito_tomado]]&gt;50000,DadosL[[#This Row],[flag_inadimplente]]="Sim"),"Negado","Aprovado")</f>
        <v>Aprovado</v>
      </c>
      <c r="P22" s="46">
        <f>IF(OR(DadosL[[#This Row],[Analise_Risco]]="Negado",DadosL[[#This Row],[Analise_Credito]]="Negado"),0,IF(DadosL[[#This Row],[status]]="Ativo",DadosL[[#This Row],[valor_solicitado]]*1.08,0))</f>
        <v>0</v>
      </c>
    </row>
    <row r="23" spans="1:16">
      <c r="A2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3" s="1" t="str">
        <f>PROPER(TRIM(DadosBrutos[[#This Row],[nome]]))</f>
        <v>Robert Karstark</v>
      </c>
      <c r="C23" s="1" t="str">
        <f>IF(LEN(SUBSTITUTE(SUBSTITUTE(SUBSTITUTE(DadosBrutos[[#This Row],[cpf]],".",""),"-","")," ",""))=11,DadosBrutos[[#This Row],[cpf]],"-")</f>
        <v>000.000.184-00</v>
      </c>
      <c r="D2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68</v>
      </c>
      <c r="E23" s="45">
        <f>IF(DadosBrutos[[#This Row],[data_nascimento]]="","-",DadosBrutos[[#This Row],[data_nascimento]])</f>
        <v>21378</v>
      </c>
      <c r="F23" s="1" t="str">
        <f>IF(ISNUMBER(SEARCH("|",DadosBrutos[[#This Row],[cidade]])),TRIM(LEFT(DadosBrutos[[#This Row],[cidade]],SEARCH("|",DadosBrutos[[#This Row],[cidade]])-1)),TRIM(DadosBrutos[[#This Row],[cidade]]))</f>
        <v>Meereen</v>
      </c>
      <c r="G2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23" s="37">
        <f>IF(DadosBrutos[[#This Row],[renda_mensal]]="","-",IF(ISNUMBER(DadosBrutos[[#This Row],[renda_mensal]]),DadosBrutos[[#This Row],[renda_mensal]],IFERROR(VALUE(SUBSTITUTE(DadosBrutos[[#This Row],[renda_mensal]]," moedas","")),"-")))</f>
        <v>14300</v>
      </c>
      <c r="I23" s="37">
        <f>IF(DadosBrutos[[#This Row],[credito_tomado]]="","-",IF(ISNUMBER(DadosBrutos[[#This Row],[credito_tomado]]),DadosBrutos[[#This Row],[credito_tomado]],IFERROR(VALUE(SUBSTITUTE(DadosBrutos[[#This Row],[credito_tomado]]," moedas","")),"-")))</f>
        <v>32500</v>
      </c>
      <c r="J2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3" s="1">
        <f>IF(DadosBrutos[[#This Row],[qtde_batalhas]]="","-",IF(ISNUMBER(DadosBrutos[[#This Row],[qtde_batalhas]]),DadosBrutos[[#This Row],[qtde_batalhas]],IFERROR(VALUE(SUBSTITUTE(DadosBrutos[[#This Row],[qtde_batalhas]]," batalhas","")),"-")))</f>
        <v>15</v>
      </c>
      <c r="L23" s="1" t="str">
        <f>IF(DadosL[[#This Row],[qtde_batalhas]]="-","-",IF(DadosL[[#This Row],[qtde_batalhas]]&lt;=10,"Baixo",IF(DadosL[[#This Row],[qtde_batalhas]]&lt;=25,"Médio","Alto")))</f>
        <v>Médio</v>
      </c>
      <c r="M2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8000</v>
      </c>
      <c r="N23" s="1" t="str">
        <f>IF(AND(DadosL[[#This Row],[nivel_risco]]="Alto",DadosL[[#This Row],[flag_inadimplente]]="Sim"),"Negado","Aprovado")</f>
        <v>Aprovado</v>
      </c>
      <c r="O23" s="1" t="str">
        <f>IF(AND(ISNUMBER(DadosL[[#This Row],[credito_tomado]]),DadosL[[#This Row],[credito_tomado]]&gt;50000,DadosL[[#This Row],[flag_inadimplente]]="Sim"),"Negado","Aprovado")</f>
        <v>Aprovado</v>
      </c>
      <c r="P23" s="46">
        <f>IF(OR(DadosL[[#This Row],[Analise_Risco]]="Negado",DadosL[[#This Row],[Analise_Credito]]="Negado"),0,IF(DadosL[[#This Row],[status]]="Ativo",DadosL[[#This Row],[valor_solicitado]]*1.08,0))</f>
        <v>8640</v>
      </c>
    </row>
    <row r="24" spans="1:16">
      <c r="A2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4" s="1" t="str">
        <f>PROPER(TRIM(DadosBrutos[[#This Row],[nome]]))</f>
        <v>Rhaegar Stark</v>
      </c>
      <c r="C24" s="1" t="str">
        <f>IF(LEN(SUBSTITUTE(SUBSTITUTE(SUBSTITUTE(DadosBrutos[[#This Row],[cpf]],".",""),"-","")," ",""))=11,DadosBrutos[[#This Row],[cpf]],"-")</f>
        <v>000.000.119-00</v>
      </c>
      <c r="D2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33</v>
      </c>
      <c r="E24" s="45">
        <f>IF(DadosBrutos[[#This Row],[data_nascimento]]="","-",DadosBrutos[[#This Row],[data_nascimento]])</f>
        <v>34082</v>
      </c>
      <c r="F24" s="1" t="str">
        <f>IF(ISNUMBER(SEARCH("|",DadosBrutos[[#This Row],[cidade]])),TRIM(LEFT(DadosBrutos[[#This Row],[cidade]],SEARCH("|",DadosBrutos[[#This Row],[cidade]])-1)),TRIM(DadosBrutos[[#This Row],[cidade]]))</f>
        <v>Meereen</v>
      </c>
      <c r="G2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24" s="37">
        <f>IF(DadosBrutos[[#This Row],[renda_mensal]]="","-",IF(ISNUMBER(DadosBrutos[[#This Row],[renda_mensal]]),DadosBrutos[[#This Row],[renda_mensal]],IFERROR(VALUE(SUBSTITUTE(DadosBrutos[[#This Row],[renda_mensal]]," moedas","")),"-")))</f>
        <v>23600</v>
      </c>
      <c r="I24" s="37">
        <f>IF(DadosBrutos[[#This Row],[credito_tomado]]="","-",IF(ISNUMBER(DadosBrutos[[#This Row],[credito_tomado]]),DadosBrutos[[#This Row],[credito_tomado]],IFERROR(VALUE(SUBSTITUTE(DadosBrutos[[#This Row],[credito_tomado]]," moedas","")),"-")))</f>
        <v>75500</v>
      </c>
      <c r="J2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4" s="1">
        <f>IF(DadosBrutos[[#This Row],[qtde_batalhas]]="","-",IF(ISNUMBER(DadosBrutos[[#This Row],[qtde_batalhas]]),DadosBrutos[[#This Row],[qtde_batalhas]],IFERROR(VALUE(SUBSTITUTE(DadosBrutos[[#This Row],[qtde_batalhas]]," batalhas","")),"-")))</f>
        <v>16</v>
      </c>
      <c r="L24" s="1" t="str">
        <f>IF(DadosL[[#This Row],[qtde_batalhas]]="-","-",IF(DadosL[[#This Row],[qtde_batalhas]]&lt;=10,"Baixo",IF(DadosL[[#This Row],[qtde_batalhas]]&lt;=25,"Médio","Alto")))</f>
        <v>Médio</v>
      </c>
      <c r="M2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88000</v>
      </c>
      <c r="N24" s="1" t="str">
        <f>IF(AND(DadosL[[#This Row],[nivel_risco]]="Alto",DadosL[[#This Row],[flag_inadimplente]]="Sim"),"Negado","Aprovado")</f>
        <v>Aprovado</v>
      </c>
      <c r="O24" s="1" t="str">
        <f>IF(AND(ISNUMBER(DadosL[[#This Row],[credito_tomado]]),DadosL[[#This Row],[credito_tomado]]&gt;50000,DadosL[[#This Row],[flag_inadimplente]]="Sim"),"Negado","Aprovado")</f>
        <v>Aprovado</v>
      </c>
      <c r="P24" s="46">
        <f>IF(OR(DadosL[[#This Row],[Analise_Risco]]="Negado",DadosL[[#This Row],[Analise_Credito]]="Negado"),0,IF(DadosL[[#This Row],[status]]="Ativo",DadosL[[#This Row],[valor_solicitado]]*1.08,0))</f>
        <v>0</v>
      </c>
    </row>
    <row r="25" spans="1:16">
      <c r="A2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5" s="1" t="str">
        <f>PROPER(TRIM(DadosBrutos[[#This Row],[nome]]))</f>
        <v>Loras Greyjoy</v>
      </c>
      <c r="C25" s="1" t="str">
        <f>IF(LEN(SUBSTITUTE(SUBSTITUTE(SUBSTITUTE(DadosBrutos[[#This Row],[cpf]],".",""),"-","")," ",""))=11,DadosBrutos[[#This Row],[cpf]],"-")</f>
        <v>000.000.362-00</v>
      </c>
      <c r="D2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68</v>
      </c>
      <c r="E25" s="45">
        <f>IF(DadosBrutos[[#This Row],[data_nascimento]]="","-",DadosBrutos[[#This Row],[data_nascimento]])</f>
        <v>21145</v>
      </c>
      <c r="F25" s="1" t="str">
        <f>IF(ISNUMBER(SEARCH("|",DadosBrutos[[#This Row],[cidade]])),TRIM(LEFT(DadosBrutos[[#This Row],[cidade]],SEARCH("|",DadosBrutos[[#This Row],[cidade]])-1)),TRIM(DadosBrutos[[#This Row],[cidade]]))</f>
        <v>Fosso Cailin</v>
      </c>
      <c r="G2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5" s="37">
        <f>IF(DadosBrutos[[#This Row],[renda_mensal]]="","-",IF(ISNUMBER(DadosBrutos[[#This Row],[renda_mensal]]),DadosBrutos[[#This Row],[renda_mensal]],IFERROR(VALUE(SUBSTITUTE(DadosBrutos[[#This Row],[renda_mensal]]," moedas","")),"-")))</f>
        <v>29000</v>
      </c>
      <c r="I25" s="37">
        <f>IF(DadosBrutos[[#This Row],[credito_tomado]]="","-",IF(ISNUMBER(DadosBrutos[[#This Row],[credito_tomado]]),DadosBrutos[[#This Row],[credito_tomado]],IFERROR(VALUE(SUBSTITUTE(DadosBrutos[[#This Row],[credito_tomado]]," moedas","")),"-")))</f>
        <v>67500</v>
      </c>
      <c r="J2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5" s="1">
        <f>IF(DadosBrutos[[#This Row],[qtde_batalhas]]="","-",IF(ISNUMBER(DadosBrutos[[#This Row],[qtde_batalhas]]),DadosBrutos[[#This Row],[qtde_batalhas]],IFERROR(VALUE(SUBSTITUTE(DadosBrutos[[#This Row],[qtde_batalhas]]," batalhas","")),"-")))</f>
        <v>25</v>
      </c>
      <c r="L25" s="1" t="str">
        <f>IF(DadosL[[#This Row],[qtde_batalhas]]="-","-",IF(DadosL[[#This Row],[qtde_batalhas]]&lt;=10,"Baixo",IF(DadosL[[#This Row],[qtde_batalhas]]&lt;=25,"Médio","Alto")))</f>
        <v>Médio</v>
      </c>
      <c r="M2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18000</v>
      </c>
      <c r="N25" s="1" t="str">
        <f>IF(AND(DadosL[[#This Row],[nivel_risco]]="Alto",DadosL[[#This Row],[flag_inadimplente]]="Sim"),"Negado","Aprovado")</f>
        <v>Aprovado</v>
      </c>
      <c r="O25" s="1" t="str">
        <f>IF(AND(ISNUMBER(DadosL[[#This Row],[credito_tomado]]),DadosL[[#This Row],[credito_tomado]]&gt;50000,DadosL[[#This Row],[flag_inadimplente]]="Sim"),"Negado","Aprovado")</f>
        <v>Aprovado</v>
      </c>
      <c r="P25" s="46">
        <f>IF(OR(DadosL[[#This Row],[Analise_Risco]]="Negado",DadosL[[#This Row],[Analise_Credito]]="Negado"),0,IF(DadosL[[#This Row],[status]]="Ativo",DadosL[[#This Row],[valor_solicitado]]*1.08,0))</f>
        <v>19440</v>
      </c>
    </row>
    <row r="26" spans="1:16">
      <c r="A2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6" s="1" t="str">
        <f>PROPER(TRIM(DadosBrutos[[#This Row],[nome]]))</f>
        <v>Jorah Hightower</v>
      </c>
      <c r="C26" s="1" t="str">
        <f>IF(LEN(SUBSTITUTE(SUBSTITUTE(SUBSTITUTE(DadosBrutos[[#This Row],[cpf]],".",""),"-","")," ",""))=11,DadosBrutos[[#This Row],[cpf]],"-")</f>
        <v>000.000.346-00</v>
      </c>
      <c r="D2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62</v>
      </c>
      <c r="E26" s="45">
        <f>IF(DadosBrutos[[#This Row],[data_nascimento]]="","-",DadosBrutos[[#This Row],[data_nascimento]])</f>
        <v>23259</v>
      </c>
      <c r="F26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2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26" s="37" t="str">
        <f>IF(DadosBrutos[[#This Row],[renda_mensal]]="","-",IF(ISNUMBER(DadosBrutos[[#This Row],[renda_mensal]]),DadosBrutos[[#This Row],[renda_mensal]],IFERROR(VALUE(SUBSTITUTE(DadosBrutos[[#This Row],[renda_mensal]]," moedas","")),"-")))</f>
        <v>-</v>
      </c>
      <c r="I26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2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6" s="1">
        <f>IF(DadosBrutos[[#This Row],[qtde_batalhas]]="","-",IF(ISNUMBER(DadosBrutos[[#This Row],[qtde_batalhas]]),DadosBrutos[[#This Row],[qtde_batalhas]],IFERROR(VALUE(SUBSTITUTE(DadosBrutos[[#This Row],[qtde_batalhas]]," batalhas","")),"-")))</f>
        <v>1</v>
      </c>
      <c r="L26" s="1" t="str">
        <f>IF(DadosL[[#This Row],[qtde_batalhas]]="-","-",IF(DadosL[[#This Row],[qtde_batalhas]]&lt;=10,"Baixo",IF(DadosL[[#This Row],[qtde_batalhas]]&lt;=25,"Médio","Alto")))</f>
        <v>Baixo</v>
      </c>
      <c r="M2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12000</v>
      </c>
      <c r="N26" s="1" t="str">
        <f>IF(AND(DadosL[[#This Row],[nivel_risco]]="Alto",DadosL[[#This Row],[flag_inadimplente]]="Sim"),"Negado","Aprovado")</f>
        <v>Aprovado</v>
      </c>
      <c r="O26" s="1" t="str">
        <f>IF(AND(ISNUMBER(DadosL[[#This Row],[credito_tomado]]),DadosL[[#This Row],[credito_tomado]]&gt;50000,DadosL[[#This Row],[flag_inadimplente]]="Sim"),"Negado","Aprovado")</f>
        <v>Aprovado</v>
      </c>
      <c r="P26" s="46">
        <f>IF(OR(DadosL[[#This Row],[Analise_Risco]]="Negado",DadosL[[#This Row],[Analise_Credito]]="Negado"),0,IF(DadosL[[#This Row],[status]]="Ativo",DadosL[[#This Row],[valor_solicitado]]*1.08,0))</f>
        <v>0</v>
      </c>
    </row>
    <row r="27" spans="1:16">
      <c r="A2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7" s="1" t="str">
        <f>PROPER(TRIM(DadosBrutos[[#This Row],[nome]]))</f>
        <v>Loras Clegane</v>
      </c>
      <c r="C27" s="1" t="str">
        <f>IF(LEN(SUBSTITUTE(SUBSTITUTE(SUBSTITUTE(DadosBrutos[[#This Row],[cpf]],".",""),"-","")," ",""))=11,DadosBrutos[[#This Row],[cpf]],"-")</f>
        <v>000.000.287-00</v>
      </c>
      <c r="D2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58</v>
      </c>
      <c r="E27" s="45">
        <f>IF(DadosBrutos[[#This Row],[data_nascimento]]="","-",DadosBrutos[[#This Row],[data_nascimento]])</f>
        <v>24911</v>
      </c>
      <c r="F27" s="1" t="str">
        <f>IF(ISNUMBER(SEARCH("|",DadosBrutos[[#This Row],[cidade]])),TRIM(LEFT(DadosBrutos[[#This Row],[cidade]],SEARCH("|",DadosBrutos[[#This Row],[cidade]])-1)),TRIM(DadosBrutos[[#This Row],[cidade]]))</f>
        <v>Harrenhal</v>
      </c>
      <c r="G2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27" s="37">
        <f>IF(DadosBrutos[[#This Row],[renda_mensal]]="","-",IF(ISNUMBER(DadosBrutos[[#This Row],[renda_mensal]]),DadosBrutos[[#This Row],[renda_mensal]],IFERROR(VALUE(SUBSTITUTE(DadosBrutos[[#This Row],[renda_mensal]]," moedas","")),"-")))</f>
        <v>25400</v>
      </c>
      <c r="I27" s="37">
        <f>IF(DadosBrutos[[#This Row],[credito_tomado]]="","-",IF(ISNUMBER(DadosBrutos[[#This Row],[credito_tomado]]),DadosBrutos[[#This Row],[credito_tomado]],IFERROR(VALUE(SUBSTITUTE(DadosBrutos[[#This Row],[credito_tomado]]," moedas","")),"-")))</f>
        <v>70500</v>
      </c>
      <c r="J2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7" s="1">
        <f>IF(DadosBrutos[[#This Row],[qtde_batalhas]]="","-",IF(ISNUMBER(DadosBrutos[[#This Row],[qtde_batalhas]]),DadosBrutos[[#This Row],[qtde_batalhas]],IFERROR(VALUE(SUBSTITUTE(DadosBrutos[[#This Row],[qtde_batalhas]]," batalhas","")),"-")))</f>
        <v>11</v>
      </c>
      <c r="L27" s="1" t="str">
        <f>IF(DadosL[[#This Row],[qtde_batalhas]]="-","-",IF(DadosL[[#This Row],[qtde_batalhas]]&lt;=10,"Baixo",IF(DadosL[[#This Row],[qtde_batalhas]]&lt;=25,"Médio","Alto")))</f>
        <v>Médio</v>
      </c>
      <c r="M2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47000</v>
      </c>
      <c r="N27" s="1" t="str">
        <f>IF(AND(DadosL[[#This Row],[nivel_risco]]="Alto",DadosL[[#This Row],[flag_inadimplente]]="Sim"),"Negado","Aprovado")</f>
        <v>Aprovado</v>
      </c>
      <c r="O27" s="1" t="str">
        <f>IF(AND(ISNUMBER(DadosL[[#This Row],[credito_tomado]]),DadosL[[#This Row],[credito_tomado]]&gt;50000,DadosL[[#This Row],[flag_inadimplente]]="Sim"),"Negado","Aprovado")</f>
        <v>Negado</v>
      </c>
      <c r="P27" s="46">
        <f>IF(OR(DadosL[[#This Row],[Analise_Risco]]="Negado",DadosL[[#This Row],[Analise_Credito]]="Negado"),0,IF(DadosL[[#This Row],[status]]="Ativo",DadosL[[#This Row],[valor_solicitado]]*1.08,0))</f>
        <v>0</v>
      </c>
    </row>
    <row r="28" spans="1:16">
      <c r="A2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8" s="1" t="str">
        <f>PROPER(TRIM(DadosBrutos[[#This Row],[nome]]))</f>
        <v>Jojen Florent</v>
      </c>
      <c r="C28" s="1" t="str">
        <f>IF(LEN(SUBSTITUTE(SUBSTITUTE(SUBSTITUTE(DadosBrutos[[#This Row],[cpf]],".",""),"-","")," ",""))=11,DadosBrutos[[#This Row],[cpf]],"-")</f>
        <v>-</v>
      </c>
      <c r="D2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48</v>
      </c>
      <c r="E28" s="45">
        <f>IF(DadosBrutos[[#This Row],[data_nascimento]]="","-",DadosBrutos[[#This Row],[data_nascimento]])</f>
        <v>28408</v>
      </c>
      <c r="F28" s="1" t="str">
        <f>IF(ISNUMBER(SEARCH("|",DadosBrutos[[#This Row],[cidade]])),TRIM(LEFT(DadosBrutos[[#This Row],[cidade]],SEARCH("|",DadosBrutos[[#This Row],[cidade]])-1)),TRIM(DadosBrutos[[#This Row],[cidade]]))</f>
        <v>Winterfell</v>
      </c>
      <c r="G2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8" s="37">
        <f>IF(DadosBrutos[[#This Row],[renda_mensal]]="","-",IF(ISNUMBER(DadosBrutos[[#This Row],[renda_mensal]]),DadosBrutos[[#This Row],[renda_mensal]],IFERROR(VALUE(SUBSTITUTE(DadosBrutos[[#This Row],[renda_mensal]]," moedas","")),"-")))</f>
        <v>13300</v>
      </c>
      <c r="I28" s="37">
        <f>IF(DadosBrutos[[#This Row],[credito_tomado]]="","-",IF(ISNUMBER(DadosBrutos[[#This Row],[credito_tomado]]),DadosBrutos[[#This Row],[credito_tomado]],IFERROR(VALUE(SUBSTITUTE(DadosBrutos[[#This Row],[credito_tomado]]," moedas","")),"-")))</f>
        <v>42000</v>
      </c>
      <c r="J2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8" s="1">
        <f>IF(DadosBrutos[[#This Row],[qtde_batalhas]]="","-",IF(ISNUMBER(DadosBrutos[[#This Row],[qtde_batalhas]]),DadosBrutos[[#This Row],[qtde_batalhas]],IFERROR(VALUE(SUBSTITUTE(DadosBrutos[[#This Row],[qtde_batalhas]]," batalhas","")),"-")))</f>
        <v>27</v>
      </c>
      <c r="L28" s="1" t="str">
        <f>IF(DadosL[[#This Row],[qtde_batalhas]]="-","-",IF(DadosL[[#This Row],[qtde_batalhas]]&lt;=10,"Baixo",IF(DadosL[[#This Row],[qtde_batalhas]]&lt;=25,"Médio","Alto")))</f>
        <v>Alto</v>
      </c>
      <c r="M2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40000</v>
      </c>
      <c r="N28" s="1" t="str">
        <f>IF(AND(DadosL[[#This Row],[nivel_risco]]="Alto",DadosL[[#This Row],[flag_inadimplente]]="Sim"),"Negado","Aprovado")</f>
        <v>Negado</v>
      </c>
      <c r="O28" s="1" t="str">
        <f>IF(AND(ISNUMBER(DadosL[[#This Row],[credito_tomado]]),DadosL[[#This Row],[credito_tomado]]&gt;50000,DadosL[[#This Row],[flag_inadimplente]]="Sim"),"Negado","Aprovado")</f>
        <v>Aprovado</v>
      </c>
      <c r="P28" s="46">
        <f>IF(OR(DadosL[[#This Row],[Analise_Risco]]="Negado",DadosL[[#This Row],[Analise_Credito]]="Negado"),0,IF(DadosL[[#This Row],[status]]="Ativo",DadosL[[#This Row],[valor_solicitado]]*1.08,0))</f>
        <v>0</v>
      </c>
    </row>
    <row r="29" spans="1:16">
      <c r="A2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9" s="1" t="str">
        <f>PROPER(TRIM(DadosBrutos[[#This Row],[nome]]))</f>
        <v>Samwell Yronwood</v>
      </c>
      <c r="C29" s="1" t="str">
        <f>IF(LEN(SUBSTITUTE(SUBSTITUTE(SUBSTITUTE(DadosBrutos[[#This Row],[cpf]],".",""),"-","")," ",""))=11,DadosBrutos[[#This Row],[cpf]],"-")</f>
        <v>000.000.124-00</v>
      </c>
      <c r="D2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29</v>
      </c>
      <c r="E29" s="45">
        <f>IF(DadosBrutos[[#This Row],[data_nascimento]]="","-",DadosBrutos[[#This Row],[data_nascimento]])</f>
        <v>35323</v>
      </c>
      <c r="F29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2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29" s="37">
        <f>IF(DadosBrutos[[#This Row],[renda_mensal]]="","-",IF(ISNUMBER(DadosBrutos[[#This Row],[renda_mensal]]),DadosBrutos[[#This Row],[renda_mensal]],IFERROR(VALUE(SUBSTITUTE(DadosBrutos[[#This Row],[renda_mensal]]," moedas","")),"-")))</f>
        <v>21200</v>
      </c>
      <c r="I29" s="37">
        <f>IF(DadosBrutos[[#This Row],[credito_tomado]]="","-",IF(ISNUMBER(DadosBrutos[[#This Row],[credito_tomado]]),DadosBrutos[[#This Row],[credito_tomado]],IFERROR(VALUE(SUBSTITUTE(DadosBrutos[[#This Row],[credito_tomado]]," moedas","")),"-")))</f>
        <v>75000</v>
      </c>
      <c r="J2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9" s="1">
        <f>IF(DadosBrutos[[#This Row],[qtde_batalhas]]="","-",IF(ISNUMBER(DadosBrutos[[#This Row],[qtde_batalhas]]),DadosBrutos[[#This Row],[qtde_batalhas]],IFERROR(VALUE(SUBSTITUTE(DadosBrutos[[#This Row],[qtde_batalhas]]," batalhas","")),"-")))</f>
        <v>6</v>
      </c>
      <c r="L29" s="1" t="str">
        <f>IF(DadosL[[#This Row],[qtde_batalhas]]="-","-",IF(DadosL[[#This Row],[qtde_batalhas]]&lt;=10,"Baixo",IF(DadosL[[#This Row],[qtde_batalhas]]&lt;=25,"Médio","Alto")))</f>
        <v>Baixo</v>
      </c>
      <c r="M2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63500</v>
      </c>
      <c r="N29" s="1" t="str">
        <f>IF(AND(DadosL[[#This Row],[nivel_risco]]="Alto",DadosL[[#This Row],[flag_inadimplente]]="Sim"),"Negado","Aprovado")</f>
        <v>Aprovado</v>
      </c>
      <c r="O29" s="1" t="str">
        <f>IF(AND(ISNUMBER(DadosL[[#This Row],[credito_tomado]]),DadosL[[#This Row],[credito_tomado]]&gt;50000,DadosL[[#This Row],[flag_inadimplente]]="Sim"),"Negado","Aprovado")</f>
        <v>Aprovado</v>
      </c>
      <c r="P29" s="46">
        <f>IF(OR(DadosL[[#This Row],[Analise_Risco]]="Negado",DadosL[[#This Row],[Analise_Credito]]="Negado"),0,IF(DadosL[[#This Row],[status]]="Ativo",DadosL[[#This Row],[valor_solicitado]]*1.08,0))</f>
        <v>68580</v>
      </c>
    </row>
    <row r="30" spans="1:16">
      <c r="A3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-</v>
      </c>
      <c r="B30" s="1" t="str">
        <f>PROPER(TRIM(DadosBrutos[[#This Row],[nome]]))</f>
        <v>Catelyn Yronwood</v>
      </c>
      <c r="C30" s="1" t="str">
        <f>IF(LEN(SUBSTITUTE(SUBSTITUTE(SUBSTITUTE(DadosBrutos[[#This Row],[cpf]],".",""),"-","")," ",""))=11,DadosBrutos[[#This Row],[cpf]],"-")</f>
        <v>000.000.226-00</v>
      </c>
      <c r="D3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38</v>
      </c>
      <c r="E30" s="45">
        <f>IF(DadosBrutos[[#This Row],[data_nascimento]]="","-",DadosBrutos[[#This Row],[data_nascimento]])</f>
        <v>32166</v>
      </c>
      <c r="F30" s="1" t="str">
        <f>IF(ISNUMBER(SEARCH("|",DadosBrutos[[#This Row],[cidade]])),TRIM(LEFT(DadosBrutos[[#This Row],[cidade]],SEARCH("|",DadosBrutos[[#This Row],[cidade]])-1)),TRIM(DadosBrutos[[#This Row],[cidade]]))</f>
        <v>Castelo Negro</v>
      </c>
      <c r="G3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30" s="37">
        <f>IF(DadosBrutos[[#This Row],[renda_mensal]]="","-",IF(ISNUMBER(DadosBrutos[[#This Row],[renda_mensal]]),DadosBrutos[[#This Row],[renda_mensal]],IFERROR(VALUE(SUBSTITUTE(DadosBrutos[[#This Row],[renda_mensal]]," moedas","")),"-")))</f>
        <v>19500</v>
      </c>
      <c r="I30" s="37">
        <f>IF(DadosBrutos[[#This Row],[credito_tomado]]="","-",IF(ISNUMBER(DadosBrutos[[#This Row],[credito_tomado]]),DadosBrutos[[#This Row],[credito_tomado]],IFERROR(VALUE(SUBSTITUTE(DadosBrutos[[#This Row],[credito_tomado]]," moedas","")),"-")))</f>
        <v>39000</v>
      </c>
      <c r="J3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0" s="1">
        <f>IF(DadosBrutos[[#This Row],[qtde_batalhas]]="","-",IF(ISNUMBER(DadosBrutos[[#This Row],[qtde_batalhas]]),DadosBrutos[[#This Row],[qtde_batalhas]],IFERROR(VALUE(SUBSTITUTE(DadosBrutos[[#This Row],[qtde_batalhas]]," batalhas","")),"-")))</f>
        <v>25</v>
      </c>
      <c r="L30" s="1" t="str">
        <f>IF(DadosL[[#This Row],[qtde_batalhas]]="-","-",IF(DadosL[[#This Row],[qtde_batalhas]]&lt;=10,"Baixo",IF(DadosL[[#This Row],[qtde_batalhas]]&lt;=25,"Médio","Alto")))</f>
        <v>Médio</v>
      </c>
      <c r="M3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88500</v>
      </c>
      <c r="N30" s="1" t="str">
        <f>IF(AND(DadosL[[#This Row],[nivel_risco]]="Alto",DadosL[[#This Row],[flag_inadimplente]]="Sim"),"Negado","Aprovado")</f>
        <v>Aprovado</v>
      </c>
      <c r="O30" s="1" t="str">
        <f>IF(AND(ISNUMBER(DadosL[[#This Row],[credito_tomado]]),DadosL[[#This Row],[credito_tomado]]&gt;50000,DadosL[[#This Row],[flag_inadimplente]]="Sim"),"Negado","Aprovado")</f>
        <v>Aprovado</v>
      </c>
      <c r="P30" s="46">
        <f>IF(OR(DadosL[[#This Row],[Analise_Risco]]="Negado",DadosL[[#This Row],[Analise_Credito]]="Negado"),0,IF(DadosL[[#This Row],[status]]="Ativo",DadosL[[#This Row],[valor_solicitado]]*1.08,0))</f>
        <v>0</v>
      </c>
    </row>
    <row r="31" spans="1:16">
      <c r="A3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1" s="1" t="str">
        <f>PROPER(TRIM(DadosBrutos[[#This Row],[nome]]))</f>
        <v>Brienne Reed</v>
      </c>
      <c r="C31" s="1" t="str">
        <f>IF(LEN(SUBSTITUTE(SUBSTITUTE(SUBSTITUTE(DadosBrutos[[#This Row],[cpf]],".",""),"-","")," ",""))=11,DadosBrutos[[#This Row],[cpf]],"-")</f>
        <v>000.000.306-00</v>
      </c>
      <c r="D3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68</v>
      </c>
      <c r="E31" s="45">
        <f>IF(DadosBrutos[[#This Row],[data_nascimento]]="","-",DadosBrutos[[#This Row],[data_nascimento]])</f>
        <v>21293</v>
      </c>
      <c r="F31" s="1" t="str">
        <f>IF(ISNUMBER(SEARCH("|",DadosBrutos[[#This Row],[cidade]])),TRIM(LEFT(DadosBrutos[[#This Row],[cidade]],SEARCH("|",DadosBrutos[[#This Row],[cidade]])-1)),TRIM(DadosBrutos[[#This Row],[cidade]]))</f>
        <v>Pyke</v>
      </c>
      <c r="G3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31" s="37">
        <f>IF(DadosBrutos[[#This Row],[renda_mensal]]="","-",IF(ISNUMBER(DadosBrutos[[#This Row],[renda_mensal]]),DadosBrutos[[#This Row],[renda_mensal]],IFERROR(VALUE(SUBSTITUTE(DadosBrutos[[#This Row],[renda_mensal]]," moedas","")),"-")))</f>
        <v>3800</v>
      </c>
      <c r="I31" s="37">
        <f>IF(DadosBrutos[[#This Row],[credito_tomado]]="","-",IF(ISNUMBER(DadosBrutos[[#This Row],[credito_tomado]]),DadosBrutos[[#This Row],[credito_tomado]],IFERROR(VALUE(SUBSTITUTE(DadosBrutos[[#This Row],[credito_tomado]]," moedas","")),"-")))</f>
        <v>70000</v>
      </c>
      <c r="J3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1" s="1">
        <f>IF(DadosBrutos[[#This Row],[qtde_batalhas]]="","-",IF(ISNUMBER(DadosBrutos[[#This Row],[qtde_batalhas]]),DadosBrutos[[#This Row],[qtde_batalhas]],IFERROR(VALUE(SUBSTITUTE(DadosBrutos[[#This Row],[qtde_batalhas]]," batalhas","")),"-")))</f>
        <v>34</v>
      </c>
      <c r="L31" s="1" t="str">
        <f>IF(DadosL[[#This Row],[qtde_batalhas]]="-","-",IF(DadosL[[#This Row],[qtde_batalhas]]&lt;=10,"Baixo",IF(DadosL[[#This Row],[qtde_batalhas]]&lt;=25,"Médio","Alto")))</f>
        <v>Alto</v>
      </c>
      <c r="M3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7500</v>
      </c>
      <c r="N31" s="1" t="str">
        <f>IF(AND(DadosL[[#This Row],[nivel_risco]]="Alto",DadosL[[#This Row],[flag_inadimplente]]="Sim"),"Negado","Aprovado")</f>
        <v>Negado</v>
      </c>
      <c r="O31" s="1" t="str">
        <f>IF(AND(ISNUMBER(DadosL[[#This Row],[credito_tomado]]),DadosL[[#This Row],[credito_tomado]]&gt;50000,DadosL[[#This Row],[flag_inadimplente]]="Sim"),"Negado","Aprovado")</f>
        <v>Negado</v>
      </c>
      <c r="P31" s="46">
        <f>IF(OR(DadosL[[#This Row],[Analise_Risco]]="Negado",DadosL[[#This Row],[Analise_Credito]]="Negado"),0,IF(DadosL[[#This Row],[status]]="Ativo",DadosL[[#This Row],[valor_solicitado]]*1.08,0))</f>
        <v>0</v>
      </c>
    </row>
    <row r="32" spans="1:16">
      <c r="A3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2" s="1" t="str">
        <f>PROPER(TRIM(DadosBrutos[[#This Row],[nome]]))</f>
        <v>Rhaegar Umber</v>
      </c>
      <c r="C32" s="1" t="str">
        <f>IF(LEN(SUBSTITUTE(SUBSTITUTE(SUBSTITUTE(DadosBrutos[[#This Row],[cpf]],".",""),"-","")," ",""))=11,DadosBrutos[[#This Row],[cpf]],"-")</f>
        <v>000.000.247-00</v>
      </c>
      <c r="D3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19</v>
      </c>
      <c r="E32" s="45">
        <f>IF(DadosBrutos[[#This Row],[data_nascimento]]="","-",DadosBrutos[[#This Row],[data_nascimento]])</f>
        <v>39220</v>
      </c>
      <c r="F32" s="1" t="str">
        <f>IF(ISNUMBER(SEARCH("|",DadosBrutos[[#This Row],[cidade]])),TRIM(LEFT(DadosBrutos[[#This Row],[cidade]],SEARCH("|",DadosBrutos[[#This Row],[cidade]])-1)),TRIM(DadosBrutos[[#This Row],[cidade]]))</f>
        <v>Vilavelha</v>
      </c>
      <c r="G3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32" s="37">
        <f>IF(DadosBrutos[[#This Row],[renda_mensal]]="","-",IF(ISNUMBER(DadosBrutos[[#This Row],[renda_mensal]]),DadosBrutos[[#This Row],[renda_mensal]],IFERROR(VALUE(SUBSTITUTE(DadosBrutos[[#This Row],[renda_mensal]]," moedas","")),"-")))</f>
        <v>18000</v>
      </c>
      <c r="I32" s="37">
        <f>IF(DadosBrutos[[#This Row],[credito_tomado]]="","-",IF(ISNUMBER(DadosBrutos[[#This Row],[credito_tomado]]),DadosBrutos[[#This Row],[credito_tomado]],IFERROR(VALUE(SUBSTITUTE(DadosBrutos[[#This Row],[credito_tomado]]," moedas","")),"-")))</f>
        <v>50500</v>
      </c>
      <c r="J3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2" s="1">
        <f>IF(DadosBrutos[[#This Row],[qtde_batalhas]]="","-",IF(ISNUMBER(DadosBrutos[[#This Row],[qtde_batalhas]]),DadosBrutos[[#This Row],[qtde_batalhas]],IFERROR(VALUE(SUBSTITUTE(DadosBrutos[[#This Row],[qtde_batalhas]]," batalhas","")),"-")))</f>
        <v>11</v>
      </c>
      <c r="L32" s="1" t="str">
        <f>IF(DadosL[[#This Row],[qtde_batalhas]]="-","-",IF(DadosL[[#This Row],[qtde_batalhas]]&lt;=10,"Baixo",IF(DadosL[[#This Row],[qtde_batalhas]]&lt;=25,"Médio","Alto")))</f>
        <v>Médio</v>
      </c>
      <c r="M3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26000</v>
      </c>
      <c r="N32" s="1" t="str">
        <f>IF(AND(DadosL[[#This Row],[nivel_risco]]="Alto",DadosL[[#This Row],[flag_inadimplente]]="Sim"),"Negado","Aprovado")</f>
        <v>Aprovado</v>
      </c>
      <c r="O32" s="1" t="str">
        <f>IF(AND(ISNUMBER(DadosL[[#This Row],[credito_tomado]]),DadosL[[#This Row],[credito_tomado]]&gt;50000,DadosL[[#This Row],[flag_inadimplente]]="Sim"),"Negado","Aprovado")</f>
        <v>Negado</v>
      </c>
      <c r="P32" s="46">
        <f>IF(OR(DadosL[[#This Row],[Analise_Risco]]="Negado",DadosL[[#This Row],[Analise_Credito]]="Negado"),0,IF(DadosL[[#This Row],[status]]="Ativo",DadosL[[#This Row],[valor_solicitado]]*1.08,0))</f>
        <v>0</v>
      </c>
    </row>
    <row r="33" spans="1:16">
      <c r="A3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3" s="1" t="str">
        <f>PROPER(TRIM(DadosBrutos[[#This Row],[nome]]))</f>
        <v>Roose Manderly</v>
      </c>
      <c r="C33" s="1" t="str">
        <f>IF(LEN(SUBSTITUTE(SUBSTITUTE(SUBSTITUTE(DadosBrutos[[#This Row],[cpf]],".",""),"-","")," ",""))=11,DadosBrutos[[#This Row],[cpf]],"-")</f>
        <v>-</v>
      </c>
      <c r="D3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42</v>
      </c>
      <c r="E33" s="45">
        <f>IF(DadosBrutos[[#This Row],[data_nascimento]]="","-",DadosBrutos[[#This Row],[data_nascimento]])</f>
        <v>30642</v>
      </c>
      <c r="F33" s="1" t="str">
        <f>IF(ISNUMBER(SEARCH("|",DadosBrutos[[#This Row],[cidade]])),TRIM(LEFT(DadosBrutos[[#This Row],[cidade]],SEARCH("|",DadosBrutos[[#This Row],[cidade]])-1)),TRIM(DadosBrutos[[#This Row],[cidade]]))</f>
        <v>Dorne</v>
      </c>
      <c r="G3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33" s="37" t="str">
        <f>IF(DadosBrutos[[#This Row],[renda_mensal]]="","-",IF(ISNUMBER(DadosBrutos[[#This Row],[renda_mensal]]),DadosBrutos[[#This Row],[renda_mensal]],IFERROR(VALUE(SUBSTITUTE(DadosBrutos[[#This Row],[renda_mensal]]," moedas","")),"-")))</f>
        <v>-</v>
      </c>
      <c r="I33" s="37">
        <f>IF(DadosBrutos[[#This Row],[credito_tomado]]="","-",IF(ISNUMBER(DadosBrutos[[#This Row],[credito_tomado]]),DadosBrutos[[#This Row],[credito_tomado]],IFERROR(VALUE(SUBSTITUTE(DadosBrutos[[#This Row],[credito_tomado]]," moedas","")),"-")))</f>
        <v>19500</v>
      </c>
      <c r="J3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3" s="1">
        <f>IF(DadosBrutos[[#This Row],[qtde_batalhas]]="","-",IF(ISNUMBER(DadosBrutos[[#This Row],[qtde_batalhas]]),DadosBrutos[[#This Row],[qtde_batalhas]],IFERROR(VALUE(SUBSTITUTE(DadosBrutos[[#This Row],[qtde_batalhas]]," batalhas","")),"-")))</f>
        <v>42</v>
      </c>
      <c r="L33" s="1" t="str">
        <f>IF(DadosL[[#This Row],[qtde_batalhas]]="-","-",IF(DadosL[[#This Row],[qtde_batalhas]]&lt;=10,"Baixo",IF(DadosL[[#This Row],[qtde_batalhas]]&lt;=25,"Médio","Alto")))</f>
        <v>Alto</v>
      </c>
      <c r="M3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89500</v>
      </c>
      <c r="N33" s="1" t="str">
        <f>IF(AND(DadosL[[#This Row],[nivel_risco]]="Alto",DadosL[[#This Row],[flag_inadimplente]]="Sim"),"Negado","Aprovado")</f>
        <v>Aprovado</v>
      </c>
      <c r="O33" s="1" t="str">
        <f>IF(AND(ISNUMBER(DadosL[[#This Row],[credito_tomado]]),DadosL[[#This Row],[credito_tomado]]&gt;50000,DadosL[[#This Row],[flag_inadimplente]]="Sim"),"Negado","Aprovado")</f>
        <v>Aprovado</v>
      </c>
      <c r="P33" s="46">
        <f>IF(OR(DadosL[[#This Row],[Analise_Risco]]="Negado",DadosL[[#This Row],[Analise_Credito]]="Negado"),0,IF(DadosL[[#This Row],[status]]="Ativo",DadosL[[#This Row],[valor_solicitado]]*1.08,0))</f>
        <v>96660</v>
      </c>
    </row>
    <row r="34" spans="1:16">
      <c r="A3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4" s="1" t="str">
        <f>PROPER(TRIM(DadosBrutos[[#This Row],[nome]]))</f>
        <v>Jeor Florent</v>
      </c>
      <c r="C34" s="1" t="str">
        <f>IF(LEN(SUBSTITUTE(SUBSTITUTE(SUBSTITUTE(DadosBrutos[[#This Row],[cpf]],".",""),"-","")," ",""))=11,DadosBrutos[[#This Row],[cpf]],"-")</f>
        <v>000.000.249-00</v>
      </c>
      <c r="D3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27</v>
      </c>
      <c r="E34" s="45">
        <f>IF(DadosBrutos[[#This Row],[data_nascimento]]="","-",DadosBrutos[[#This Row],[data_nascimento]])</f>
        <v>36319</v>
      </c>
      <c r="F34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3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34" s="37">
        <f>IF(DadosBrutos[[#This Row],[renda_mensal]]="","-",IF(ISNUMBER(DadosBrutos[[#This Row],[renda_mensal]]),DadosBrutos[[#This Row],[renda_mensal]],IFERROR(VALUE(SUBSTITUTE(DadosBrutos[[#This Row],[renda_mensal]]," moedas","")),"-")))</f>
        <v>28800</v>
      </c>
      <c r="I34" s="37">
        <f>IF(DadosBrutos[[#This Row],[credito_tomado]]="","-",IF(ISNUMBER(DadosBrutos[[#This Row],[credito_tomado]]),DadosBrutos[[#This Row],[credito_tomado]],IFERROR(VALUE(SUBSTITUTE(DadosBrutos[[#This Row],[credito_tomado]]," moedas","")),"-")))</f>
        <v>78500</v>
      </c>
      <c r="J3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4" s="1">
        <f>IF(DadosBrutos[[#This Row],[qtde_batalhas]]="","-",IF(ISNUMBER(DadosBrutos[[#This Row],[qtde_batalhas]]),DadosBrutos[[#This Row],[qtde_batalhas]],IFERROR(VALUE(SUBSTITUTE(DadosBrutos[[#This Row],[qtde_batalhas]]," batalhas","")),"-")))</f>
        <v>2</v>
      </c>
      <c r="L34" s="1" t="str">
        <f>IF(DadosL[[#This Row],[qtde_batalhas]]="-","-",IF(DadosL[[#This Row],[qtde_batalhas]]&lt;=10,"Baixo",IF(DadosL[[#This Row],[qtde_batalhas]]&lt;=25,"Médio","Alto")))</f>
        <v>Baixo</v>
      </c>
      <c r="M3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53000</v>
      </c>
      <c r="N34" s="1" t="str">
        <f>IF(AND(DadosL[[#This Row],[nivel_risco]]="Alto",DadosL[[#This Row],[flag_inadimplente]]="Sim"),"Negado","Aprovado")</f>
        <v>Aprovado</v>
      </c>
      <c r="O34" s="1" t="str">
        <f>IF(AND(ISNUMBER(DadosL[[#This Row],[credito_tomado]]),DadosL[[#This Row],[credito_tomado]]&gt;50000,DadosL[[#This Row],[flag_inadimplente]]="Sim"),"Negado","Aprovado")</f>
        <v>Aprovado</v>
      </c>
      <c r="P34" s="46">
        <f>IF(OR(DadosL[[#This Row],[Analise_Risco]]="Negado",DadosL[[#This Row],[Analise_Credito]]="Negado"),0,IF(DadosL[[#This Row],[status]]="Ativo",DadosL[[#This Row],[valor_solicitado]]*1.08,0))</f>
        <v>57240.000000000007</v>
      </c>
    </row>
    <row r="35" spans="1:16">
      <c r="A3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5" s="1" t="str">
        <f>PROPER(TRIM(DadosBrutos[[#This Row],[nome]]))</f>
        <v>Bran Yronwood</v>
      </c>
      <c r="C35" s="1" t="str">
        <f>IF(LEN(SUBSTITUTE(SUBSTITUTE(SUBSTITUTE(DadosBrutos[[#This Row],[cpf]],".",""),"-","")," ",""))=11,DadosBrutos[[#This Row],[cpf]],"-")</f>
        <v>000.000.057-00</v>
      </c>
      <c r="D3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42</v>
      </c>
      <c r="E35" s="45">
        <f>IF(DadosBrutos[[#This Row],[data_nascimento]]="","-",DadosBrutos[[#This Row],[data_nascimento]])</f>
        <v>30878</v>
      </c>
      <c r="F35" s="1" t="str">
        <f>IF(ISNUMBER(SEARCH("|",DadosBrutos[[#This Row],[cidade]])),TRIM(LEFT(DadosBrutos[[#This Row],[cidade]],SEARCH("|",DadosBrutos[[#This Row],[cidade]])-1)),TRIM(DadosBrutos[[#This Row],[cidade]]))</f>
        <v>Pyke</v>
      </c>
      <c r="G3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35" s="37">
        <f>IF(DadosBrutos[[#This Row],[renda_mensal]]="","-",IF(ISNUMBER(DadosBrutos[[#This Row],[renda_mensal]]),DadosBrutos[[#This Row],[renda_mensal]],IFERROR(VALUE(SUBSTITUTE(DadosBrutos[[#This Row],[renda_mensal]]," moedas","")),"-")))</f>
        <v>17500</v>
      </c>
      <c r="I35" s="37">
        <f>IF(DadosBrutos[[#This Row],[credito_tomado]]="","-",IF(ISNUMBER(DadosBrutos[[#This Row],[credito_tomado]]),DadosBrutos[[#This Row],[credito_tomado]],IFERROR(VALUE(SUBSTITUTE(DadosBrutos[[#This Row],[credito_tomado]]," moedas","")),"-")))</f>
        <v>3500</v>
      </c>
      <c r="J3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5" s="1">
        <f>IF(DadosBrutos[[#This Row],[qtde_batalhas]]="","-",IF(ISNUMBER(DadosBrutos[[#This Row],[qtde_batalhas]]),DadosBrutos[[#This Row],[qtde_batalhas]],IFERROR(VALUE(SUBSTITUTE(DadosBrutos[[#This Row],[qtde_batalhas]]," batalhas","")),"-")))</f>
        <v>25</v>
      </c>
      <c r="L35" s="1" t="str">
        <f>IF(DadosL[[#This Row],[qtde_batalhas]]="-","-",IF(DadosL[[#This Row],[qtde_batalhas]]&lt;=10,"Baixo",IF(DadosL[[#This Row],[qtde_batalhas]]&lt;=25,"Médio","Alto")))</f>
        <v>Médio</v>
      </c>
      <c r="M3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35000</v>
      </c>
      <c r="N35" s="1" t="str">
        <f>IF(AND(DadosL[[#This Row],[nivel_risco]]="Alto",DadosL[[#This Row],[flag_inadimplente]]="Sim"),"Negado","Aprovado")</f>
        <v>Aprovado</v>
      </c>
      <c r="O35" s="1" t="str">
        <f>IF(AND(ISNUMBER(DadosL[[#This Row],[credito_tomado]]),DadosL[[#This Row],[credito_tomado]]&gt;50000,DadosL[[#This Row],[flag_inadimplente]]="Sim"),"Negado","Aprovado")</f>
        <v>Aprovado</v>
      </c>
      <c r="P35" s="46">
        <f>IF(OR(DadosL[[#This Row],[Analise_Risco]]="Negado",DadosL[[#This Row],[Analise_Credito]]="Negado"),0,IF(DadosL[[#This Row],[status]]="Ativo",DadosL[[#This Row],[valor_solicitado]]*1.08,0))</f>
        <v>37800</v>
      </c>
    </row>
    <row r="36" spans="1:16">
      <c r="A3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6" s="1" t="str">
        <f>PROPER(TRIM(DadosBrutos[[#This Row],[nome]]))</f>
        <v>Bronn Arryn</v>
      </c>
      <c r="C36" s="1" t="str">
        <f>IF(LEN(SUBSTITUTE(SUBSTITUTE(SUBSTITUTE(DadosBrutos[[#This Row],[cpf]],".",""),"-","")," ",""))=11,DadosBrutos[[#This Row],[cpf]],"-")</f>
        <v>000.000.016-00</v>
      </c>
      <c r="D3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44</v>
      </c>
      <c r="E36" s="45">
        <f>IF(DadosBrutos[[#This Row],[data_nascimento]]="","-",DadosBrutos[[#This Row],[data_nascimento]])</f>
        <v>29975</v>
      </c>
      <c r="F36" s="1" t="str">
        <f>IF(ISNUMBER(SEARCH("|",DadosBrutos[[#This Row],[cidade]])),TRIM(LEFT(DadosBrutos[[#This Row],[cidade]],SEARCH("|",DadosBrutos[[#This Row],[cidade]])-1)),TRIM(DadosBrutos[[#This Row],[cidade]]))</f>
        <v>Lannisporto</v>
      </c>
      <c r="G3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36" s="37">
        <f>IF(DadosBrutos[[#This Row],[renda_mensal]]="","-",IF(ISNUMBER(DadosBrutos[[#This Row],[renda_mensal]]),DadosBrutos[[#This Row],[renda_mensal]],IFERROR(VALUE(SUBSTITUTE(DadosBrutos[[#This Row],[renda_mensal]]," moedas","")),"-")))</f>
        <v>5300</v>
      </c>
      <c r="I36" s="37">
        <f>IF(DadosBrutos[[#This Row],[credito_tomado]]="","-",IF(ISNUMBER(DadosBrutos[[#This Row],[credito_tomado]]),DadosBrutos[[#This Row],[credito_tomado]],IFERROR(VALUE(SUBSTITUTE(DadosBrutos[[#This Row],[credito_tomado]]," moedas","")),"-")))</f>
        <v>6000</v>
      </c>
      <c r="J3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6" s="1">
        <f>IF(DadosBrutos[[#This Row],[qtde_batalhas]]="","-",IF(ISNUMBER(DadosBrutos[[#This Row],[qtde_batalhas]]),DadosBrutos[[#This Row],[qtde_batalhas]],IFERROR(VALUE(SUBSTITUTE(DadosBrutos[[#This Row],[qtde_batalhas]]," batalhas","")),"-")))</f>
        <v>1</v>
      </c>
      <c r="L36" s="1" t="str">
        <f>IF(DadosL[[#This Row],[qtde_batalhas]]="-","-",IF(DadosL[[#This Row],[qtde_batalhas]]&lt;=10,"Baixo",IF(DadosL[[#This Row],[qtde_batalhas]]&lt;=25,"Médio","Alto")))</f>
        <v>Baixo</v>
      </c>
      <c r="M3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4500</v>
      </c>
      <c r="N36" s="1" t="str">
        <f>IF(AND(DadosL[[#This Row],[nivel_risco]]="Alto",DadosL[[#This Row],[flag_inadimplente]]="Sim"),"Negado","Aprovado")</f>
        <v>Aprovado</v>
      </c>
      <c r="O36" s="1" t="str">
        <f>IF(AND(ISNUMBER(DadosL[[#This Row],[credito_tomado]]),DadosL[[#This Row],[credito_tomado]]&gt;50000,DadosL[[#This Row],[flag_inadimplente]]="Sim"),"Negado","Aprovado")</f>
        <v>Aprovado</v>
      </c>
      <c r="P36" s="46">
        <f>IF(OR(DadosL[[#This Row],[Analise_Risco]]="Negado",DadosL[[#This Row],[Analise_Credito]]="Negado"),0,IF(DadosL[[#This Row],[status]]="Ativo",DadosL[[#This Row],[valor_solicitado]]*1.08,0))</f>
        <v>4860</v>
      </c>
    </row>
    <row r="37" spans="1:16">
      <c r="A3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7" s="1" t="str">
        <f>PROPER(TRIM(DadosBrutos[[#This Row],[nome]]))</f>
        <v>Shae Clegane</v>
      </c>
      <c r="C37" s="1" t="str">
        <f>IF(LEN(SUBSTITUTE(SUBSTITUTE(SUBSTITUTE(DadosBrutos[[#This Row],[cpf]],".",""),"-","")," ",""))=11,DadosBrutos[[#This Row],[cpf]],"-")</f>
        <v>000.000.205-00</v>
      </c>
      <c r="D3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40</v>
      </c>
      <c r="E37" s="45">
        <f>IF(DadosBrutos[[#This Row],[data_nascimento]]="","-",DadosBrutos[[#This Row],[data_nascimento]])</f>
        <v>31539</v>
      </c>
      <c r="F37" s="1" t="str">
        <f>IF(ISNUMBER(SEARCH("|",DadosBrutos[[#This Row],[cidade]])),TRIM(LEFT(DadosBrutos[[#This Row],[cidade]],SEARCH("|",DadosBrutos[[#This Row],[cidade]])-1)),TRIM(DadosBrutos[[#This Row],[cidade]]))</f>
        <v>Fosso Cailin</v>
      </c>
      <c r="G3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37" s="37">
        <f>IF(DadosBrutos[[#This Row],[renda_mensal]]="","-",IF(ISNUMBER(DadosBrutos[[#This Row],[renda_mensal]]),DadosBrutos[[#This Row],[renda_mensal]],IFERROR(VALUE(SUBSTITUTE(DadosBrutos[[#This Row],[renda_mensal]]," moedas","")),"-")))</f>
        <v>9900</v>
      </c>
      <c r="I37" s="37">
        <f>IF(DadosBrutos[[#This Row],[credito_tomado]]="","-",IF(ISNUMBER(DadosBrutos[[#This Row],[credito_tomado]]),DadosBrutos[[#This Row],[credito_tomado]],IFERROR(VALUE(SUBSTITUTE(DadosBrutos[[#This Row],[credito_tomado]]," moedas","")),"-")))</f>
        <v>3500</v>
      </c>
      <c r="J3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7" s="1">
        <f>IF(DadosBrutos[[#This Row],[qtde_batalhas]]="","-",IF(ISNUMBER(DadosBrutos[[#This Row],[qtde_batalhas]]),DadosBrutos[[#This Row],[qtde_batalhas]],IFERROR(VALUE(SUBSTITUTE(DadosBrutos[[#This Row],[qtde_batalhas]]," batalhas","")),"-")))</f>
        <v>1</v>
      </c>
      <c r="L37" s="1" t="str">
        <f>IF(DadosL[[#This Row],[qtde_batalhas]]="-","-",IF(DadosL[[#This Row],[qtde_batalhas]]&lt;=10,"Baixo",IF(DadosL[[#This Row],[qtde_batalhas]]&lt;=25,"Médio","Alto")))</f>
        <v>Baixo</v>
      </c>
      <c r="M3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23500</v>
      </c>
      <c r="N37" s="1" t="str">
        <f>IF(AND(DadosL[[#This Row],[nivel_risco]]="Alto",DadosL[[#This Row],[flag_inadimplente]]="Sim"),"Negado","Aprovado")</f>
        <v>Aprovado</v>
      </c>
      <c r="O37" s="1" t="str">
        <f>IF(AND(ISNUMBER(DadosL[[#This Row],[credito_tomado]]),DadosL[[#This Row],[credito_tomado]]&gt;50000,DadosL[[#This Row],[flag_inadimplente]]="Sim"),"Negado","Aprovado")</f>
        <v>Aprovado</v>
      </c>
      <c r="P37" s="46">
        <f>IF(OR(DadosL[[#This Row],[Analise_Risco]]="Negado",DadosL[[#This Row],[Analise_Credito]]="Negado"),0,IF(DadosL[[#This Row],[status]]="Ativo",DadosL[[#This Row],[valor_solicitado]]*1.08,0))</f>
        <v>25380</v>
      </c>
    </row>
    <row r="38" spans="1:16">
      <c r="A3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8" s="1" t="str">
        <f>PROPER(TRIM(DadosBrutos[[#This Row],[nome]]))</f>
        <v>Ramsay Hornwood</v>
      </c>
      <c r="C38" s="1" t="str">
        <f>IF(LEN(SUBSTITUTE(SUBSTITUTE(SUBSTITUTE(DadosBrutos[[#This Row],[cpf]],".",""),"-","")," ",""))=11,DadosBrutos[[#This Row],[cpf]],"-")</f>
        <v>000.000.005-00</v>
      </c>
      <c r="D3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65</v>
      </c>
      <c r="E38" s="45">
        <f>IF(DadosBrutos[[#This Row],[data_nascimento]]="","-",DadosBrutos[[#This Row],[data_nascimento]])</f>
        <v>22236</v>
      </c>
      <c r="F38" s="1" t="str">
        <f>IF(ISNUMBER(SEARCH("|",DadosBrutos[[#This Row],[cidade]])),TRIM(LEFT(DadosBrutos[[#This Row],[cidade]],SEARCH("|",DadosBrutos[[#This Row],[cidade]])-1)),TRIM(DadosBrutos[[#This Row],[cidade]]))</f>
        <v>Pyke</v>
      </c>
      <c r="G3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38" s="37">
        <f>IF(DadosBrutos[[#This Row],[renda_mensal]]="","-",IF(ISNUMBER(DadosBrutos[[#This Row],[renda_mensal]]),DadosBrutos[[#This Row],[renda_mensal]],IFERROR(VALUE(SUBSTITUTE(DadosBrutos[[#This Row],[renda_mensal]]," moedas","")),"-")))</f>
        <v>23400</v>
      </c>
      <c r="I38" s="37">
        <f>IF(DadosBrutos[[#This Row],[credito_tomado]]="","-",IF(ISNUMBER(DadosBrutos[[#This Row],[credito_tomado]]),DadosBrutos[[#This Row],[credito_tomado]],IFERROR(VALUE(SUBSTITUTE(DadosBrutos[[#This Row],[credito_tomado]]," moedas","")),"-")))</f>
        <v>28000</v>
      </c>
      <c r="J3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8" s="1">
        <f>IF(DadosBrutos[[#This Row],[qtde_batalhas]]="","-",IF(ISNUMBER(DadosBrutos[[#This Row],[qtde_batalhas]]),DadosBrutos[[#This Row],[qtde_batalhas]],IFERROR(VALUE(SUBSTITUTE(DadosBrutos[[#This Row],[qtde_batalhas]]," batalhas","")),"-")))</f>
        <v>34</v>
      </c>
      <c r="L38" s="1" t="str">
        <f>IF(DadosL[[#This Row],[qtde_batalhas]]="-","-",IF(DadosL[[#This Row],[qtde_batalhas]]&lt;=10,"Baixo",IF(DadosL[[#This Row],[qtde_batalhas]]&lt;=25,"Médio","Alto")))</f>
        <v>Alto</v>
      </c>
      <c r="M3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74000</v>
      </c>
      <c r="N38" s="1" t="str">
        <f>IF(AND(DadosL[[#This Row],[nivel_risco]]="Alto",DadosL[[#This Row],[flag_inadimplente]]="Sim"),"Negado","Aprovado")</f>
        <v>Aprovado</v>
      </c>
      <c r="O38" s="1" t="str">
        <f>IF(AND(ISNUMBER(DadosL[[#This Row],[credito_tomado]]),DadosL[[#This Row],[credito_tomado]]&gt;50000,DadosL[[#This Row],[flag_inadimplente]]="Sim"),"Negado","Aprovado")</f>
        <v>Aprovado</v>
      </c>
      <c r="P38" s="46">
        <f>IF(OR(DadosL[[#This Row],[Analise_Risco]]="Negado",DadosL[[#This Row],[Analise_Credito]]="Negado"),0,IF(DadosL[[#This Row],[status]]="Ativo",DadosL[[#This Row],[valor_solicitado]]*1.08,0))</f>
        <v>79920</v>
      </c>
    </row>
    <row r="39" spans="1:16">
      <c r="A3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-</v>
      </c>
      <c r="B39" s="1" t="str">
        <f>PROPER(TRIM(DadosBrutos[[#This Row],[nome]]))</f>
        <v>Meera Payne</v>
      </c>
      <c r="C39" s="1" t="str">
        <f>IF(LEN(SUBSTITUTE(SUBSTITUTE(SUBSTITUTE(DadosBrutos[[#This Row],[cpf]],".",""),"-","")," ",""))=11,DadosBrutos[[#This Row],[cpf]],"-")</f>
        <v>000.000.131-00</v>
      </c>
      <c r="D3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63</v>
      </c>
      <c r="E39" s="45">
        <f>IF(DadosBrutos[[#This Row],[data_nascimento]]="","-",DadosBrutos[[#This Row],[data_nascimento]])</f>
        <v>22974</v>
      </c>
      <c r="F39" s="1" t="str">
        <f>IF(ISNUMBER(SEARCH("|",DadosBrutos[[#This Row],[cidade]])),TRIM(LEFT(DadosBrutos[[#This Row],[cidade]],SEARCH("|",DadosBrutos[[#This Row],[cidade]])-1)),TRIM(DadosBrutos[[#This Row],[cidade]]))</f>
        <v>Dorne</v>
      </c>
      <c r="G3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39" s="37">
        <f>IF(DadosBrutos[[#This Row],[renda_mensal]]="","-",IF(ISNUMBER(DadosBrutos[[#This Row],[renda_mensal]]),DadosBrutos[[#This Row],[renda_mensal]],IFERROR(VALUE(SUBSTITUTE(DadosBrutos[[#This Row],[renda_mensal]]," moedas","")),"-")))</f>
        <v>14700</v>
      </c>
      <c r="I39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3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9" s="1">
        <f>IF(DadosBrutos[[#This Row],[qtde_batalhas]]="","-",IF(ISNUMBER(DadosBrutos[[#This Row],[qtde_batalhas]]),DadosBrutos[[#This Row],[qtde_batalhas]],IFERROR(VALUE(SUBSTITUTE(DadosBrutos[[#This Row],[qtde_batalhas]]," batalhas","")),"-")))</f>
        <v>40</v>
      </c>
      <c r="L39" s="1" t="str">
        <f>IF(DadosL[[#This Row],[qtde_batalhas]]="-","-",IF(DadosL[[#This Row],[qtde_batalhas]]&lt;=10,"Baixo",IF(DadosL[[#This Row],[qtde_batalhas]]&lt;=25,"Médio","Alto")))</f>
        <v>Alto</v>
      </c>
      <c r="M3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83500</v>
      </c>
      <c r="N39" s="1" t="str">
        <f>IF(AND(DadosL[[#This Row],[nivel_risco]]="Alto",DadosL[[#This Row],[flag_inadimplente]]="Sim"),"Negado","Aprovado")</f>
        <v>Negado</v>
      </c>
      <c r="O39" s="1" t="str">
        <f>IF(AND(ISNUMBER(DadosL[[#This Row],[credito_tomado]]),DadosL[[#This Row],[credito_tomado]]&gt;50000,DadosL[[#This Row],[flag_inadimplente]]="Sim"),"Negado","Aprovado")</f>
        <v>Aprovado</v>
      </c>
      <c r="P39" s="46">
        <f>IF(OR(DadosL[[#This Row],[Analise_Risco]]="Negado",DadosL[[#This Row],[Analise_Credito]]="Negado"),0,IF(DadosL[[#This Row],[status]]="Ativo",DadosL[[#This Row],[valor_solicitado]]*1.08,0))</f>
        <v>0</v>
      </c>
    </row>
    <row r="40" spans="1:16">
      <c r="A4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40" s="1" t="str">
        <f>PROPER(TRIM(DadosBrutos[[#This Row],[nome]]))</f>
        <v>Melisandre Baratheon</v>
      </c>
      <c r="C40" s="1" t="str">
        <f>IF(LEN(SUBSTITUTE(SUBSTITUTE(SUBSTITUTE(DadosBrutos[[#This Row],[cpf]],".",""),"-","")," ",""))=11,DadosBrutos[[#This Row],[cpf]],"-")</f>
        <v>000.000.364-00</v>
      </c>
      <c r="D4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22</v>
      </c>
      <c r="E40" s="45" t="str">
        <f>IF(DadosBrutos[[#This Row],[data_nascimento]]="","-",DadosBrutos[[#This Row],[data_nascimento]])</f>
        <v>-</v>
      </c>
      <c r="F40" s="1" t="str">
        <f>IF(ISNUMBER(SEARCH("|",DadosBrutos[[#This Row],[cidade]])),TRIM(LEFT(DadosBrutos[[#This Row],[cidade]],SEARCH("|",DadosBrutos[[#This Row],[cidade]])-1)),TRIM(DadosBrutos[[#This Row],[cidade]]))</f>
        <v>Meereen</v>
      </c>
      <c r="G4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40" s="37">
        <f>IF(DadosBrutos[[#This Row],[renda_mensal]]="","-",IF(ISNUMBER(DadosBrutos[[#This Row],[renda_mensal]]),DadosBrutos[[#This Row],[renda_mensal]],IFERROR(VALUE(SUBSTITUTE(DadosBrutos[[#This Row],[renda_mensal]]," moedas","")),"-")))</f>
        <v>14400</v>
      </c>
      <c r="I40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4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40" s="1">
        <f>IF(DadosBrutos[[#This Row],[qtde_batalhas]]="","-",IF(ISNUMBER(DadosBrutos[[#This Row],[qtde_batalhas]]),DadosBrutos[[#This Row],[qtde_batalhas]],IFERROR(VALUE(SUBSTITUTE(DadosBrutos[[#This Row],[qtde_batalhas]]," batalhas","")),"-")))</f>
        <v>27</v>
      </c>
      <c r="L40" s="1" t="str">
        <f>IF(DadosL[[#This Row],[qtde_batalhas]]="-","-",IF(DadosL[[#This Row],[qtde_batalhas]]&lt;=10,"Baixo",IF(DadosL[[#This Row],[qtde_batalhas]]&lt;=25,"Médio","Alto")))</f>
        <v>Alto</v>
      </c>
      <c r="M4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33500</v>
      </c>
      <c r="N40" s="1" t="str">
        <f>IF(AND(DadosL[[#This Row],[nivel_risco]]="Alto",DadosL[[#This Row],[flag_inadimplente]]="Sim"),"Negado","Aprovado")</f>
        <v>Aprovado</v>
      </c>
      <c r="O40" s="1" t="str">
        <f>IF(AND(ISNUMBER(DadosL[[#This Row],[credito_tomado]]),DadosL[[#This Row],[credito_tomado]]&gt;50000,DadosL[[#This Row],[flag_inadimplente]]="Sim"),"Negado","Aprovado")</f>
        <v>Aprovado</v>
      </c>
      <c r="P40" s="46">
        <f>IF(OR(DadosL[[#This Row],[Analise_Risco]]="Negado",DadosL[[#This Row],[Analise_Credito]]="Negado"),0,IF(DadosL[[#This Row],[status]]="Ativo",DadosL[[#This Row],[valor_solicitado]]*1.08,0))</f>
        <v>36180</v>
      </c>
    </row>
    <row r="41" spans="1:16">
      <c r="A4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41" s="1" t="str">
        <f>PROPER(TRIM(DadosBrutos[[#This Row],[nome]]))</f>
        <v>Podrick Targaryen</v>
      </c>
      <c r="C41" s="1" t="str">
        <f>IF(LEN(SUBSTITUTE(SUBSTITUTE(SUBSTITUTE(DadosBrutos[[#This Row],[cpf]],".",""),"-","")," ",""))=11,DadosBrutos[[#This Row],[cpf]],"-")</f>
        <v>000.000.050-00</v>
      </c>
      <c r="D4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39</v>
      </c>
      <c r="E41" s="45">
        <f>IF(DadosBrutos[[#This Row],[data_nascimento]]="","-",DadosBrutos[[#This Row],[data_nascimento]])</f>
        <v>31879</v>
      </c>
      <c r="F41" s="1" t="str">
        <f>IF(ISNUMBER(SEARCH("|",DadosBrutos[[#This Row],[cidade]])),TRIM(LEFT(DadosBrutos[[#This Row],[cidade]],SEARCH("|",DadosBrutos[[#This Row],[cidade]])-1)),TRIM(DadosBrutos[[#This Row],[cidade]]))</f>
        <v>Vilavelha</v>
      </c>
      <c r="G4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41" s="37">
        <f>IF(DadosBrutos[[#This Row],[renda_mensal]]="","-",IF(ISNUMBER(DadosBrutos[[#This Row],[renda_mensal]]),DadosBrutos[[#This Row],[renda_mensal]],IFERROR(VALUE(SUBSTITUTE(DadosBrutos[[#This Row],[renda_mensal]]," moedas","")),"-")))</f>
        <v>29900</v>
      </c>
      <c r="I41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4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41" s="1">
        <f>IF(DadosBrutos[[#This Row],[qtde_batalhas]]="","-",IF(ISNUMBER(DadosBrutos[[#This Row],[qtde_batalhas]]),DadosBrutos[[#This Row],[qtde_batalhas]],IFERROR(VALUE(SUBSTITUTE(DadosBrutos[[#This Row],[qtde_batalhas]]," batalhas","")),"-")))</f>
        <v>39</v>
      </c>
      <c r="L41" s="1" t="str">
        <f>IF(DadosL[[#This Row],[qtde_batalhas]]="-","-",IF(DadosL[[#This Row],[qtde_batalhas]]&lt;=10,"Baixo",IF(DadosL[[#This Row],[qtde_batalhas]]&lt;=25,"Médio","Alto")))</f>
        <v>Alto</v>
      </c>
      <c r="M4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75000</v>
      </c>
      <c r="N41" s="1" t="str">
        <f>IF(AND(DadosL[[#This Row],[nivel_risco]]="Alto",DadosL[[#This Row],[flag_inadimplente]]="Sim"),"Negado","Aprovado")</f>
        <v>Aprovado</v>
      </c>
      <c r="O41" s="1" t="str">
        <f>IF(AND(ISNUMBER(DadosL[[#This Row],[credito_tomado]]),DadosL[[#This Row],[credito_tomado]]&gt;50000,DadosL[[#This Row],[flag_inadimplente]]="Sim"),"Negado","Aprovado")</f>
        <v>Aprovado</v>
      </c>
      <c r="P41" s="46">
        <f>IF(OR(DadosL[[#This Row],[Analise_Risco]]="Negado",DadosL[[#This Row],[Analise_Credito]]="Negado"),0,IF(DadosL[[#This Row],[status]]="Ativo",DadosL[[#This Row],[valor_solicitado]]*1.08,0))</f>
        <v>81000</v>
      </c>
    </row>
    <row r="42" spans="1:16">
      <c r="A4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42" s="1" t="str">
        <f>PROPER(TRIM(DadosBrutos[[#This Row],[nome]]))</f>
        <v>Margaery Manderly</v>
      </c>
      <c r="C42" s="1" t="str">
        <f>IF(LEN(SUBSTITUTE(SUBSTITUTE(SUBSTITUTE(DadosBrutos[[#This Row],[cpf]],".",""),"-","")," ",""))=11,DadosBrutos[[#This Row],[cpf]],"-")</f>
        <v>000.000.222-00</v>
      </c>
      <c r="D4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63</v>
      </c>
      <c r="E42" s="45">
        <f>IF(DadosBrutos[[#This Row],[data_nascimento]]="","-",DadosBrutos[[#This Row],[data_nascimento]])</f>
        <v>23231</v>
      </c>
      <c r="F42" s="1" t="str">
        <f>IF(ISNUMBER(SEARCH("|",DadosBrutos[[#This Row],[cidade]])),TRIM(LEFT(DadosBrutos[[#This Row],[cidade]],SEARCH("|",DadosBrutos[[#This Row],[cidade]])-1)),TRIM(DadosBrutos[[#This Row],[cidade]]))</f>
        <v>Winterfell</v>
      </c>
      <c r="G4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42" s="37">
        <f>IF(DadosBrutos[[#This Row],[renda_mensal]]="","-",IF(ISNUMBER(DadosBrutos[[#This Row],[renda_mensal]]),DadosBrutos[[#This Row],[renda_mensal]],IFERROR(VALUE(SUBSTITUTE(DadosBrutos[[#This Row],[renda_mensal]]," moedas","")),"-")))</f>
        <v>16800</v>
      </c>
      <c r="I42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4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-</v>
      </c>
      <c r="K42" s="1">
        <f>IF(DadosBrutos[[#This Row],[qtde_batalhas]]="","-",IF(ISNUMBER(DadosBrutos[[#This Row],[qtde_batalhas]]),DadosBrutos[[#This Row],[qtde_batalhas]],IFERROR(VALUE(SUBSTITUTE(DadosBrutos[[#This Row],[qtde_batalhas]]," batalhas","")),"-")))</f>
        <v>32</v>
      </c>
      <c r="L42" s="1" t="str">
        <f>IF(DadosL[[#This Row],[qtde_batalhas]]="-","-",IF(DadosL[[#This Row],[qtde_batalhas]]&lt;=10,"Baixo",IF(DadosL[[#This Row],[qtde_batalhas]]&lt;=25,"Médio","Alto")))</f>
        <v>Alto</v>
      </c>
      <c r="M4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61500</v>
      </c>
      <c r="N42" s="1" t="str">
        <f>IF(AND(DadosL[[#This Row],[nivel_risco]]="Alto",DadosL[[#This Row],[flag_inadimplente]]="Sim"),"Negado","Aprovado")</f>
        <v>Aprovado</v>
      </c>
      <c r="O42" s="1" t="str">
        <f>IF(AND(ISNUMBER(DadosL[[#This Row],[credito_tomado]]),DadosL[[#This Row],[credito_tomado]]&gt;50000,DadosL[[#This Row],[flag_inadimplente]]="Sim"),"Negado","Aprovado")</f>
        <v>Aprovado</v>
      </c>
      <c r="P42" s="46">
        <f>IF(OR(DadosL[[#This Row],[Analise_Risco]]="Negado",DadosL[[#This Row],[Analise_Credito]]="Negado"),0,IF(DadosL[[#This Row],[status]]="Ativo",DadosL[[#This Row],[valor_solicitado]]*1.08,0))</f>
        <v>66420</v>
      </c>
    </row>
    <row r="43" spans="1:16">
      <c r="A4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43" s="1" t="str">
        <f>PROPER(TRIM(DadosBrutos[[#This Row],[nome]]))</f>
        <v>Daenerys Seaworth</v>
      </c>
      <c r="C43" s="1" t="str">
        <f>IF(LEN(SUBSTITUTE(SUBSTITUTE(SUBSTITUTE(DadosBrutos[[#This Row],[cpf]],".",""),"-","")," ",""))=11,DadosBrutos[[#This Row],[cpf]],"-")</f>
        <v>000.000.341-00</v>
      </c>
      <c r="D4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54</v>
      </c>
      <c r="E43" s="45">
        <f>IF(DadosBrutos[[#This Row],[data_nascimento]]="","-",DadosBrutos[[#This Row],[data_nascimento]])</f>
        <v>26213</v>
      </c>
      <c r="F43" s="1" t="str">
        <f>IF(ISNUMBER(SEARCH("|",DadosBrutos[[#This Row],[cidade]])),TRIM(LEFT(DadosBrutos[[#This Row],[cidade]],SEARCH("|",DadosBrutos[[#This Row],[cidade]])-1)),TRIM(DadosBrutos[[#This Row],[cidade]]))</f>
        <v>Vilavelha</v>
      </c>
      <c r="G4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43" s="37">
        <f>IF(DadosBrutos[[#This Row],[renda_mensal]]="","-",IF(ISNUMBER(DadosBrutos[[#This Row],[renda_mensal]]),DadosBrutos[[#This Row],[renda_mensal]],IFERROR(VALUE(SUBSTITUTE(DadosBrutos[[#This Row],[renda_mensal]]," moedas","")),"-")))</f>
        <v>29700</v>
      </c>
      <c r="I43" s="37">
        <f>IF(DadosBrutos[[#This Row],[credito_tomado]]="","-",IF(ISNUMBER(DadosBrutos[[#This Row],[credito_tomado]]),DadosBrutos[[#This Row],[credito_tomado]],IFERROR(VALUE(SUBSTITUTE(DadosBrutos[[#This Row],[credito_tomado]]," moedas","")),"-")))</f>
        <v>34000</v>
      </c>
      <c r="J4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43" s="1">
        <f>IF(DadosBrutos[[#This Row],[qtde_batalhas]]="","-",IF(ISNUMBER(DadosBrutos[[#This Row],[qtde_batalhas]]),DadosBrutos[[#This Row],[qtde_batalhas]],IFERROR(VALUE(SUBSTITUTE(DadosBrutos[[#This Row],[qtde_batalhas]]," batalhas","")),"-")))</f>
        <v>35</v>
      </c>
      <c r="L43" s="1" t="str">
        <f>IF(DadosL[[#This Row],[qtde_batalhas]]="-","-",IF(DadosL[[#This Row],[qtde_batalhas]]&lt;=10,"Baixo",IF(DadosL[[#This Row],[qtde_batalhas]]&lt;=25,"Médio","Alto")))</f>
        <v>Alto</v>
      </c>
      <c r="M4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35000</v>
      </c>
      <c r="N43" s="1" t="str">
        <f>IF(AND(DadosL[[#This Row],[nivel_risco]]="Alto",DadosL[[#This Row],[flag_inadimplente]]="Sim"),"Negado","Aprovado")</f>
        <v>Aprovado</v>
      </c>
      <c r="O43" s="1" t="str">
        <f>IF(AND(ISNUMBER(DadosL[[#This Row],[credito_tomado]]),DadosL[[#This Row],[credito_tomado]]&gt;50000,DadosL[[#This Row],[flag_inadimplente]]="Sim"),"Negado","Aprovado")</f>
        <v>Aprovado</v>
      </c>
      <c r="P43" s="46">
        <f>IF(OR(DadosL[[#This Row],[Analise_Risco]]="Negado",DadosL[[#This Row],[Analise_Credito]]="Negado"),0,IF(DadosL[[#This Row],[status]]="Ativo",DadosL[[#This Row],[valor_solicitado]]*1.08,0))</f>
        <v>37800</v>
      </c>
    </row>
    <row r="44" spans="1:16">
      <c r="A4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44" s="1" t="str">
        <f>PROPER(TRIM(DadosBrutos[[#This Row],[nome]]))</f>
        <v>Brienne Manderly</v>
      </c>
      <c r="C44" s="1" t="str">
        <f>IF(LEN(SUBSTITUTE(SUBSTITUTE(SUBSTITUTE(DadosBrutos[[#This Row],[cpf]],".",""),"-","")," ",""))=11,DadosBrutos[[#This Row],[cpf]],"-")</f>
        <v>000.000.140-00</v>
      </c>
      <c r="D4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29</v>
      </c>
      <c r="E44" s="45">
        <f>IF(DadosBrutos[[#This Row],[data_nascimento]]="","-",DadosBrutos[[#This Row],[data_nascimento]])</f>
        <v>35472</v>
      </c>
      <c r="F44" s="1" t="str">
        <f>IF(ISNUMBER(SEARCH("|",DadosBrutos[[#This Row],[cidade]])),TRIM(LEFT(DadosBrutos[[#This Row],[cidade]],SEARCH("|",DadosBrutos[[#This Row],[cidade]])-1)),TRIM(DadosBrutos[[#This Row],[cidade]]))</f>
        <v>Fosso Cailin</v>
      </c>
      <c r="G4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44" s="37">
        <f>IF(DadosBrutos[[#This Row],[renda_mensal]]="","-",IF(ISNUMBER(DadosBrutos[[#This Row],[renda_mensal]]),DadosBrutos[[#This Row],[renda_mensal]],IFERROR(VALUE(SUBSTITUTE(DadosBrutos[[#This Row],[renda_mensal]]," moedas","")),"-")))</f>
        <v>11900</v>
      </c>
      <c r="I44" s="37">
        <f>IF(DadosBrutos[[#This Row],[credito_tomado]]="","-",IF(ISNUMBER(DadosBrutos[[#This Row],[credito_tomado]]),DadosBrutos[[#This Row],[credito_tomado]],IFERROR(VALUE(SUBSTITUTE(DadosBrutos[[#This Row],[credito_tomado]]," moedas","")),"-")))</f>
        <v>65000</v>
      </c>
      <c r="J4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44" s="1">
        <f>IF(DadosBrutos[[#This Row],[qtde_batalhas]]="","-",IF(ISNUMBER(DadosBrutos[[#This Row],[qtde_batalhas]]),DadosBrutos[[#This Row],[qtde_batalhas]],IFERROR(VALUE(SUBSTITUTE(DadosBrutos[[#This Row],[qtde_batalhas]]," batalhas","")),"-")))</f>
        <v>29</v>
      </c>
      <c r="L44" s="1" t="str">
        <f>IF(DadosL[[#This Row],[qtde_batalhas]]="-","-",IF(DadosL[[#This Row],[qtde_batalhas]]&lt;=10,"Baixo",IF(DadosL[[#This Row],[qtde_batalhas]]&lt;=25,"Médio","Alto")))</f>
        <v>Alto</v>
      </c>
      <c r="M4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12000</v>
      </c>
      <c r="N44" s="1" t="str">
        <f>IF(AND(DadosL[[#This Row],[nivel_risco]]="Alto",DadosL[[#This Row],[flag_inadimplente]]="Sim"),"Negado","Aprovado")</f>
        <v>Negado</v>
      </c>
      <c r="O44" s="1" t="str">
        <f>IF(AND(ISNUMBER(DadosL[[#This Row],[credito_tomado]]),DadosL[[#This Row],[credito_tomado]]&gt;50000,DadosL[[#This Row],[flag_inadimplente]]="Sim"),"Negado","Aprovado")</f>
        <v>Negado</v>
      </c>
      <c r="P44" s="46">
        <f>IF(OR(DadosL[[#This Row],[Analise_Risco]]="Negado",DadosL[[#This Row],[Analise_Credito]]="Negado"),0,IF(DadosL[[#This Row],[status]]="Ativo",DadosL[[#This Row],[valor_solicitado]]*1.08,0))</f>
        <v>0</v>
      </c>
    </row>
    <row r="45" spans="1:16">
      <c r="A4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45" s="1" t="str">
        <f>PROPER(TRIM(DadosBrutos[[#This Row],[nome]]))</f>
        <v>Jorah Redwyne</v>
      </c>
      <c r="C45" s="1" t="str">
        <f>IF(LEN(SUBSTITUTE(SUBSTITUTE(SUBSTITUTE(DadosBrutos[[#This Row],[cpf]],".",""),"-","")," ",""))=11,DadosBrutos[[#This Row],[cpf]],"-")</f>
        <v>-</v>
      </c>
      <c r="D4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37</v>
      </c>
      <c r="E45" s="45">
        <f>IF(DadosBrutos[[#This Row],[data_nascimento]]="","-",DadosBrutos[[#This Row],[data_nascimento]])</f>
        <v>32513</v>
      </c>
      <c r="F45" s="1" t="str">
        <f>IF(ISNUMBER(SEARCH("|",DadosBrutos[[#This Row],[cidade]])),TRIM(LEFT(DadosBrutos[[#This Row],[cidade]],SEARCH("|",DadosBrutos[[#This Row],[cidade]])-1)),TRIM(DadosBrutos[[#This Row],[cidade]]))</f>
        <v>Monte Chifre</v>
      </c>
      <c r="G4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45" s="37">
        <f>IF(DadosBrutos[[#This Row],[renda_mensal]]="","-",IF(ISNUMBER(DadosBrutos[[#This Row],[renda_mensal]]),DadosBrutos[[#This Row],[renda_mensal]],IFERROR(VALUE(SUBSTITUTE(DadosBrutos[[#This Row],[renda_mensal]]," moedas","")),"-")))</f>
        <v>2600</v>
      </c>
      <c r="I45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4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45" s="1">
        <f>IF(DadosBrutos[[#This Row],[qtde_batalhas]]="","-",IF(ISNUMBER(DadosBrutos[[#This Row],[qtde_batalhas]]),DadosBrutos[[#This Row],[qtde_batalhas]],IFERROR(VALUE(SUBSTITUTE(DadosBrutos[[#This Row],[qtde_batalhas]]," batalhas","")),"-")))</f>
        <v>5</v>
      </c>
      <c r="L45" s="1" t="str">
        <f>IF(DadosL[[#This Row],[qtde_batalhas]]="-","-",IF(DadosL[[#This Row],[qtde_batalhas]]&lt;=10,"Baixo",IF(DadosL[[#This Row],[qtde_batalhas]]&lt;=25,"Médio","Alto")))</f>
        <v>Baixo</v>
      </c>
      <c r="M4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16500</v>
      </c>
      <c r="N45" s="1" t="str">
        <f>IF(AND(DadosL[[#This Row],[nivel_risco]]="Alto",DadosL[[#This Row],[flag_inadimplente]]="Sim"),"Negado","Aprovado")</f>
        <v>Aprovado</v>
      </c>
      <c r="O45" s="1" t="str">
        <f>IF(AND(ISNUMBER(DadosL[[#This Row],[credito_tomado]]),DadosL[[#This Row],[credito_tomado]]&gt;50000,DadosL[[#This Row],[flag_inadimplente]]="Sim"),"Negado","Aprovado")</f>
        <v>Aprovado</v>
      </c>
      <c r="P45" s="46">
        <f>IF(OR(DadosL[[#This Row],[Analise_Risco]]="Negado",DadosL[[#This Row],[Analise_Credito]]="Negado"),0,IF(DadosL[[#This Row],[status]]="Ativo",DadosL[[#This Row],[valor_solicitado]]*1.08,0))</f>
        <v>17820</v>
      </c>
    </row>
    <row r="46" spans="1:16">
      <c r="A4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46" s="1" t="str">
        <f>PROPER(TRIM(DadosBrutos[[#This Row],[nome]]))</f>
        <v>Margaery  Hornwood</v>
      </c>
      <c r="C46" s="1" t="str">
        <f>IF(LEN(SUBSTITUTE(SUBSTITUTE(SUBSTITUTE(DadosBrutos[[#This Row],[cpf]],".",""),"-","")," ",""))=11,DadosBrutos[[#This Row],[cpf]],"-")</f>
        <v>-</v>
      </c>
      <c r="D4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25</v>
      </c>
      <c r="E46" s="45">
        <f>IF(DadosBrutos[[#This Row],[data_nascimento]]="","-",DadosBrutos[[#This Row],[data_nascimento]])</f>
        <v>37125</v>
      </c>
      <c r="F46" s="1" t="str">
        <f>IF(ISNUMBER(SEARCH("|",DadosBrutos[[#This Row],[cidade]])),TRIM(LEFT(DadosBrutos[[#This Row],[cidade]],SEARCH("|",DadosBrutos[[#This Row],[cidade]])-1)),TRIM(DadosBrutos[[#This Row],[cidade]]))</f>
        <v>Dorne</v>
      </c>
      <c r="G4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46" s="37">
        <f>IF(DadosBrutos[[#This Row],[renda_mensal]]="","-",IF(ISNUMBER(DadosBrutos[[#This Row],[renda_mensal]]),DadosBrutos[[#This Row],[renda_mensal]],IFERROR(VALUE(SUBSTITUTE(DadosBrutos[[#This Row],[renda_mensal]]," moedas","")),"-")))</f>
        <v>2500</v>
      </c>
      <c r="I46" s="37">
        <f>IF(DadosBrutos[[#This Row],[credito_tomado]]="","-",IF(ISNUMBER(DadosBrutos[[#This Row],[credito_tomado]]),DadosBrutos[[#This Row],[credito_tomado]],IFERROR(VALUE(SUBSTITUTE(DadosBrutos[[#This Row],[credito_tomado]]," moedas","")),"-")))</f>
        <v>72500</v>
      </c>
      <c r="J4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46" s="1">
        <f>IF(DadosBrutos[[#This Row],[qtde_batalhas]]="","-",IF(ISNUMBER(DadosBrutos[[#This Row],[qtde_batalhas]]),DadosBrutos[[#This Row],[qtde_batalhas]],IFERROR(VALUE(SUBSTITUTE(DadosBrutos[[#This Row],[qtde_batalhas]]," batalhas","")),"-")))</f>
        <v>32</v>
      </c>
      <c r="L46" s="1" t="str">
        <f>IF(DadosL[[#This Row],[qtde_batalhas]]="-","-",IF(DadosL[[#This Row],[qtde_batalhas]]&lt;=10,"Baixo",IF(DadosL[[#This Row],[qtde_batalhas]]&lt;=25,"Médio","Alto")))</f>
        <v>Alto</v>
      </c>
      <c r="M4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97000</v>
      </c>
      <c r="N46" s="1" t="str">
        <f>IF(AND(DadosL[[#This Row],[nivel_risco]]="Alto",DadosL[[#This Row],[flag_inadimplente]]="Sim"),"Negado","Aprovado")</f>
        <v>Aprovado</v>
      </c>
      <c r="O46" s="1" t="str">
        <f>IF(AND(ISNUMBER(DadosL[[#This Row],[credito_tomado]]),DadosL[[#This Row],[credito_tomado]]&gt;50000,DadosL[[#This Row],[flag_inadimplente]]="Sim"),"Negado","Aprovado")</f>
        <v>Aprovado</v>
      </c>
      <c r="P46" s="46">
        <f>IF(OR(DadosL[[#This Row],[Analise_Risco]]="Negado",DadosL[[#This Row],[Analise_Credito]]="Negado"),0,IF(DadosL[[#This Row],[status]]="Ativo",DadosL[[#This Row],[valor_solicitado]]*1.08,0))</f>
        <v>104760</v>
      </c>
    </row>
    <row r="47" spans="1:16">
      <c r="A4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47" s="1" t="str">
        <f>PROPER(TRIM(DadosBrutos[[#This Row],[nome]]))</f>
        <v>Arya Redwyne</v>
      </c>
      <c r="C47" s="1" t="str">
        <f>IF(LEN(SUBSTITUTE(SUBSTITUTE(SUBSTITUTE(DadosBrutos[[#This Row],[cpf]],".",""),"-","")," ",""))=11,DadosBrutos[[#This Row],[cpf]],"-")</f>
        <v>000.000.333-00</v>
      </c>
      <c r="D4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21</v>
      </c>
      <c r="E47" s="45">
        <f>IF(DadosBrutos[[#This Row],[data_nascimento]]="","-",DadosBrutos[[#This Row],[data_nascimento]])</f>
        <v>38323</v>
      </c>
      <c r="F47" s="1" t="str">
        <f>IF(ISNUMBER(SEARCH("|",DadosBrutos[[#This Row],[cidade]])),TRIM(LEFT(DadosBrutos[[#This Row],[cidade]],SEARCH("|",DadosBrutos[[#This Row],[cidade]])-1)),TRIM(DadosBrutos[[#This Row],[cidade]]))</f>
        <v>Correrrio</v>
      </c>
      <c r="G4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47" s="37">
        <f>IF(DadosBrutos[[#This Row],[renda_mensal]]="","-",IF(ISNUMBER(DadosBrutos[[#This Row],[renda_mensal]]),DadosBrutos[[#This Row],[renda_mensal]],IFERROR(VALUE(SUBSTITUTE(DadosBrutos[[#This Row],[renda_mensal]]," moedas","")),"-")))</f>
        <v>3800</v>
      </c>
      <c r="I47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4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47" s="1">
        <f>IF(DadosBrutos[[#This Row],[qtde_batalhas]]="","-",IF(ISNUMBER(DadosBrutos[[#This Row],[qtde_batalhas]]),DadosBrutos[[#This Row],[qtde_batalhas]],IFERROR(VALUE(SUBSTITUTE(DadosBrutos[[#This Row],[qtde_batalhas]]," batalhas","")),"-")))</f>
        <v>25</v>
      </c>
      <c r="L47" s="1" t="str">
        <f>IF(DadosL[[#This Row],[qtde_batalhas]]="-","-",IF(DadosL[[#This Row],[qtde_batalhas]]&lt;=10,"Baixo",IF(DadosL[[#This Row],[qtde_batalhas]]&lt;=25,"Médio","Alto")))</f>
        <v>Médio</v>
      </c>
      <c r="M4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50000</v>
      </c>
      <c r="N47" s="1" t="str">
        <f>IF(AND(DadosL[[#This Row],[nivel_risco]]="Alto",DadosL[[#This Row],[flag_inadimplente]]="Sim"),"Negado","Aprovado")</f>
        <v>Aprovado</v>
      </c>
      <c r="O47" s="1" t="str">
        <f>IF(AND(ISNUMBER(DadosL[[#This Row],[credito_tomado]]),DadosL[[#This Row],[credito_tomado]]&gt;50000,DadosL[[#This Row],[flag_inadimplente]]="Sim"),"Negado","Aprovado")</f>
        <v>Aprovado</v>
      </c>
      <c r="P47" s="46">
        <f>IF(OR(DadosL[[#This Row],[Analise_Risco]]="Negado",DadosL[[#This Row],[Analise_Credito]]="Negado"),0,IF(DadosL[[#This Row],[status]]="Ativo",DadosL[[#This Row],[valor_solicitado]]*1.08,0))</f>
        <v>54000</v>
      </c>
    </row>
    <row r="48" spans="1:16">
      <c r="A4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48" s="1" t="str">
        <f>PROPER(TRIM(DadosBrutos[[#This Row],[nome]]))</f>
        <v>Varys Bracken</v>
      </c>
      <c r="C48" s="1" t="str">
        <f>IF(LEN(SUBSTITUTE(SUBSTITUTE(SUBSTITUTE(DadosBrutos[[#This Row],[cpf]],".",""),"-","")," ",""))=11,DadosBrutos[[#This Row],[cpf]],"-")</f>
        <v>000.000.215-00</v>
      </c>
      <c r="D4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28</v>
      </c>
      <c r="E48" s="45">
        <f>IF(DadosBrutos[[#This Row],[data_nascimento]]="","-",DadosBrutos[[#This Row],[data_nascimento]])</f>
        <v>35887</v>
      </c>
      <c r="F48" s="1" t="str">
        <f>IF(ISNUMBER(SEARCH("|",DadosBrutos[[#This Row],[cidade]])),TRIM(LEFT(DadosBrutos[[#This Row],[cidade]],SEARCH("|",DadosBrutos[[#This Row],[cidade]])-1)),TRIM(DadosBrutos[[#This Row],[cidade]]))</f>
        <v>Porto Real</v>
      </c>
      <c r="G4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48" s="37">
        <f>IF(DadosBrutos[[#This Row],[renda_mensal]]="","-",IF(ISNUMBER(DadosBrutos[[#This Row],[renda_mensal]]),DadosBrutos[[#This Row],[renda_mensal]],IFERROR(VALUE(SUBSTITUTE(DadosBrutos[[#This Row],[renda_mensal]]," moedas","")),"-")))</f>
        <v>2000</v>
      </c>
      <c r="I48" s="37">
        <f>IF(DadosBrutos[[#This Row],[credito_tomado]]="","-",IF(ISNUMBER(DadosBrutos[[#This Row],[credito_tomado]]),DadosBrutos[[#This Row],[credito_tomado]],IFERROR(VALUE(SUBSTITUTE(DadosBrutos[[#This Row],[credito_tomado]]," moedas","")),"-")))</f>
        <v>51000</v>
      </c>
      <c r="J4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48" s="1">
        <f>IF(DadosBrutos[[#This Row],[qtde_batalhas]]="","-",IF(ISNUMBER(DadosBrutos[[#This Row],[qtde_batalhas]]),DadosBrutos[[#This Row],[qtde_batalhas]],IFERROR(VALUE(SUBSTITUTE(DadosBrutos[[#This Row],[qtde_batalhas]]," batalhas","")),"-")))</f>
        <v>12</v>
      </c>
      <c r="L48" s="1" t="str">
        <f>IF(DadosL[[#This Row],[qtde_batalhas]]="-","-",IF(DadosL[[#This Row],[qtde_batalhas]]&lt;=10,"Baixo",IF(DadosL[[#This Row],[qtde_batalhas]]&lt;=25,"Médio","Alto")))</f>
        <v>Médio</v>
      </c>
      <c r="M4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72500</v>
      </c>
      <c r="N48" s="1" t="str">
        <f>IF(AND(DadosL[[#This Row],[nivel_risco]]="Alto",DadosL[[#This Row],[flag_inadimplente]]="Sim"),"Negado","Aprovado")</f>
        <v>Aprovado</v>
      </c>
      <c r="O48" s="1" t="str">
        <f>IF(AND(ISNUMBER(DadosL[[#This Row],[credito_tomado]]),DadosL[[#This Row],[credito_tomado]]&gt;50000,DadosL[[#This Row],[flag_inadimplente]]="Sim"),"Negado","Aprovado")</f>
        <v>Aprovado</v>
      </c>
      <c r="P48" s="46">
        <f>IF(OR(DadosL[[#This Row],[Analise_Risco]]="Negado",DadosL[[#This Row],[Analise_Credito]]="Negado"),0,IF(DadosL[[#This Row],[status]]="Ativo",DadosL[[#This Row],[valor_solicitado]]*1.08,0))</f>
        <v>78300</v>
      </c>
    </row>
    <row r="49" spans="1:16">
      <c r="A4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49" s="1" t="str">
        <f>PROPER(TRIM(DadosBrutos[[#This Row],[nome]]))</f>
        <v>Brienne Royce</v>
      </c>
      <c r="C49" s="1" t="str">
        <f>IF(LEN(SUBSTITUTE(SUBSTITUTE(SUBSTITUTE(DadosBrutos[[#This Row],[cpf]],".",""),"-","")," ",""))=11,DadosBrutos[[#This Row],[cpf]],"-")</f>
        <v>-</v>
      </c>
      <c r="D4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39</v>
      </c>
      <c r="E49" s="45">
        <f>IF(DadosBrutos[[#This Row],[data_nascimento]]="","-",DadosBrutos[[#This Row],[data_nascimento]])</f>
        <v>31766</v>
      </c>
      <c r="F49" s="1" t="str">
        <f>IF(ISNUMBER(SEARCH("|",DadosBrutos[[#This Row],[cidade]])),TRIM(LEFT(DadosBrutos[[#This Row],[cidade]],SEARCH("|",DadosBrutos[[#This Row],[cidade]])-1)),TRIM(DadosBrutos[[#This Row],[cidade]]))</f>
        <v>Vilavelha</v>
      </c>
      <c r="G4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49" s="37">
        <f>IF(DadosBrutos[[#This Row],[renda_mensal]]="","-",IF(ISNUMBER(DadosBrutos[[#This Row],[renda_mensal]]),DadosBrutos[[#This Row],[renda_mensal]],IFERROR(VALUE(SUBSTITUTE(DadosBrutos[[#This Row],[renda_mensal]]," moedas","")),"-")))</f>
        <v>24700</v>
      </c>
      <c r="I49" s="37">
        <f>IF(DadosBrutos[[#This Row],[credito_tomado]]="","-",IF(ISNUMBER(DadosBrutos[[#This Row],[credito_tomado]]),DadosBrutos[[#This Row],[credito_tomado]],IFERROR(VALUE(SUBSTITUTE(DadosBrutos[[#This Row],[credito_tomado]]," moedas","")),"-")))</f>
        <v>23500</v>
      </c>
      <c r="J4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49" s="1">
        <f>IF(DadosBrutos[[#This Row],[qtde_batalhas]]="","-",IF(ISNUMBER(DadosBrutos[[#This Row],[qtde_batalhas]]),DadosBrutos[[#This Row],[qtde_batalhas]],IFERROR(VALUE(SUBSTITUTE(DadosBrutos[[#This Row],[qtde_batalhas]]," batalhas","")),"-")))</f>
        <v>43</v>
      </c>
      <c r="L49" s="1" t="str">
        <f>IF(DadosL[[#This Row],[qtde_batalhas]]="-","-",IF(DadosL[[#This Row],[qtde_batalhas]]&lt;=10,"Baixo",IF(DadosL[[#This Row],[qtde_batalhas]]&lt;=25,"Médio","Alto")))</f>
        <v>Alto</v>
      </c>
      <c r="M4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57000</v>
      </c>
      <c r="N49" s="1" t="str">
        <f>IF(AND(DadosL[[#This Row],[nivel_risco]]="Alto",DadosL[[#This Row],[flag_inadimplente]]="Sim"),"Negado","Aprovado")</f>
        <v>Aprovado</v>
      </c>
      <c r="O49" s="1" t="str">
        <f>IF(AND(ISNUMBER(DadosL[[#This Row],[credito_tomado]]),DadosL[[#This Row],[credito_tomado]]&gt;50000,DadosL[[#This Row],[flag_inadimplente]]="Sim"),"Negado","Aprovado")</f>
        <v>Aprovado</v>
      </c>
      <c r="P49" s="46">
        <f>IF(OR(DadosL[[#This Row],[Analise_Risco]]="Negado",DadosL[[#This Row],[Analise_Credito]]="Negado"),0,IF(DadosL[[#This Row],[status]]="Ativo",DadosL[[#This Row],[valor_solicitado]]*1.08,0))</f>
        <v>61560.000000000007</v>
      </c>
    </row>
    <row r="50" spans="1:16">
      <c r="A5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50" s="1" t="str">
        <f>PROPER(TRIM(DadosBrutos[[#This Row],[nome]]))</f>
        <v>Rickon Redwyne</v>
      </c>
      <c r="C50" s="1" t="str">
        <f>IF(LEN(SUBSTITUTE(SUBSTITUTE(SUBSTITUTE(DadosBrutos[[#This Row],[cpf]],".",""),"-","")," ",""))=11,DadosBrutos[[#This Row],[cpf]],"-")</f>
        <v>-</v>
      </c>
      <c r="D5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73</v>
      </c>
      <c r="E50" s="45">
        <f>IF(DadosBrutos[[#This Row],[data_nascimento]]="","-",DadosBrutos[[#This Row],[data_nascimento]])</f>
        <v>19588</v>
      </c>
      <c r="F50" s="1" t="str">
        <f>IF(ISNUMBER(SEARCH("|",DadosBrutos[[#This Row],[cidade]])),TRIM(LEFT(DadosBrutos[[#This Row],[cidade]],SEARCH("|",DadosBrutos[[#This Row],[cidade]])-1)),TRIM(DadosBrutos[[#This Row],[cidade]]))</f>
        <v>Fosso Cailin</v>
      </c>
      <c r="G5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50" s="37">
        <f>IF(DadosBrutos[[#This Row],[renda_mensal]]="","-",IF(ISNUMBER(DadosBrutos[[#This Row],[renda_mensal]]),DadosBrutos[[#This Row],[renda_mensal]],IFERROR(VALUE(SUBSTITUTE(DadosBrutos[[#This Row],[renda_mensal]]," moedas","")),"-")))</f>
        <v>28600</v>
      </c>
      <c r="I50" s="37">
        <f>IF(DadosBrutos[[#This Row],[credito_tomado]]="","-",IF(ISNUMBER(DadosBrutos[[#This Row],[credito_tomado]]),DadosBrutos[[#This Row],[credito_tomado]],IFERROR(VALUE(SUBSTITUTE(DadosBrutos[[#This Row],[credito_tomado]]," moedas","")),"-")))</f>
        <v>40500</v>
      </c>
      <c r="J5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50" s="1">
        <f>IF(DadosBrutos[[#This Row],[qtde_batalhas]]="","-",IF(ISNUMBER(DadosBrutos[[#This Row],[qtde_batalhas]]),DadosBrutos[[#This Row],[qtde_batalhas]],IFERROR(VALUE(SUBSTITUTE(DadosBrutos[[#This Row],[qtde_batalhas]]," batalhas","")),"-")))</f>
        <v>20</v>
      </c>
      <c r="L50" s="1" t="str">
        <f>IF(DadosL[[#This Row],[qtde_batalhas]]="-","-",IF(DadosL[[#This Row],[qtde_batalhas]]&lt;=10,"Baixo",IF(DadosL[[#This Row],[qtde_batalhas]]&lt;=25,"Médio","Alto")))</f>
        <v>Médio</v>
      </c>
      <c r="M5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2500</v>
      </c>
      <c r="N50" s="1" t="str">
        <f>IF(AND(DadosL[[#This Row],[nivel_risco]]="Alto",DadosL[[#This Row],[flag_inadimplente]]="Sim"),"Negado","Aprovado")</f>
        <v>Aprovado</v>
      </c>
      <c r="O50" s="1" t="str">
        <f>IF(AND(ISNUMBER(DadosL[[#This Row],[credito_tomado]]),DadosL[[#This Row],[credito_tomado]]&gt;50000,DadosL[[#This Row],[flag_inadimplente]]="Sim"),"Negado","Aprovado")</f>
        <v>Aprovado</v>
      </c>
      <c r="P50" s="46">
        <f>IF(OR(DadosL[[#This Row],[Analise_Risco]]="Negado",DadosL[[#This Row],[Analise_Credito]]="Negado"),0,IF(DadosL[[#This Row],[status]]="Ativo",DadosL[[#This Row],[valor_solicitado]]*1.08,0))</f>
        <v>2700</v>
      </c>
    </row>
    <row r="51" spans="1:16">
      <c r="A5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51" s="1" t="str">
        <f>PROPER(TRIM(DadosBrutos[[#This Row],[nome]]))</f>
        <v>Tormund Karstark</v>
      </c>
      <c r="C51" s="1" t="str">
        <f>IF(LEN(SUBSTITUTE(SUBSTITUTE(SUBSTITUTE(DadosBrutos[[#This Row],[cpf]],".",""),"-","")," ",""))=11,DadosBrutos[[#This Row],[cpf]],"-")</f>
        <v>000.000.284-00</v>
      </c>
      <c r="D5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42</v>
      </c>
      <c r="E51" s="45">
        <f>IF(DadosBrutos[[#This Row],[data_nascimento]]="","-",DadosBrutos[[#This Row],[data_nascimento]])</f>
        <v>30662</v>
      </c>
      <c r="F51" s="1" t="str">
        <f>IF(ISNUMBER(SEARCH("|",DadosBrutos[[#This Row],[cidade]])),TRIM(LEFT(DadosBrutos[[#This Row],[cidade]],SEARCH("|",DadosBrutos[[#This Row],[cidade]])-1)),TRIM(DadosBrutos[[#This Row],[cidade]]))</f>
        <v>Castelo Negro</v>
      </c>
      <c r="G5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51" s="37">
        <f>IF(DadosBrutos[[#This Row],[renda_mensal]]="","-",IF(ISNUMBER(DadosBrutos[[#This Row],[renda_mensal]]),DadosBrutos[[#This Row],[renda_mensal]],IFERROR(VALUE(SUBSTITUTE(DadosBrutos[[#This Row],[renda_mensal]]," moedas","")),"-")))</f>
        <v>20400</v>
      </c>
      <c r="I51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5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51" s="1">
        <f>IF(DadosBrutos[[#This Row],[qtde_batalhas]]="","-",IF(ISNUMBER(DadosBrutos[[#This Row],[qtde_batalhas]]),DadosBrutos[[#This Row],[qtde_batalhas]],IFERROR(VALUE(SUBSTITUTE(DadosBrutos[[#This Row],[qtde_batalhas]]," batalhas","")),"-")))</f>
        <v>0</v>
      </c>
      <c r="L51" s="1" t="str">
        <f>IF(DadosL[[#This Row],[qtde_batalhas]]="-","-",IF(DadosL[[#This Row],[qtde_batalhas]]&lt;=10,"Baixo",IF(DadosL[[#This Row],[qtde_batalhas]]&lt;=25,"Médio","Alto")))</f>
        <v>Baixo</v>
      </c>
      <c r="M5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81000</v>
      </c>
      <c r="N51" s="1" t="str">
        <f>IF(AND(DadosL[[#This Row],[nivel_risco]]="Alto",DadosL[[#This Row],[flag_inadimplente]]="Sim"),"Negado","Aprovado")</f>
        <v>Aprovado</v>
      </c>
      <c r="O51" s="1" t="str">
        <f>IF(AND(ISNUMBER(DadosL[[#This Row],[credito_tomado]]),DadosL[[#This Row],[credito_tomado]]&gt;50000,DadosL[[#This Row],[flag_inadimplente]]="Sim"),"Negado","Aprovado")</f>
        <v>Aprovado</v>
      </c>
      <c r="P51" s="46">
        <f>IF(OR(DadosL[[#This Row],[Analise_Risco]]="Negado",DadosL[[#This Row],[Analise_Credito]]="Negado"),0,IF(DadosL[[#This Row],[status]]="Ativo",DadosL[[#This Row],[valor_solicitado]]*1.08,0))</f>
        <v>87480</v>
      </c>
    </row>
    <row r="52" spans="1:16">
      <c r="A5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52" s="1" t="str">
        <f>PROPER(TRIM(DadosBrutos[[#This Row],[nome]]))</f>
        <v>Bran Dayne</v>
      </c>
      <c r="C52" s="1" t="str">
        <f>IF(LEN(SUBSTITUTE(SUBSTITUTE(SUBSTITUTE(DadosBrutos[[#This Row],[cpf]],".",""),"-","")," ",""))=11,DadosBrutos[[#This Row],[cpf]],"-")</f>
        <v>000.000.288-00</v>
      </c>
      <c r="D5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48</v>
      </c>
      <c r="E52" s="45">
        <f>IF(DadosBrutos[[#This Row],[data_nascimento]]="","-",DadosBrutos[[#This Row],[data_nascimento]])</f>
        <v>28430</v>
      </c>
      <c r="F52" s="1" t="str">
        <f>IF(ISNUMBER(SEARCH("|",DadosBrutos[[#This Row],[cidade]])),TRIM(LEFT(DadosBrutos[[#This Row],[cidade]],SEARCH("|",DadosBrutos[[#This Row],[cidade]])-1)),TRIM(DadosBrutos[[#This Row],[cidade]]))</f>
        <v>Pyke</v>
      </c>
      <c r="G5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52" s="37">
        <f>IF(DadosBrutos[[#This Row],[renda_mensal]]="","-",IF(ISNUMBER(DadosBrutos[[#This Row],[renda_mensal]]),DadosBrutos[[#This Row],[renda_mensal]],IFERROR(VALUE(SUBSTITUTE(DadosBrutos[[#This Row],[renda_mensal]]," moedas","")),"-")))</f>
        <v>4500</v>
      </c>
      <c r="I52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5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52" s="1">
        <f>IF(DadosBrutos[[#This Row],[qtde_batalhas]]="","-",IF(ISNUMBER(DadosBrutos[[#This Row],[qtde_batalhas]]),DadosBrutos[[#This Row],[qtde_batalhas]],IFERROR(VALUE(SUBSTITUTE(DadosBrutos[[#This Row],[qtde_batalhas]]," batalhas","")),"-")))</f>
        <v>3</v>
      </c>
      <c r="L52" s="1" t="str">
        <f>IF(DadosL[[#This Row],[qtde_batalhas]]="-","-",IF(DadosL[[#This Row],[qtde_batalhas]]&lt;=10,"Baixo",IF(DadosL[[#This Row],[qtde_batalhas]]&lt;=25,"Médio","Alto")))</f>
        <v>Baixo</v>
      </c>
      <c r="M5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48500</v>
      </c>
      <c r="N52" s="1" t="str">
        <f>IF(AND(DadosL[[#This Row],[nivel_risco]]="Alto",DadosL[[#This Row],[flag_inadimplente]]="Sim"),"Negado","Aprovado")</f>
        <v>Aprovado</v>
      </c>
      <c r="O52" s="1" t="str">
        <f>IF(AND(ISNUMBER(DadosL[[#This Row],[credito_tomado]]),DadosL[[#This Row],[credito_tomado]]&gt;50000,DadosL[[#This Row],[flag_inadimplente]]="Sim"),"Negado","Aprovado")</f>
        <v>Aprovado</v>
      </c>
      <c r="P52" s="46">
        <f>IF(OR(DadosL[[#This Row],[Analise_Risco]]="Negado",DadosL[[#This Row],[Analise_Credito]]="Negado"),0,IF(DadosL[[#This Row],[status]]="Ativo",DadosL[[#This Row],[valor_solicitado]]*1.08,0))</f>
        <v>52380</v>
      </c>
    </row>
    <row r="53" spans="1:16">
      <c r="A5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53" s="1" t="str">
        <f>PROPER(TRIM(DadosBrutos[[#This Row],[nome]]))</f>
        <v>Jorah Dondarrion</v>
      </c>
      <c r="C53" s="1" t="str">
        <f>IF(LEN(SUBSTITUTE(SUBSTITUTE(SUBSTITUTE(DadosBrutos[[#This Row],[cpf]],".",""),"-","")," ",""))=11,DadosBrutos[[#This Row],[cpf]],"-")</f>
        <v>000.000.294-00</v>
      </c>
      <c r="D5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39</v>
      </c>
      <c r="E53" s="45">
        <f>IF(DadosBrutos[[#This Row],[data_nascimento]]="","-",DadosBrutos[[#This Row],[data_nascimento]])</f>
        <v>31693</v>
      </c>
      <c r="F53" s="1" t="str">
        <f>IF(ISNUMBER(SEARCH("|",DadosBrutos[[#This Row],[cidade]])),TRIM(LEFT(DadosBrutos[[#This Row],[cidade]],SEARCH("|",DadosBrutos[[#This Row],[cidade]])-1)),TRIM(DadosBrutos[[#This Row],[cidade]]))</f>
        <v>Lannisporto</v>
      </c>
      <c r="G5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53" s="37">
        <f>IF(DadosBrutos[[#This Row],[renda_mensal]]="","-",IF(ISNUMBER(DadosBrutos[[#This Row],[renda_mensal]]),DadosBrutos[[#This Row],[renda_mensal]],IFERROR(VALUE(SUBSTITUTE(DadosBrutos[[#This Row],[renda_mensal]]," moedas","")),"-")))</f>
        <v>22200</v>
      </c>
      <c r="I53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5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53" s="1">
        <f>IF(DadosBrutos[[#This Row],[qtde_batalhas]]="","-",IF(ISNUMBER(DadosBrutos[[#This Row],[qtde_batalhas]]),DadosBrutos[[#This Row],[qtde_batalhas]],IFERROR(VALUE(SUBSTITUTE(DadosBrutos[[#This Row],[qtde_batalhas]]," batalhas","")),"-")))</f>
        <v>3</v>
      </c>
      <c r="L53" s="1" t="str">
        <f>IF(DadosL[[#This Row],[qtde_batalhas]]="-","-",IF(DadosL[[#This Row],[qtde_batalhas]]&lt;=10,"Baixo",IF(DadosL[[#This Row],[qtde_batalhas]]&lt;=25,"Médio","Alto")))</f>
        <v>Baixo</v>
      </c>
      <c r="M5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7000</v>
      </c>
      <c r="N53" s="1" t="str">
        <f>IF(AND(DadosL[[#This Row],[nivel_risco]]="Alto",DadosL[[#This Row],[flag_inadimplente]]="Sim"),"Negado","Aprovado")</f>
        <v>Aprovado</v>
      </c>
      <c r="O53" s="1" t="str">
        <f>IF(AND(ISNUMBER(DadosL[[#This Row],[credito_tomado]]),DadosL[[#This Row],[credito_tomado]]&gt;50000,DadosL[[#This Row],[flag_inadimplente]]="Sim"),"Negado","Aprovado")</f>
        <v>Aprovado</v>
      </c>
      <c r="P53" s="46">
        <f>IF(OR(DadosL[[#This Row],[Analise_Risco]]="Negado",DadosL[[#This Row],[Analise_Credito]]="Negado"),0,IF(DadosL[[#This Row],[status]]="Ativo",DadosL[[#This Row],[valor_solicitado]]*1.08,0))</f>
        <v>0</v>
      </c>
    </row>
    <row r="54" spans="1:16">
      <c r="A5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54" s="1" t="str">
        <f>PROPER(TRIM(DadosBrutos[[#This Row],[nome]]))</f>
        <v>Aegon Frey</v>
      </c>
      <c r="C54" s="1" t="str">
        <f>IF(LEN(SUBSTITUTE(SUBSTITUTE(SUBSTITUTE(DadosBrutos[[#This Row],[cpf]],".",""),"-","")," ",""))=11,DadosBrutos[[#This Row],[cpf]],"-")</f>
        <v>000.000.338-00</v>
      </c>
      <c r="D5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56</v>
      </c>
      <c r="E54" s="45">
        <f>IF(DadosBrutos[[#This Row],[data_nascimento]]="","-",DadosBrutos[[#This Row],[data_nascimento]])</f>
        <v>25525</v>
      </c>
      <c r="F54" s="1" t="str">
        <f>IF(ISNUMBER(SEARCH("|",DadosBrutos[[#This Row],[cidade]])),TRIM(LEFT(DadosBrutos[[#This Row],[cidade]],SEARCH("|",DadosBrutos[[#This Row],[cidade]])-1)),TRIM(DadosBrutos[[#This Row],[cidade]]))</f>
        <v>Dorne</v>
      </c>
      <c r="G5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54" s="37">
        <f>IF(DadosBrutos[[#This Row],[renda_mensal]]="","-",IF(ISNUMBER(DadosBrutos[[#This Row],[renda_mensal]]),DadosBrutos[[#This Row],[renda_mensal]],IFERROR(VALUE(SUBSTITUTE(DadosBrutos[[#This Row],[renda_mensal]]," moedas","")),"-")))</f>
        <v>11100</v>
      </c>
      <c r="I54" s="37">
        <f>IF(DadosBrutos[[#This Row],[credito_tomado]]="","-",IF(ISNUMBER(DadosBrutos[[#This Row],[credito_tomado]]),DadosBrutos[[#This Row],[credito_tomado]],IFERROR(VALUE(SUBSTITUTE(DadosBrutos[[#This Row],[credito_tomado]]," moedas","")),"-")))</f>
        <v>63000</v>
      </c>
      <c r="J5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54" s="1">
        <f>IF(DadosBrutos[[#This Row],[qtde_batalhas]]="","-",IF(ISNUMBER(DadosBrutos[[#This Row],[qtde_batalhas]]),DadosBrutos[[#This Row],[qtde_batalhas]],IFERROR(VALUE(SUBSTITUTE(DadosBrutos[[#This Row],[qtde_batalhas]]," batalhas","")),"-")))</f>
        <v>0</v>
      </c>
      <c r="L54" s="1" t="str">
        <f>IF(DadosL[[#This Row],[qtde_batalhas]]="-","-",IF(DadosL[[#This Row],[qtde_batalhas]]&lt;=10,"Baixo",IF(DadosL[[#This Row],[qtde_batalhas]]&lt;=25,"Médio","Alto")))</f>
        <v>Baixo</v>
      </c>
      <c r="M5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56000</v>
      </c>
      <c r="N54" s="1" t="str">
        <f>IF(AND(DadosL[[#This Row],[nivel_risco]]="Alto",DadosL[[#This Row],[flag_inadimplente]]="Sim"),"Negado","Aprovado")</f>
        <v>Aprovado</v>
      </c>
      <c r="O54" s="1" t="str">
        <f>IF(AND(ISNUMBER(DadosL[[#This Row],[credito_tomado]]),DadosL[[#This Row],[credito_tomado]]&gt;50000,DadosL[[#This Row],[flag_inadimplente]]="Sim"),"Negado","Aprovado")</f>
        <v>Aprovado</v>
      </c>
      <c r="P54" s="46">
        <f>IF(OR(DadosL[[#This Row],[Analise_Risco]]="Negado",DadosL[[#This Row],[Analise_Credito]]="Negado"),0,IF(DadosL[[#This Row],[status]]="Ativo",DadosL[[#This Row],[valor_solicitado]]*1.08,0))</f>
        <v>60480.000000000007</v>
      </c>
    </row>
    <row r="55" spans="1:16">
      <c r="A5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55" s="1" t="str">
        <f>PROPER(TRIM(DadosBrutos[[#This Row],[nome]]))</f>
        <v>Daenerys Snow</v>
      </c>
      <c r="C55" s="1" t="str">
        <f>IF(LEN(SUBSTITUTE(SUBSTITUTE(SUBSTITUTE(DadosBrutos[[#This Row],[cpf]],".",""),"-","")," ",""))=11,DadosBrutos[[#This Row],[cpf]],"-")</f>
        <v>-</v>
      </c>
      <c r="D5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48</v>
      </c>
      <c r="E55" s="45">
        <f>IF(DadosBrutos[[#This Row],[data_nascimento]]="","-",DadosBrutos[[#This Row],[data_nascimento]])</f>
        <v>28681</v>
      </c>
      <c r="F55" s="1" t="str">
        <f>IF(ISNUMBER(SEARCH("|",DadosBrutos[[#This Row],[cidade]])),TRIM(LEFT(DadosBrutos[[#This Row],[cidade]],SEARCH("|",DadosBrutos[[#This Row],[cidade]])-1)),TRIM(DadosBrutos[[#This Row],[cidade]]))</f>
        <v>Dorne</v>
      </c>
      <c r="G5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55" s="37">
        <f>IF(DadosBrutos[[#This Row],[renda_mensal]]="","-",IF(ISNUMBER(DadosBrutos[[#This Row],[renda_mensal]]),DadosBrutos[[#This Row],[renda_mensal]],IFERROR(VALUE(SUBSTITUTE(DadosBrutos[[#This Row],[renda_mensal]]," moedas","")),"-")))</f>
        <v>15800</v>
      </c>
      <c r="I55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5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55" s="1">
        <f>IF(DadosBrutos[[#This Row],[qtde_batalhas]]="","-",IF(ISNUMBER(DadosBrutos[[#This Row],[qtde_batalhas]]),DadosBrutos[[#This Row],[qtde_batalhas]],IFERROR(VALUE(SUBSTITUTE(DadosBrutos[[#This Row],[qtde_batalhas]]," batalhas","")),"-")))</f>
        <v>12</v>
      </c>
      <c r="L55" s="1" t="str">
        <f>IF(DadosL[[#This Row],[qtde_batalhas]]="-","-",IF(DadosL[[#This Row],[qtde_batalhas]]&lt;=10,"Baixo",IF(DadosL[[#This Row],[qtde_batalhas]]&lt;=25,"Médio","Alto")))</f>
        <v>Médio</v>
      </c>
      <c r="M5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69500</v>
      </c>
      <c r="N55" s="1" t="str">
        <f>IF(AND(DadosL[[#This Row],[nivel_risco]]="Alto",DadosL[[#This Row],[flag_inadimplente]]="Sim"),"Negado","Aprovado")</f>
        <v>Aprovado</v>
      </c>
      <c r="O55" s="1" t="str">
        <f>IF(AND(ISNUMBER(DadosL[[#This Row],[credito_tomado]]),DadosL[[#This Row],[credito_tomado]]&gt;50000,DadosL[[#This Row],[flag_inadimplente]]="Sim"),"Negado","Aprovado")</f>
        <v>Aprovado</v>
      </c>
      <c r="P55" s="46">
        <f>IF(OR(DadosL[[#This Row],[Analise_Risco]]="Negado",DadosL[[#This Row],[Analise_Credito]]="Negado"),0,IF(DadosL[[#This Row],[status]]="Ativo",DadosL[[#This Row],[valor_solicitado]]*1.08,0))</f>
        <v>75060</v>
      </c>
    </row>
    <row r="56" spans="1:16">
      <c r="A5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56" s="1" t="str">
        <f>PROPER(TRIM(DadosBrutos[[#This Row],[nome]]))</f>
        <v>Asha Baratheon</v>
      </c>
      <c r="C56" s="1" t="str">
        <f>IF(LEN(SUBSTITUTE(SUBSTITUTE(SUBSTITUTE(DadosBrutos[[#This Row],[cpf]],".",""),"-","")," ",""))=11,DadosBrutos[[#This Row],[cpf]],"-")</f>
        <v>000.000.195-00</v>
      </c>
      <c r="D5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70</v>
      </c>
      <c r="E56" s="45">
        <f>IF(DadosBrutos[[#This Row],[data_nascimento]]="","-",DadosBrutos[[#This Row],[data_nascimento]])</f>
        <v>20570</v>
      </c>
      <c r="F56" s="1" t="str">
        <f>IF(ISNUMBER(SEARCH("|",DadosBrutos[[#This Row],[cidade]])),TRIM(LEFT(DadosBrutos[[#This Row],[cidade]],SEARCH("|",DadosBrutos[[#This Row],[cidade]])-1)),TRIM(DadosBrutos[[#This Row],[cidade]]))</f>
        <v>Braavos</v>
      </c>
      <c r="G5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56" s="37">
        <f>IF(DadosBrutos[[#This Row],[renda_mensal]]="","-",IF(ISNUMBER(DadosBrutos[[#This Row],[renda_mensal]]),DadosBrutos[[#This Row],[renda_mensal]],IFERROR(VALUE(SUBSTITUTE(DadosBrutos[[#This Row],[renda_mensal]]," moedas","")),"-")))</f>
        <v>16300</v>
      </c>
      <c r="I56" s="37">
        <f>IF(DadosBrutos[[#This Row],[credito_tomado]]="","-",IF(ISNUMBER(DadosBrutos[[#This Row],[credito_tomado]]),DadosBrutos[[#This Row],[credito_tomado]],IFERROR(VALUE(SUBSTITUTE(DadosBrutos[[#This Row],[credito_tomado]]," moedas","")),"-")))</f>
        <v>16500</v>
      </c>
      <c r="J5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56" s="1">
        <f>IF(DadosBrutos[[#This Row],[qtde_batalhas]]="","-",IF(ISNUMBER(DadosBrutos[[#This Row],[qtde_batalhas]]),DadosBrutos[[#This Row],[qtde_batalhas]],IFERROR(VALUE(SUBSTITUTE(DadosBrutos[[#This Row],[qtde_batalhas]]," batalhas","")),"-")))</f>
        <v>25</v>
      </c>
      <c r="L56" s="1" t="str">
        <f>IF(DadosL[[#This Row],[qtde_batalhas]]="-","-",IF(DadosL[[#This Row],[qtde_batalhas]]&lt;=10,"Baixo",IF(DadosL[[#This Row],[qtde_batalhas]]&lt;=25,"Médio","Alto")))</f>
        <v>Médio</v>
      </c>
      <c r="M5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65500</v>
      </c>
      <c r="N56" s="1" t="str">
        <f>IF(AND(DadosL[[#This Row],[nivel_risco]]="Alto",DadosL[[#This Row],[flag_inadimplente]]="Sim"),"Negado","Aprovado")</f>
        <v>Aprovado</v>
      </c>
      <c r="O56" s="1" t="str">
        <f>IF(AND(ISNUMBER(DadosL[[#This Row],[credito_tomado]]),DadosL[[#This Row],[credito_tomado]]&gt;50000,DadosL[[#This Row],[flag_inadimplente]]="Sim"),"Negado","Aprovado")</f>
        <v>Aprovado</v>
      </c>
      <c r="P56" s="46">
        <f>IF(OR(DadosL[[#This Row],[Analise_Risco]]="Negado",DadosL[[#This Row],[Analise_Credito]]="Negado"),0,IF(DadosL[[#This Row],[status]]="Ativo",DadosL[[#This Row],[valor_solicitado]]*1.08,0))</f>
        <v>70740</v>
      </c>
    </row>
    <row r="57" spans="1:16">
      <c r="A5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57" s="1" t="str">
        <f>PROPER(TRIM(DadosBrutos[[#This Row],[nome]]))</f>
        <v>Rickon Crakehall</v>
      </c>
      <c r="C57" s="1" t="str">
        <f>IF(LEN(SUBSTITUTE(SUBSTITUTE(SUBSTITUTE(DadosBrutos[[#This Row],[cpf]],".",""),"-","")," ",""))=11,DadosBrutos[[#This Row],[cpf]],"-")</f>
        <v>000.000.066-00</v>
      </c>
      <c r="D5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24</v>
      </c>
      <c r="E57" s="45">
        <f>IF(DadosBrutos[[#This Row],[data_nascimento]]="","-",DadosBrutos[[#This Row],[data_nascimento]])</f>
        <v>37435</v>
      </c>
      <c r="F57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5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57" s="37">
        <f>IF(DadosBrutos[[#This Row],[renda_mensal]]="","-",IF(ISNUMBER(DadosBrutos[[#This Row],[renda_mensal]]),DadosBrutos[[#This Row],[renda_mensal]],IFERROR(VALUE(SUBSTITUTE(DadosBrutos[[#This Row],[renda_mensal]]," moedas","")),"-")))</f>
        <v>6100</v>
      </c>
      <c r="I57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5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57" s="1">
        <f>IF(DadosBrutos[[#This Row],[qtde_batalhas]]="","-",IF(ISNUMBER(DadosBrutos[[#This Row],[qtde_batalhas]]),DadosBrutos[[#This Row],[qtde_batalhas]],IFERROR(VALUE(SUBSTITUTE(DadosBrutos[[#This Row],[qtde_batalhas]]," batalhas","")),"-")))</f>
        <v>15</v>
      </c>
      <c r="L57" s="1" t="str">
        <f>IF(DadosL[[#This Row],[qtde_batalhas]]="-","-",IF(DadosL[[#This Row],[qtde_batalhas]]&lt;=10,"Baixo",IF(DadosL[[#This Row],[qtde_batalhas]]&lt;=25,"Médio","Alto")))</f>
        <v>Médio</v>
      </c>
      <c r="M5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67000</v>
      </c>
      <c r="N57" s="1" t="str">
        <f>IF(AND(DadosL[[#This Row],[nivel_risco]]="Alto",DadosL[[#This Row],[flag_inadimplente]]="Sim"),"Negado","Aprovado")</f>
        <v>Aprovado</v>
      </c>
      <c r="O57" s="1" t="str">
        <f>IF(AND(ISNUMBER(DadosL[[#This Row],[credito_tomado]]),DadosL[[#This Row],[credito_tomado]]&gt;50000,DadosL[[#This Row],[flag_inadimplente]]="Sim"),"Negado","Aprovado")</f>
        <v>Aprovado</v>
      </c>
      <c r="P57" s="46">
        <f>IF(OR(DadosL[[#This Row],[Analise_Risco]]="Negado",DadosL[[#This Row],[Analise_Credito]]="Negado"),0,IF(DadosL[[#This Row],[status]]="Ativo",DadosL[[#This Row],[valor_solicitado]]*1.08,0))</f>
        <v>72360</v>
      </c>
    </row>
    <row r="58" spans="1:16">
      <c r="A5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58" s="1" t="str">
        <f>PROPER(TRIM(DadosBrutos[[#This Row],[nome]]))</f>
        <v>Eddard Mallister</v>
      </c>
      <c r="C58" s="1" t="str">
        <f>IF(LEN(SUBSTITUTE(SUBSTITUTE(SUBSTITUTE(DadosBrutos[[#This Row],[cpf]],".",""),"-","")," ",""))=11,DadosBrutos[[#This Row],[cpf]],"-")</f>
        <v>000.000.309-00</v>
      </c>
      <c r="D5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47</v>
      </c>
      <c r="E58" s="45">
        <f>IF(DadosBrutos[[#This Row],[data_nascimento]]="","-",DadosBrutos[[#This Row],[data_nascimento]])</f>
        <v>28802</v>
      </c>
      <c r="F58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5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58" s="37">
        <f>IF(DadosBrutos[[#This Row],[renda_mensal]]="","-",IF(ISNUMBER(DadosBrutos[[#This Row],[renda_mensal]]),DadosBrutos[[#This Row],[renda_mensal]],IFERROR(VALUE(SUBSTITUTE(DadosBrutos[[#This Row],[renda_mensal]]," moedas","")),"-")))</f>
        <v>22700</v>
      </c>
      <c r="I58" s="37">
        <f>IF(DadosBrutos[[#This Row],[credito_tomado]]="","-",IF(ISNUMBER(DadosBrutos[[#This Row],[credito_tomado]]),DadosBrutos[[#This Row],[credito_tomado]],IFERROR(VALUE(SUBSTITUTE(DadosBrutos[[#This Row],[credito_tomado]]," moedas","")),"-")))</f>
        <v>8500</v>
      </c>
      <c r="J5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-</v>
      </c>
      <c r="K58" s="1">
        <f>IF(DadosBrutos[[#This Row],[qtde_batalhas]]="","-",IF(ISNUMBER(DadosBrutos[[#This Row],[qtde_batalhas]]),DadosBrutos[[#This Row],[qtde_batalhas]],IFERROR(VALUE(SUBSTITUTE(DadosBrutos[[#This Row],[qtde_batalhas]]," batalhas","")),"-")))</f>
        <v>35</v>
      </c>
      <c r="L58" s="1" t="str">
        <f>IF(DadosL[[#This Row],[qtde_batalhas]]="-","-",IF(DadosL[[#This Row],[qtde_batalhas]]&lt;=10,"Baixo",IF(DadosL[[#This Row],[qtde_batalhas]]&lt;=25,"Médio","Alto")))</f>
        <v>Alto</v>
      </c>
      <c r="M5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23500</v>
      </c>
      <c r="N58" s="1" t="str">
        <f>IF(AND(DadosL[[#This Row],[nivel_risco]]="Alto",DadosL[[#This Row],[flag_inadimplente]]="Sim"),"Negado","Aprovado")</f>
        <v>Aprovado</v>
      </c>
      <c r="O58" s="1" t="str">
        <f>IF(AND(ISNUMBER(DadosL[[#This Row],[credito_tomado]]),DadosL[[#This Row],[credito_tomado]]&gt;50000,DadosL[[#This Row],[flag_inadimplente]]="Sim"),"Negado","Aprovado")</f>
        <v>Aprovado</v>
      </c>
      <c r="P58" s="46">
        <f>IF(OR(DadosL[[#This Row],[Analise_Risco]]="Negado",DadosL[[#This Row],[Analise_Credito]]="Negado"),0,IF(DadosL[[#This Row],[status]]="Ativo",DadosL[[#This Row],[valor_solicitado]]*1.08,0))</f>
        <v>25380</v>
      </c>
    </row>
    <row r="59" spans="1:16">
      <c r="A5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59" s="1" t="str">
        <f>PROPER(TRIM(DadosBrutos[[#This Row],[nome]]))</f>
        <v>Daario Clegane</v>
      </c>
      <c r="C59" s="1" t="str">
        <f>IF(LEN(SUBSTITUTE(SUBSTITUTE(SUBSTITUTE(DadosBrutos[[#This Row],[cpf]],".",""),"-","")," ",""))=11,DadosBrutos[[#This Row],[cpf]],"-")</f>
        <v>000.000.270-00</v>
      </c>
      <c r="D5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33</v>
      </c>
      <c r="E59" s="45">
        <f>IF(DadosBrutos[[#This Row],[data_nascimento]]="","-",DadosBrutos[[#This Row],[data_nascimento]])</f>
        <v>33881</v>
      </c>
      <c r="F59" s="1" t="str">
        <f>IF(ISNUMBER(SEARCH("|",DadosBrutos[[#This Row],[cidade]])),TRIM(LEFT(DadosBrutos[[#This Row],[cidade]],SEARCH("|",DadosBrutos[[#This Row],[cidade]])-1)),TRIM(DadosBrutos[[#This Row],[cidade]]))</f>
        <v>Castelo Negro</v>
      </c>
      <c r="G5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59" s="37">
        <f>IF(DadosBrutos[[#This Row],[renda_mensal]]="","-",IF(ISNUMBER(DadosBrutos[[#This Row],[renda_mensal]]),DadosBrutos[[#This Row],[renda_mensal]],IFERROR(VALUE(SUBSTITUTE(DadosBrutos[[#This Row],[renda_mensal]]," moedas","")),"-")))</f>
        <v>29700</v>
      </c>
      <c r="I59" s="37">
        <f>IF(DadosBrutos[[#This Row],[credito_tomado]]="","-",IF(ISNUMBER(DadosBrutos[[#This Row],[credito_tomado]]),DadosBrutos[[#This Row],[credito_tomado]],IFERROR(VALUE(SUBSTITUTE(DadosBrutos[[#This Row],[credito_tomado]]," moedas","")),"-")))</f>
        <v>22000</v>
      </c>
      <c r="J5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59" s="1">
        <f>IF(DadosBrutos[[#This Row],[qtde_batalhas]]="","-",IF(ISNUMBER(DadosBrutos[[#This Row],[qtde_batalhas]]),DadosBrutos[[#This Row],[qtde_batalhas]],IFERROR(VALUE(SUBSTITUTE(DadosBrutos[[#This Row],[qtde_batalhas]]," batalhas","")),"-")))</f>
        <v>38</v>
      </c>
      <c r="L59" s="1" t="str">
        <f>IF(DadosL[[#This Row],[qtde_batalhas]]="-","-",IF(DadosL[[#This Row],[qtde_batalhas]]&lt;=10,"Baixo",IF(DadosL[[#This Row],[qtde_batalhas]]&lt;=25,"Médio","Alto")))</f>
        <v>Alto</v>
      </c>
      <c r="M5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81000</v>
      </c>
      <c r="N59" s="1" t="str">
        <f>IF(AND(DadosL[[#This Row],[nivel_risco]]="Alto",DadosL[[#This Row],[flag_inadimplente]]="Sim"),"Negado","Aprovado")</f>
        <v>Aprovado</v>
      </c>
      <c r="O59" s="1" t="str">
        <f>IF(AND(ISNUMBER(DadosL[[#This Row],[credito_tomado]]),DadosL[[#This Row],[credito_tomado]]&gt;50000,DadosL[[#This Row],[flag_inadimplente]]="Sim"),"Negado","Aprovado")</f>
        <v>Aprovado</v>
      </c>
      <c r="P59" s="46">
        <f>IF(OR(DadosL[[#This Row],[Analise_Risco]]="Negado",DadosL[[#This Row],[Analise_Credito]]="Negado"),0,IF(DadosL[[#This Row],[status]]="Ativo",DadosL[[#This Row],[valor_solicitado]]*1.08,0))</f>
        <v>87480</v>
      </c>
    </row>
    <row r="60" spans="1:16">
      <c r="A6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60" s="1" t="str">
        <f>PROPER(TRIM(DadosBrutos[[#This Row],[nome]]))</f>
        <v>Ellaria Mallister</v>
      </c>
      <c r="C60" s="1" t="str">
        <f>IF(LEN(SUBSTITUTE(SUBSTITUTE(SUBSTITUTE(DadosBrutos[[#This Row],[cpf]],".",""),"-","")," ",""))=11,DadosBrutos[[#This Row],[cpf]],"-")</f>
        <v>000.000.194-00</v>
      </c>
      <c r="D6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38</v>
      </c>
      <c r="E60" s="45">
        <f>IF(DadosBrutos[[#This Row],[data_nascimento]]="","-",DadosBrutos[[#This Row],[data_nascimento]])</f>
        <v>32102</v>
      </c>
      <c r="F60" s="1" t="str">
        <f>IF(ISNUMBER(SEARCH("|",DadosBrutos[[#This Row],[cidade]])),TRIM(LEFT(DadosBrutos[[#This Row],[cidade]],SEARCH("|",DadosBrutos[[#This Row],[cidade]])-1)),TRIM(DadosBrutos[[#This Row],[cidade]]))</f>
        <v>Pyke</v>
      </c>
      <c r="G6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60" s="37">
        <f>IF(DadosBrutos[[#This Row],[renda_mensal]]="","-",IF(ISNUMBER(DadosBrutos[[#This Row],[renda_mensal]]),DadosBrutos[[#This Row],[renda_mensal]],IFERROR(VALUE(SUBSTITUTE(DadosBrutos[[#This Row],[renda_mensal]]," moedas","")),"-")))</f>
        <v>13500</v>
      </c>
      <c r="I60" s="37">
        <f>IF(DadosBrutos[[#This Row],[credito_tomado]]="","-",IF(ISNUMBER(DadosBrutos[[#This Row],[credito_tomado]]),DadosBrutos[[#This Row],[credito_tomado]],IFERROR(VALUE(SUBSTITUTE(DadosBrutos[[#This Row],[credito_tomado]]," moedas","")),"-")))</f>
        <v>24000</v>
      </c>
      <c r="J6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60" s="1">
        <f>IF(DadosBrutos[[#This Row],[qtde_batalhas]]="","-",IF(ISNUMBER(DadosBrutos[[#This Row],[qtde_batalhas]]),DadosBrutos[[#This Row],[qtde_batalhas]],IFERROR(VALUE(SUBSTITUTE(DadosBrutos[[#This Row],[qtde_batalhas]]," batalhas","")),"-")))</f>
        <v>2</v>
      </c>
      <c r="L60" s="1" t="str">
        <f>IF(DadosL[[#This Row],[qtde_batalhas]]="-","-",IF(DadosL[[#This Row],[qtde_batalhas]]&lt;=10,"Baixo",IF(DadosL[[#This Row],[qtde_batalhas]]&lt;=25,"Médio","Alto")))</f>
        <v>Baixo</v>
      </c>
      <c r="M6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17500</v>
      </c>
      <c r="N60" s="1" t="str">
        <f>IF(AND(DadosL[[#This Row],[nivel_risco]]="Alto",DadosL[[#This Row],[flag_inadimplente]]="Sim"),"Negado","Aprovado")</f>
        <v>Aprovado</v>
      </c>
      <c r="O60" s="1" t="str">
        <f>IF(AND(ISNUMBER(DadosL[[#This Row],[credito_tomado]]),DadosL[[#This Row],[credito_tomado]]&gt;50000,DadosL[[#This Row],[flag_inadimplente]]="Sim"),"Negado","Aprovado")</f>
        <v>Aprovado</v>
      </c>
      <c r="P60" s="46">
        <f>IF(OR(DadosL[[#This Row],[Analise_Risco]]="Negado",DadosL[[#This Row],[Analise_Credito]]="Negado"),0,IF(DadosL[[#This Row],[status]]="Ativo",DadosL[[#This Row],[valor_solicitado]]*1.08,0))</f>
        <v>0</v>
      </c>
    </row>
    <row r="61" spans="1:16">
      <c r="A6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61" s="1" t="str">
        <f>PROPER(TRIM(DadosBrutos[[#This Row],[nome]]))</f>
        <v>Stannis  Cerwyn</v>
      </c>
      <c r="C61" s="1" t="str">
        <f>IF(LEN(SUBSTITUTE(SUBSTITUTE(SUBSTITUTE(DadosBrutos[[#This Row],[cpf]],".",""),"-","")," ",""))=11,DadosBrutos[[#This Row],[cpf]],"-")</f>
        <v>-</v>
      </c>
      <c r="D6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35</v>
      </c>
      <c r="E61" s="45">
        <f>IF(DadosBrutos[[#This Row],[data_nascimento]]="","-",DadosBrutos[[#This Row],[data_nascimento]])</f>
        <v>33204</v>
      </c>
      <c r="F61" s="1" t="str">
        <f>IF(ISNUMBER(SEARCH("|",DadosBrutos[[#This Row],[cidade]])),TRIM(LEFT(DadosBrutos[[#This Row],[cidade]],SEARCH("|",DadosBrutos[[#This Row],[cidade]])-1)),TRIM(DadosBrutos[[#This Row],[cidade]]))</f>
        <v>Winterfell</v>
      </c>
      <c r="G6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61" s="37">
        <f>IF(DadosBrutos[[#This Row],[renda_mensal]]="","-",IF(ISNUMBER(DadosBrutos[[#This Row],[renda_mensal]]),DadosBrutos[[#This Row],[renda_mensal]],IFERROR(VALUE(SUBSTITUTE(DadosBrutos[[#This Row],[renda_mensal]]," moedas","")),"-")))</f>
        <v>17600</v>
      </c>
      <c r="I61" s="37">
        <f>IF(DadosBrutos[[#This Row],[credito_tomado]]="","-",IF(ISNUMBER(DadosBrutos[[#This Row],[credito_tomado]]),DadosBrutos[[#This Row],[credito_tomado]],IFERROR(VALUE(SUBSTITUTE(DadosBrutos[[#This Row],[credito_tomado]]," moedas","")),"-")))</f>
        <v>44000</v>
      </c>
      <c r="J6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61" s="1">
        <f>IF(DadosBrutos[[#This Row],[qtde_batalhas]]="","-",IF(ISNUMBER(DadosBrutos[[#This Row],[qtde_batalhas]]),DadosBrutos[[#This Row],[qtde_batalhas]],IFERROR(VALUE(SUBSTITUTE(DadosBrutos[[#This Row],[qtde_batalhas]]," batalhas","")),"-")))</f>
        <v>22</v>
      </c>
      <c r="L61" s="1" t="str">
        <f>IF(DadosL[[#This Row],[qtde_batalhas]]="-","-",IF(DadosL[[#This Row],[qtde_batalhas]]&lt;=10,"Baixo",IF(DadosL[[#This Row],[qtde_batalhas]]&lt;=25,"Médio","Alto")))</f>
        <v>Médio</v>
      </c>
      <c r="M6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56500</v>
      </c>
      <c r="N61" s="1" t="str">
        <f>IF(AND(DadosL[[#This Row],[nivel_risco]]="Alto",DadosL[[#This Row],[flag_inadimplente]]="Sim"),"Negado","Aprovado")</f>
        <v>Aprovado</v>
      </c>
      <c r="O61" s="1" t="str">
        <f>IF(AND(ISNUMBER(DadosL[[#This Row],[credito_tomado]]),DadosL[[#This Row],[credito_tomado]]&gt;50000,DadosL[[#This Row],[flag_inadimplente]]="Sim"),"Negado","Aprovado")</f>
        <v>Aprovado</v>
      </c>
      <c r="P61" s="46">
        <f>IF(OR(DadosL[[#This Row],[Analise_Risco]]="Negado",DadosL[[#This Row],[Analise_Credito]]="Negado"),0,IF(DadosL[[#This Row],[status]]="Ativo",DadosL[[#This Row],[valor_solicitado]]*1.08,0))</f>
        <v>0</v>
      </c>
    </row>
    <row r="62" spans="1:16">
      <c r="A6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62" s="1" t="str">
        <f>PROPER(TRIM(DadosBrutos[[#This Row],[nome]]))</f>
        <v>Ellaria Tarly</v>
      </c>
      <c r="C62" s="1" t="str">
        <f>IF(LEN(SUBSTITUTE(SUBSTITUTE(SUBSTITUTE(DadosBrutos[[#This Row],[cpf]],".",""),"-","")," ",""))=11,DadosBrutos[[#This Row],[cpf]],"-")</f>
        <v>000.000.026-00</v>
      </c>
      <c r="D6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67</v>
      </c>
      <c r="E62" s="45">
        <f>IF(DadosBrutos[[#This Row],[data_nascimento]]="","-",DadosBrutos[[#This Row],[data_nascimento]])</f>
        <v>21512</v>
      </c>
      <c r="F62" s="1" t="str">
        <f>IF(ISNUMBER(SEARCH("|",DadosBrutos[[#This Row],[cidade]])),TRIM(LEFT(DadosBrutos[[#This Row],[cidade]],SEARCH("|",DadosBrutos[[#This Row],[cidade]])-1)),TRIM(DadosBrutos[[#This Row],[cidade]]))</f>
        <v>Braavos</v>
      </c>
      <c r="G6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62" s="37">
        <f>IF(DadosBrutos[[#This Row],[renda_mensal]]="","-",IF(ISNUMBER(DadosBrutos[[#This Row],[renda_mensal]]),DadosBrutos[[#This Row],[renda_mensal]],IFERROR(VALUE(SUBSTITUTE(DadosBrutos[[#This Row],[renda_mensal]]," moedas","")),"-")))</f>
        <v>3200</v>
      </c>
      <c r="I62" s="37">
        <f>IF(DadosBrutos[[#This Row],[credito_tomado]]="","-",IF(ISNUMBER(DadosBrutos[[#This Row],[credito_tomado]]),DadosBrutos[[#This Row],[credito_tomado]],IFERROR(VALUE(SUBSTITUTE(DadosBrutos[[#This Row],[credito_tomado]]," moedas","")),"-")))</f>
        <v>6500</v>
      </c>
      <c r="J6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62" s="1">
        <f>IF(DadosBrutos[[#This Row],[qtde_batalhas]]="","-",IF(ISNUMBER(DadosBrutos[[#This Row],[qtde_batalhas]]),DadosBrutos[[#This Row],[qtde_batalhas]],IFERROR(VALUE(SUBSTITUTE(DadosBrutos[[#This Row],[qtde_batalhas]]," batalhas","")),"-")))</f>
        <v>20</v>
      </c>
      <c r="L62" s="1" t="str">
        <f>IF(DadosL[[#This Row],[qtde_batalhas]]="-","-",IF(DadosL[[#This Row],[qtde_batalhas]]&lt;=10,"Baixo",IF(DadosL[[#This Row],[qtde_batalhas]]&lt;=25,"Médio","Alto")))</f>
        <v>Médio</v>
      </c>
      <c r="M6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52500</v>
      </c>
      <c r="N62" s="1" t="str">
        <f>IF(AND(DadosL[[#This Row],[nivel_risco]]="Alto",DadosL[[#This Row],[flag_inadimplente]]="Sim"),"Negado","Aprovado")</f>
        <v>Aprovado</v>
      </c>
      <c r="O62" s="1" t="str">
        <f>IF(AND(ISNUMBER(DadosL[[#This Row],[credito_tomado]]),DadosL[[#This Row],[credito_tomado]]&gt;50000,DadosL[[#This Row],[flag_inadimplente]]="Sim"),"Negado","Aprovado")</f>
        <v>Aprovado</v>
      </c>
      <c r="P62" s="46">
        <f>IF(OR(DadosL[[#This Row],[Analise_Risco]]="Negado",DadosL[[#This Row],[Analise_Credito]]="Negado"),0,IF(DadosL[[#This Row],[status]]="Ativo",DadosL[[#This Row],[valor_solicitado]]*1.08,0))</f>
        <v>0</v>
      </c>
    </row>
    <row r="63" spans="1:16">
      <c r="A6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63" s="1" t="str">
        <f>PROPER(TRIM(DadosBrutos[[#This Row],[nome]]))</f>
        <v>Daario Tyrell</v>
      </c>
      <c r="C63" s="1" t="str">
        <f>IF(LEN(SUBSTITUTE(SUBSTITUTE(SUBSTITUTE(DadosBrutos[[#This Row],[cpf]],".",""),"-","")," ",""))=11,DadosBrutos[[#This Row],[cpf]],"-")</f>
        <v>000.000.251-00</v>
      </c>
      <c r="D6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51</v>
      </c>
      <c r="E63" s="45">
        <f>IF(DadosBrutos[[#This Row],[data_nascimento]]="","-",DadosBrutos[[#This Row],[data_nascimento]])</f>
        <v>27377</v>
      </c>
      <c r="F63" s="1" t="str">
        <f>IF(ISNUMBER(SEARCH("|",DadosBrutos[[#This Row],[cidade]])),TRIM(LEFT(DadosBrutos[[#This Row],[cidade]],SEARCH("|",DadosBrutos[[#This Row],[cidade]])-1)),TRIM(DadosBrutos[[#This Row],[cidade]]))</f>
        <v>Pyke</v>
      </c>
      <c r="G6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63" s="37">
        <f>IF(DadosBrutos[[#This Row],[renda_mensal]]="","-",IF(ISNUMBER(DadosBrutos[[#This Row],[renda_mensal]]),DadosBrutos[[#This Row],[renda_mensal]],IFERROR(VALUE(SUBSTITUTE(DadosBrutos[[#This Row],[renda_mensal]]," moedas","")),"-")))</f>
        <v>16300</v>
      </c>
      <c r="I63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6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63" s="1">
        <f>IF(DadosBrutos[[#This Row],[qtde_batalhas]]="","-",IF(ISNUMBER(DadosBrutos[[#This Row],[qtde_batalhas]]),DadosBrutos[[#This Row],[qtde_batalhas]],IFERROR(VALUE(SUBSTITUTE(DadosBrutos[[#This Row],[qtde_batalhas]]," batalhas","")),"-")))</f>
        <v>8</v>
      </c>
      <c r="L63" s="1" t="str">
        <f>IF(DadosL[[#This Row],[qtde_batalhas]]="-","-",IF(DadosL[[#This Row],[qtde_batalhas]]&lt;=10,"Baixo",IF(DadosL[[#This Row],[qtde_batalhas]]&lt;=25,"Médio","Alto")))</f>
        <v>Baixo</v>
      </c>
      <c r="M6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33000</v>
      </c>
      <c r="N63" s="1" t="str">
        <f>IF(AND(DadosL[[#This Row],[nivel_risco]]="Alto",DadosL[[#This Row],[flag_inadimplente]]="Sim"),"Negado","Aprovado")</f>
        <v>Aprovado</v>
      </c>
      <c r="O63" s="1" t="str">
        <f>IF(AND(ISNUMBER(DadosL[[#This Row],[credito_tomado]]),DadosL[[#This Row],[credito_tomado]]&gt;50000,DadosL[[#This Row],[flag_inadimplente]]="Sim"),"Negado","Aprovado")</f>
        <v>Aprovado</v>
      </c>
      <c r="P63" s="46">
        <f>IF(OR(DadosL[[#This Row],[Analise_Risco]]="Negado",DadosL[[#This Row],[Analise_Credito]]="Negado"),0,IF(DadosL[[#This Row],[status]]="Ativo",DadosL[[#This Row],[valor_solicitado]]*1.08,0))</f>
        <v>35640</v>
      </c>
    </row>
    <row r="64" spans="1:16">
      <c r="A6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64" s="1" t="str">
        <f>PROPER(TRIM(DadosBrutos[[#This Row],[nome]]))</f>
        <v>Daario Marbrand</v>
      </c>
      <c r="C64" s="1" t="str">
        <f>IF(LEN(SUBSTITUTE(SUBSTITUTE(SUBSTITUTE(DadosBrutos[[#This Row],[cpf]],".",""),"-","")," ",""))=11,DadosBrutos[[#This Row],[cpf]],"-")</f>
        <v>000.000.014-00</v>
      </c>
      <c r="D64" s="15" t="str">
        <f ca="1">IF(DadosBrutos[[#This Row],[idade]]="",IF(DadosBrutos[[#This Row],[data_nascimento]]="","-",YEAR(TODAY())-YEAR(DadosBrutos[[#This Row],[data_nascimento]])),IF(ISNUMBER(DadosBrutos[[#This Row],[idade]]),DadosBrutos[[#This Row],[idade]],"-"))</f>
        <v>-</v>
      </c>
      <c r="E64" s="45">
        <f>IF(DadosBrutos[[#This Row],[data_nascimento]]="","-",DadosBrutos[[#This Row],[data_nascimento]])</f>
        <v>29113</v>
      </c>
      <c r="F64" s="1" t="str">
        <f>IF(ISNUMBER(SEARCH("|",DadosBrutos[[#This Row],[cidade]])),TRIM(LEFT(DadosBrutos[[#This Row],[cidade]],SEARCH("|",DadosBrutos[[#This Row],[cidade]])-1)),TRIM(DadosBrutos[[#This Row],[cidade]]))</f>
        <v>Fosso Cailin</v>
      </c>
      <c r="G6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64" s="37">
        <f>IF(DadosBrutos[[#This Row],[renda_mensal]]="","-",IF(ISNUMBER(DadosBrutos[[#This Row],[renda_mensal]]),DadosBrutos[[#This Row],[renda_mensal]],IFERROR(VALUE(SUBSTITUTE(DadosBrutos[[#This Row],[renda_mensal]]," moedas","")),"-")))</f>
        <v>15000</v>
      </c>
      <c r="I64" s="37">
        <f>IF(DadosBrutos[[#This Row],[credito_tomado]]="","-",IF(ISNUMBER(DadosBrutos[[#This Row],[credito_tomado]]),DadosBrutos[[#This Row],[credito_tomado]],IFERROR(VALUE(SUBSTITUTE(DadosBrutos[[#This Row],[credito_tomado]]," moedas","")),"-")))</f>
        <v>32500</v>
      </c>
      <c r="J6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64" s="1">
        <f>IF(DadosBrutos[[#This Row],[qtde_batalhas]]="","-",IF(ISNUMBER(DadosBrutos[[#This Row],[qtde_batalhas]]),DadosBrutos[[#This Row],[qtde_batalhas]],IFERROR(VALUE(SUBSTITUTE(DadosBrutos[[#This Row],[qtde_batalhas]]," batalhas","")),"-")))</f>
        <v>40</v>
      </c>
      <c r="L64" s="1" t="str">
        <f>IF(DadosL[[#This Row],[qtde_batalhas]]="-","-",IF(DadosL[[#This Row],[qtde_batalhas]]&lt;=10,"Baixo",IF(DadosL[[#This Row],[qtde_batalhas]]&lt;=25,"Médio","Alto")))</f>
        <v>Alto</v>
      </c>
      <c r="M6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4500</v>
      </c>
      <c r="N64" s="1" t="str">
        <f>IF(AND(DadosL[[#This Row],[nivel_risco]]="Alto",DadosL[[#This Row],[flag_inadimplente]]="Sim"),"Negado","Aprovado")</f>
        <v>Aprovado</v>
      </c>
      <c r="O64" s="1" t="str">
        <f>IF(AND(ISNUMBER(DadosL[[#This Row],[credito_tomado]]),DadosL[[#This Row],[credito_tomado]]&gt;50000,DadosL[[#This Row],[flag_inadimplente]]="Sim"),"Negado","Aprovado")</f>
        <v>Aprovado</v>
      </c>
      <c r="P64" s="46">
        <f>IF(OR(DadosL[[#This Row],[Analise_Risco]]="Negado",DadosL[[#This Row],[Analise_Credito]]="Negado"),0,IF(DadosL[[#This Row],[status]]="Ativo",DadosL[[#This Row],[valor_solicitado]]*1.08,0))</f>
        <v>0</v>
      </c>
    </row>
    <row r="65" spans="1:16">
      <c r="A6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65" s="1" t="str">
        <f>PROPER(TRIM(DadosBrutos[[#This Row],[nome]]))</f>
        <v>Thoros Tarth</v>
      </c>
      <c r="C65" s="1" t="str">
        <f>IF(LEN(SUBSTITUTE(SUBSTITUTE(SUBSTITUTE(DadosBrutos[[#This Row],[cpf]],".",""),"-","")," ",""))=11,DadosBrutos[[#This Row],[cpf]],"-")</f>
        <v>-</v>
      </c>
      <c r="D6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39</v>
      </c>
      <c r="E65" s="45">
        <f>IF(DadosBrutos[[#This Row],[data_nascimento]]="","-",DadosBrutos[[#This Row],[data_nascimento]])</f>
        <v>31740</v>
      </c>
      <c r="F65" s="1" t="str">
        <f>IF(ISNUMBER(SEARCH("|",DadosBrutos[[#This Row],[cidade]])),TRIM(LEFT(DadosBrutos[[#This Row],[cidade]],SEARCH("|",DadosBrutos[[#This Row],[cidade]])-1)),TRIM(DadosBrutos[[#This Row],[cidade]]))</f>
        <v>Pyke</v>
      </c>
      <c r="G6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65" s="37">
        <f>IF(DadosBrutos[[#This Row],[renda_mensal]]="","-",IF(ISNUMBER(DadosBrutos[[#This Row],[renda_mensal]]),DadosBrutos[[#This Row],[renda_mensal]],IFERROR(VALUE(SUBSTITUTE(DadosBrutos[[#This Row],[renda_mensal]]," moedas","")),"-")))</f>
        <v>13200</v>
      </c>
      <c r="I65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6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65" s="1">
        <f>IF(DadosBrutos[[#This Row],[qtde_batalhas]]="","-",IF(ISNUMBER(DadosBrutos[[#This Row],[qtde_batalhas]]),DadosBrutos[[#This Row],[qtde_batalhas]],IFERROR(VALUE(SUBSTITUTE(DadosBrutos[[#This Row],[qtde_batalhas]]," batalhas","")),"-")))</f>
        <v>38</v>
      </c>
      <c r="L65" s="1" t="str">
        <f>IF(DadosL[[#This Row],[qtde_batalhas]]="-","-",IF(DadosL[[#This Row],[qtde_batalhas]]&lt;=10,"Baixo",IF(DadosL[[#This Row],[qtde_batalhas]]&lt;=25,"Médio","Alto")))</f>
        <v>Alto</v>
      </c>
      <c r="M6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36000</v>
      </c>
      <c r="N65" s="1" t="str">
        <f>IF(AND(DadosL[[#This Row],[nivel_risco]]="Alto",DadosL[[#This Row],[flag_inadimplente]]="Sim"),"Negado","Aprovado")</f>
        <v>Aprovado</v>
      </c>
      <c r="O65" s="1" t="str">
        <f>IF(AND(ISNUMBER(DadosL[[#This Row],[credito_tomado]]),DadosL[[#This Row],[credito_tomado]]&gt;50000,DadosL[[#This Row],[flag_inadimplente]]="Sim"),"Negado","Aprovado")</f>
        <v>Aprovado</v>
      </c>
      <c r="P65" s="46">
        <f>IF(OR(DadosL[[#This Row],[Analise_Risco]]="Negado",DadosL[[#This Row],[Analise_Credito]]="Negado"),0,IF(DadosL[[#This Row],[status]]="Ativo",DadosL[[#This Row],[valor_solicitado]]*1.08,0))</f>
        <v>38880</v>
      </c>
    </row>
    <row r="66" spans="1:16">
      <c r="A6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66" s="1" t="str">
        <f>PROPER(TRIM(DadosBrutos[[#This Row],[nome]]))</f>
        <v>Arya Marbrand</v>
      </c>
      <c r="C66" s="1" t="str">
        <f>IF(LEN(SUBSTITUTE(SUBSTITUTE(SUBSTITUTE(DadosBrutos[[#This Row],[cpf]],".",""),"-","")," ",""))=11,DadosBrutos[[#This Row],[cpf]],"-")</f>
        <v>000.000.133-00</v>
      </c>
      <c r="D6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24</v>
      </c>
      <c r="E66" s="45">
        <f>IF(DadosBrutos[[#This Row],[data_nascimento]]="","-",DadosBrutos[[#This Row],[data_nascimento]])</f>
        <v>37172</v>
      </c>
      <c r="F66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6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66" s="37">
        <f>IF(DadosBrutos[[#This Row],[renda_mensal]]="","-",IF(ISNUMBER(DadosBrutos[[#This Row],[renda_mensal]]),DadosBrutos[[#This Row],[renda_mensal]],IFERROR(VALUE(SUBSTITUTE(DadosBrutos[[#This Row],[renda_mensal]]," moedas","")),"-")))</f>
        <v>21600</v>
      </c>
      <c r="I66" s="37">
        <f>IF(DadosBrutos[[#This Row],[credito_tomado]]="","-",IF(ISNUMBER(DadosBrutos[[#This Row],[credito_tomado]]),DadosBrutos[[#This Row],[credito_tomado]],IFERROR(VALUE(SUBSTITUTE(DadosBrutos[[#This Row],[credito_tomado]]," moedas","")),"-")))</f>
        <v>25000</v>
      </c>
      <c r="J6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66" s="1">
        <f>IF(DadosBrutos[[#This Row],[qtde_batalhas]]="","-",IF(ISNUMBER(DadosBrutos[[#This Row],[qtde_batalhas]]),DadosBrutos[[#This Row],[qtde_batalhas]],IFERROR(VALUE(SUBSTITUTE(DadosBrutos[[#This Row],[qtde_batalhas]]," batalhas","")),"-")))</f>
        <v>33</v>
      </c>
      <c r="L66" s="1" t="str">
        <f>IF(DadosL[[#This Row],[qtde_batalhas]]="-","-",IF(DadosL[[#This Row],[qtde_batalhas]]&lt;=10,"Baixo",IF(DadosL[[#This Row],[qtde_batalhas]]&lt;=25,"Médio","Alto")))</f>
        <v>Alto</v>
      </c>
      <c r="M6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17500</v>
      </c>
      <c r="N66" s="1" t="str">
        <f>IF(AND(DadosL[[#This Row],[nivel_risco]]="Alto",DadosL[[#This Row],[flag_inadimplente]]="Sim"),"Negado","Aprovado")</f>
        <v>Aprovado</v>
      </c>
      <c r="O66" s="1" t="str">
        <f>IF(AND(ISNUMBER(DadosL[[#This Row],[credito_tomado]]),DadosL[[#This Row],[credito_tomado]]&gt;50000,DadosL[[#This Row],[flag_inadimplente]]="Sim"),"Negado","Aprovado")</f>
        <v>Aprovado</v>
      </c>
      <c r="P66" s="46">
        <f>IF(OR(DadosL[[#This Row],[Analise_Risco]]="Negado",DadosL[[#This Row],[Analise_Credito]]="Negado"),0,IF(DadosL[[#This Row],[status]]="Ativo",DadosL[[#This Row],[valor_solicitado]]*1.08,0))</f>
        <v>18900</v>
      </c>
    </row>
    <row r="67" spans="1:16">
      <c r="A6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67" s="1" t="str">
        <f>PROPER(TRIM(DadosBrutos[[#This Row],[nome]]))</f>
        <v>Davos Tyrell</v>
      </c>
      <c r="C67" s="1" t="str">
        <f>IF(LEN(SUBSTITUTE(SUBSTITUTE(SUBSTITUTE(DadosBrutos[[#This Row],[cpf]],".",""),"-","")," ",""))=11,DadosBrutos[[#This Row],[cpf]],"-")</f>
        <v>-</v>
      </c>
      <c r="D6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57</v>
      </c>
      <c r="E67" s="45" t="str">
        <f>IF(DadosBrutos[[#This Row],[data_nascimento]]="","-",DadosBrutos[[#This Row],[data_nascimento]])</f>
        <v>-</v>
      </c>
      <c r="F67" s="1" t="str">
        <f>IF(ISNUMBER(SEARCH("|",DadosBrutos[[#This Row],[cidade]])),TRIM(LEFT(DadosBrutos[[#This Row],[cidade]],SEARCH("|",DadosBrutos[[#This Row],[cidade]])-1)),TRIM(DadosBrutos[[#This Row],[cidade]]))</f>
        <v>Lannisporto</v>
      </c>
      <c r="G6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67" s="37" t="str">
        <f>IF(DadosBrutos[[#This Row],[renda_mensal]]="","-",IF(ISNUMBER(DadosBrutos[[#This Row],[renda_mensal]]),DadosBrutos[[#This Row],[renda_mensal]],IFERROR(VALUE(SUBSTITUTE(DadosBrutos[[#This Row],[renda_mensal]]," moedas","")),"-")))</f>
        <v>-</v>
      </c>
      <c r="I67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6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67" s="1">
        <f>IF(DadosBrutos[[#This Row],[qtde_batalhas]]="","-",IF(ISNUMBER(DadosBrutos[[#This Row],[qtde_batalhas]]),DadosBrutos[[#This Row],[qtde_batalhas]],IFERROR(VALUE(SUBSTITUTE(DadosBrutos[[#This Row],[qtde_batalhas]]," batalhas","")),"-")))</f>
        <v>28</v>
      </c>
      <c r="L67" s="1" t="str">
        <f>IF(DadosL[[#This Row],[qtde_batalhas]]="-","-",IF(DadosL[[#This Row],[qtde_batalhas]]&lt;=10,"Baixo",IF(DadosL[[#This Row],[qtde_batalhas]]&lt;=25,"Médio","Alto")))</f>
        <v>Alto</v>
      </c>
      <c r="M6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13000</v>
      </c>
      <c r="N67" s="1" t="str">
        <f>IF(AND(DadosL[[#This Row],[nivel_risco]]="Alto",DadosL[[#This Row],[flag_inadimplente]]="Sim"),"Negado","Aprovado")</f>
        <v>Negado</v>
      </c>
      <c r="O67" s="1" t="str">
        <f>IF(AND(ISNUMBER(DadosL[[#This Row],[credito_tomado]]),DadosL[[#This Row],[credito_tomado]]&gt;50000,DadosL[[#This Row],[flag_inadimplente]]="Sim"),"Negado","Aprovado")</f>
        <v>Aprovado</v>
      </c>
      <c r="P67" s="46">
        <f>IF(OR(DadosL[[#This Row],[Analise_Risco]]="Negado",DadosL[[#This Row],[Analise_Credito]]="Negado"),0,IF(DadosL[[#This Row],[status]]="Ativo",DadosL[[#This Row],[valor_solicitado]]*1.08,0))</f>
        <v>0</v>
      </c>
    </row>
    <row r="68" spans="1:16">
      <c r="A6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68" s="1" t="str">
        <f>PROPER(TRIM(DadosBrutos[[#This Row],[nome]]))</f>
        <v>Lyanna Florent</v>
      </c>
      <c r="C68" s="1" t="str">
        <f>IF(LEN(SUBSTITUTE(SUBSTITUTE(SUBSTITUTE(DadosBrutos[[#This Row],[cpf]],".",""),"-","")," ",""))=11,DadosBrutos[[#This Row],[cpf]],"-")</f>
        <v>-</v>
      </c>
      <c r="D6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68</v>
      </c>
      <c r="E68" s="45" t="str">
        <f>IF(DadosBrutos[[#This Row],[data_nascimento]]="","-",DadosBrutos[[#This Row],[data_nascimento]])</f>
        <v>-</v>
      </c>
      <c r="F68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6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68" s="37">
        <f>IF(DadosBrutos[[#This Row],[renda_mensal]]="","-",IF(ISNUMBER(DadosBrutos[[#This Row],[renda_mensal]]),DadosBrutos[[#This Row],[renda_mensal]],IFERROR(VALUE(SUBSTITUTE(DadosBrutos[[#This Row],[renda_mensal]]," moedas","")),"-")))</f>
        <v>19900</v>
      </c>
      <c r="I68" s="37">
        <f>IF(DadosBrutos[[#This Row],[credito_tomado]]="","-",IF(ISNUMBER(DadosBrutos[[#This Row],[credito_tomado]]),DadosBrutos[[#This Row],[credito_tomado]],IFERROR(VALUE(SUBSTITUTE(DadosBrutos[[#This Row],[credito_tomado]]," moedas","")),"-")))</f>
        <v>35000</v>
      </c>
      <c r="J6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68" s="1">
        <f>IF(DadosBrutos[[#This Row],[qtde_batalhas]]="","-",IF(ISNUMBER(DadosBrutos[[#This Row],[qtde_batalhas]]),DadosBrutos[[#This Row],[qtde_batalhas]],IFERROR(VALUE(SUBSTITUTE(DadosBrutos[[#This Row],[qtde_batalhas]]," batalhas","")),"-")))</f>
        <v>25</v>
      </c>
      <c r="L68" s="1" t="str">
        <f>IF(DadosL[[#This Row],[qtde_batalhas]]="-","-",IF(DadosL[[#This Row],[qtde_batalhas]]&lt;=10,"Baixo",IF(DadosL[[#This Row],[qtde_batalhas]]&lt;=25,"Médio","Alto")))</f>
        <v>Médio</v>
      </c>
      <c r="M6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59500</v>
      </c>
      <c r="N68" s="1" t="str">
        <f>IF(AND(DadosL[[#This Row],[nivel_risco]]="Alto",DadosL[[#This Row],[flag_inadimplente]]="Sim"),"Negado","Aprovado")</f>
        <v>Aprovado</v>
      </c>
      <c r="O68" s="1" t="str">
        <f>IF(AND(ISNUMBER(DadosL[[#This Row],[credito_tomado]]),DadosL[[#This Row],[credito_tomado]]&gt;50000,DadosL[[#This Row],[flag_inadimplente]]="Sim"),"Negado","Aprovado")</f>
        <v>Aprovado</v>
      </c>
      <c r="P68" s="46">
        <f>IF(OR(DadosL[[#This Row],[Analise_Risco]]="Negado",DadosL[[#This Row],[Analise_Credito]]="Negado"),0,IF(DadosL[[#This Row],[status]]="Ativo",DadosL[[#This Row],[valor_solicitado]]*1.08,0))</f>
        <v>64260.000000000007</v>
      </c>
    </row>
    <row r="69" spans="1:16">
      <c r="A6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69" s="1" t="str">
        <f>PROPER(TRIM(DadosBrutos[[#This Row],[nome]]))</f>
        <v>Varys Bolton</v>
      </c>
      <c r="C69" s="1" t="str">
        <f>IF(LEN(SUBSTITUTE(SUBSTITUTE(SUBSTITUTE(DadosBrutos[[#This Row],[cpf]],".",""),"-","")," ",""))=11,DadosBrutos[[#This Row],[cpf]],"-")</f>
        <v>-</v>
      </c>
      <c r="D6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56</v>
      </c>
      <c r="E69" s="45">
        <f>IF(DadosBrutos[[#This Row],[data_nascimento]]="","-",DadosBrutos[[#This Row],[data_nascimento]])</f>
        <v>25710</v>
      </c>
      <c r="F69" s="1" t="str">
        <f>IF(ISNUMBER(SEARCH("|",DadosBrutos[[#This Row],[cidade]])),TRIM(LEFT(DadosBrutos[[#This Row],[cidade]],SEARCH("|",DadosBrutos[[#This Row],[cidade]])-1)),TRIM(DadosBrutos[[#This Row],[cidade]]))</f>
        <v>Fosso Cailin</v>
      </c>
      <c r="G6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69" s="37">
        <f>IF(DadosBrutos[[#This Row],[renda_mensal]]="","-",IF(ISNUMBER(DadosBrutos[[#This Row],[renda_mensal]]),DadosBrutos[[#This Row],[renda_mensal]],IFERROR(VALUE(SUBSTITUTE(DadosBrutos[[#This Row],[renda_mensal]]," moedas","")),"-")))</f>
        <v>14100</v>
      </c>
      <c r="I69" s="37">
        <f>IF(DadosBrutos[[#This Row],[credito_tomado]]="","-",IF(ISNUMBER(DadosBrutos[[#This Row],[credito_tomado]]),DadosBrutos[[#This Row],[credito_tomado]],IFERROR(VALUE(SUBSTITUTE(DadosBrutos[[#This Row],[credito_tomado]]," moedas","")),"-")))</f>
        <v>1500</v>
      </c>
      <c r="J6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69" s="1">
        <f>IF(DadosBrutos[[#This Row],[qtde_batalhas]]="","-",IF(ISNUMBER(DadosBrutos[[#This Row],[qtde_batalhas]]),DadosBrutos[[#This Row],[qtde_batalhas]],IFERROR(VALUE(SUBSTITUTE(DadosBrutos[[#This Row],[qtde_batalhas]]," batalhas","")),"-")))</f>
        <v>26</v>
      </c>
      <c r="L69" s="1" t="str">
        <f>IF(DadosL[[#This Row],[qtde_batalhas]]="-","-",IF(DadosL[[#This Row],[qtde_batalhas]]&lt;=10,"Baixo",IF(DadosL[[#This Row],[qtde_batalhas]]&lt;=25,"Médio","Alto")))</f>
        <v>Alto</v>
      </c>
      <c r="M6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36000</v>
      </c>
      <c r="N69" s="1" t="str">
        <f>IF(AND(DadosL[[#This Row],[nivel_risco]]="Alto",DadosL[[#This Row],[flag_inadimplente]]="Sim"),"Negado","Aprovado")</f>
        <v>Aprovado</v>
      </c>
      <c r="O69" s="1" t="str">
        <f>IF(AND(ISNUMBER(DadosL[[#This Row],[credito_tomado]]),DadosL[[#This Row],[credito_tomado]]&gt;50000,DadosL[[#This Row],[flag_inadimplente]]="Sim"),"Negado","Aprovado")</f>
        <v>Aprovado</v>
      </c>
      <c r="P69" s="46">
        <f>IF(OR(DadosL[[#This Row],[Analise_Risco]]="Negado",DadosL[[#This Row],[Analise_Credito]]="Negado"),0,IF(DadosL[[#This Row],[status]]="Ativo",DadosL[[#This Row],[valor_solicitado]]*1.08,0))</f>
        <v>38880</v>
      </c>
    </row>
    <row r="70" spans="1:16">
      <c r="A7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70" s="1" t="str">
        <f>PROPER(TRIM(DadosBrutos[[#This Row],[nome]]))</f>
        <v>Shae Seaworth</v>
      </c>
      <c r="C70" s="1" t="str">
        <f>IF(LEN(SUBSTITUTE(SUBSTITUTE(SUBSTITUTE(DadosBrutos[[#This Row],[cpf]],".",""),"-","")," ",""))=11,DadosBrutos[[#This Row],[cpf]],"-")</f>
        <v>000.000.030-00</v>
      </c>
      <c r="D7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33</v>
      </c>
      <c r="E70" s="45">
        <f>IF(DadosBrutos[[#This Row],[data_nascimento]]="","-",DadosBrutos[[#This Row],[data_nascimento]])</f>
        <v>34027</v>
      </c>
      <c r="F70" s="1" t="str">
        <f>IF(ISNUMBER(SEARCH("|",DadosBrutos[[#This Row],[cidade]])),TRIM(LEFT(DadosBrutos[[#This Row],[cidade]],SEARCH("|",DadosBrutos[[#This Row],[cidade]])-1)),TRIM(DadosBrutos[[#This Row],[cidade]]))</f>
        <v>Braavos</v>
      </c>
      <c r="G7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70" s="37">
        <f>IF(DadosBrutos[[#This Row],[renda_mensal]]="","-",IF(ISNUMBER(DadosBrutos[[#This Row],[renda_mensal]]),DadosBrutos[[#This Row],[renda_mensal]],IFERROR(VALUE(SUBSTITUTE(DadosBrutos[[#This Row],[renda_mensal]]," moedas","")),"-")))</f>
        <v>3400</v>
      </c>
      <c r="I70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7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70" s="1">
        <f>IF(DadosBrutos[[#This Row],[qtde_batalhas]]="","-",IF(ISNUMBER(DadosBrutos[[#This Row],[qtde_batalhas]]),DadosBrutos[[#This Row],[qtde_batalhas]],IFERROR(VALUE(SUBSTITUTE(DadosBrutos[[#This Row],[qtde_batalhas]]," batalhas","")),"-")))</f>
        <v>13</v>
      </c>
      <c r="L70" s="1" t="str">
        <f>IF(DadosL[[#This Row],[qtde_batalhas]]="-","-",IF(DadosL[[#This Row],[qtde_batalhas]]&lt;=10,"Baixo",IF(DadosL[[#This Row],[qtde_batalhas]]&lt;=25,"Médio","Alto")))</f>
        <v>Médio</v>
      </c>
      <c r="M7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70000</v>
      </c>
      <c r="N70" s="1" t="str">
        <f>IF(AND(DadosL[[#This Row],[nivel_risco]]="Alto",DadosL[[#This Row],[flag_inadimplente]]="Sim"),"Negado","Aprovado")</f>
        <v>Aprovado</v>
      </c>
      <c r="O70" s="1" t="str">
        <f>IF(AND(ISNUMBER(DadosL[[#This Row],[credito_tomado]]),DadosL[[#This Row],[credito_tomado]]&gt;50000,DadosL[[#This Row],[flag_inadimplente]]="Sim"),"Negado","Aprovado")</f>
        <v>Aprovado</v>
      </c>
      <c r="P70" s="46">
        <f>IF(OR(DadosL[[#This Row],[Analise_Risco]]="Negado",DadosL[[#This Row],[Analise_Credito]]="Negado"),0,IF(DadosL[[#This Row],[status]]="Ativo",DadosL[[#This Row],[valor_solicitado]]*1.08,0))</f>
        <v>75600</v>
      </c>
    </row>
    <row r="71" spans="1:16">
      <c r="A7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71" s="1" t="str">
        <f>PROPER(TRIM(DadosBrutos[[#This Row],[nome]]))</f>
        <v>Jojen Reed</v>
      </c>
      <c r="C71" s="1" t="str">
        <f>IF(LEN(SUBSTITUTE(SUBSTITUTE(SUBSTITUTE(DadosBrutos[[#This Row],[cpf]],".",""),"-","")," ",""))=11,DadosBrutos[[#This Row],[cpf]],"-")</f>
        <v>000.000.136-00</v>
      </c>
      <c r="D7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41</v>
      </c>
      <c r="E71" s="45">
        <f>IF(DadosBrutos[[#This Row],[data_nascimento]]="","-",DadosBrutos[[#This Row],[data_nascimento]])</f>
        <v>30944</v>
      </c>
      <c r="F71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7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71" s="37">
        <f>IF(DadosBrutos[[#This Row],[renda_mensal]]="","-",IF(ISNUMBER(DadosBrutos[[#This Row],[renda_mensal]]),DadosBrutos[[#This Row],[renda_mensal]],IFERROR(VALUE(SUBSTITUTE(DadosBrutos[[#This Row],[renda_mensal]]," moedas","")),"-")))</f>
        <v>20000</v>
      </c>
      <c r="I71" s="37">
        <f>IF(DadosBrutos[[#This Row],[credito_tomado]]="","-",IF(ISNUMBER(DadosBrutos[[#This Row],[credito_tomado]]),DadosBrutos[[#This Row],[credito_tomado]],IFERROR(VALUE(SUBSTITUTE(DadosBrutos[[#This Row],[credito_tomado]]," moedas","")),"-")))</f>
        <v>20500</v>
      </c>
      <c r="J7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71" s="1">
        <f>IF(DadosBrutos[[#This Row],[qtde_batalhas]]="","-",IF(ISNUMBER(DadosBrutos[[#This Row],[qtde_batalhas]]),DadosBrutos[[#This Row],[qtde_batalhas]],IFERROR(VALUE(SUBSTITUTE(DadosBrutos[[#This Row],[qtde_batalhas]]," batalhas","")),"-")))</f>
        <v>8</v>
      </c>
      <c r="L71" s="1" t="str">
        <f>IF(DadosL[[#This Row],[qtde_batalhas]]="-","-",IF(DadosL[[#This Row],[qtde_batalhas]]&lt;=10,"Baixo",IF(DadosL[[#This Row],[qtde_batalhas]]&lt;=25,"Médio","Alto")))</f>
        <v>Baixo</v>
      </c>
      <c r="M7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44000</v>
      </c>
      <c r="N71" s="1" t="str">
        <f>IF(AND(DadosL[[#This Row],[nivel_risco]]="Alto",DadosL[[#This Row],[flag_inadimplente]]="Sim"),"Negado","Aprovado")</f>
        <v>Aprovado</v>
      </c>
      <c r="O71" s="1" t="str">
        <f>IF(AND(ISNUMBER(DadosL[[#This Row],[credito_tomado]]),DadosL[[#This Row],[credito_tomado]]&gt;50000,DadosL[[#This Row],[flag_inadimplente]]="Sim"),"Negado","Aprovado")</f>
        <v>Aprovado</v>
      </c>
      <c r="P71" s="46">
        <f>IF(OR(DadosL[[#This Row],[Analise_Risco]]="Negado",DadosL[[#This Row],[Analise_Credito]]="Negado"),0,IF(DadosL[[#This Row],[status]]="Ativo",DadosL[[#This Row],[valor_solicitado]]*1.08,0))</f>
        <v>47520</v>
      </c>
    </row>
    <row r="72" spans="1:16">
      <c r="A7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72" s="1" t="str">
        <f>PROPER(TRIM(DadosBrutos[[#This Row],[nome]]))</f>
        <v>Podrick Blackwood</v>
      </c>
      <c r="C72" s="1" t="str">
        <f>IF(LEN(SUBSTITUTE(SUBSTITUTE(SUBSTITUTE(DadosBrutos[[#This Row],[cpf]],".",""),"-","")," ",""))=11,DadosBrutos[[#This Row],[cpf]],"-")</f>
        <v>000.000.135-00</v>
      </c>
      <c r="D7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32</v>
      </c>
      <c r="E72" s="45">
        <f>IF(DadosBrutos[[#This Row],[data_nascimento]]="","-",DadosBrutos[[#This Row],[data_nascimento]])</f>
        <v>34411</v>
      </c>
      <c r="F72" s="1" t="str">
        <f>IF(ISNUMBER(SEARCH("|",DadosBrutos[[#This Row],[cidade]])),TRIM(LEFT(DadosBrutos[[#This Row],[cidade]],SEARCH("|",DadosBrutos[[#This Row],[cidade]])-1)),TRIM(DadosBrutos[[#This Row],[cidade]]))</f>
        <v>Dorne</v>
      </c>
      <c r="G7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72" s="37" t="str">
        <f>IF(DadosBrutos[[#This Row],[renda_mensal]]="","-",IF(ISNUMBER(DadosBrutos[[#This Row],[renda_mensal]]),DadosBrutos[[#This Row],[renda_mensal]],IFERROR(VALUE(SUBSTITUTE(DadosBrutos[[#This Row],[renda_mensal]]," moedas","")),"-")))</f>
        <v>-</v>
      </c>
      <c r="I72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7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72" s="1">
        <f>IF(DadosBrutos[[#This Row],[qtde_batalhas]]="","-",IF(ISNUMBER(DadosBrutos[[#This Row],[qtde_batalhas]]),DadosBrutos[[#This Row],[qtde_batalhas]],IFERROR(VALUE(SUBSTITUTE(DadosBrutos[[#This Row],[qtde_batalhas]]," batalhas","")),"-")))</f>
        <v>20</v>
      </c>
      <c r="L72" s="1" t="str">
        <f>IF(DadosL[[#This Row],[qtde_batalhas]]="-","-",IF(DadosL[[#This Row],[qtde_batalhas]]&lt;=10,"Baixo",IF(DadosL[[#This Row],[qtde_batalhas]]&lt;=25,"Médio","Alto")))</f>
        <v>Médio</v>
      </c>
      <c r="M7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42000</v>
      </c>
      <c r="N72" s="1" t="str">
        <f>IF(AND(DadosL[[#This Row],[nivel_risco]]="Alto",DadosL[[#This Row],[flag_inadimplente]]="Sim"),"Negado","Aprovado")</f>
        <v>Aprovado</v>
      </c>
      <c r="O72" s="1" t="str">
        <f>IF(AND(ISNUMBER(DadosL[[#This Row],[credito_tomado]]),DadosL[[#This Row],[credito_tomado]]&gt;50000,DadosL[[#This Row],[flag_inadimplente]]="Sim"),"Negado","Aprovado")</f>
        <v>Aprovado</v>
      </c>
      <c r="P72" s="46">
        <f>IF(OR(DadosL[[#This Row],[Analise_Risco]]="Negado",DadosL[[#This Row],[Analise_Credito]]="Negado"),0,IF(DadosL[[#This Row],[status]]="Ativo",DadosL[[#This Row],[valor_solicitado]]*1.08,0))</f>
        <v>45360</v>
      </c>
    </row>
    <row r="73" spans="1:16">
      <c r="A7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73" s="1" t="str">
        <f>PROPER(TRIM(DadosBrutos[[#This Row],[nome]]))</f>
        <v>Renly Mallister</v>
      </c>
      <c r="C73" s="1" t="str">
        <f>IF(LEN(SUBSTITUTE(SUBSTITUTE(SUBSTITUTE(DadosBrutos[[#This Row],[cpf]],".",""),"-","")," ",""))=11,DadosBrutos[[#This Row],[cpf]],"-")</f>
        <v>000.000.372-00</v>
      </c>
      <c r="D7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34</v>
      </c>
      <c r="E73" s="45">
        <f>IF(DadosBrutos[[#This Row],[data_nascimento]]="","-",DadosBrutos[[#This Row],[data_nascimento]])</f>
        <v>33525</v>
      </c>
      <c r="F73" s="1" t="str">
        <f>IF(ISNUMBER(SEARCH("|",DadosBrutos[[#This Row],[cidade]])),TRIM(LEFT(DadosBrutos[[#This Row],[cidade]],SEARCH("|",DadosBrutos[[#This Row],[cidade]])-1)),TRIM(DadosBrutos[[#This Row],[cidade]]))</f>
        <v>Winterfell</v>
      </c>
      <c r="G7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73" s="37">
        <f>IF(DadosBrutos[[#This Row],[renda_mensal]]="","-",IF(ISNUMBER(DadosBrutos[[#This Row],[renda_mensal]]),DadosBrutos[[#This Row],[renda_mensal]],IFERROR(VALUE(SUBSTITUTE(DadosBrutos[[#This Row],[renda_mensal]]," moedas","")),"-")))</f>
        <v>28000</v>
      </c>
      <c r="I73" s="37">
        <f>IF(DadosBrutos[[#This Row],[credito_tomado]]="","-",IF(ISNUMBER(DadosBrutos[[#This Row],[credito_tomado]]),DadosBrutos[[#This Row],[credito_tomado]],IFERROR(VALUE(SUBSTITUTE(DadosBrutos[[#This Row],[credito_tomado]]," moedas","")),"-")))</f>
        <v>36500</v>
      </c>
      <c r="J7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73" s="1">
        <f>IF(DadosBrutos[[#This Row],[qtde_batalhas]]="","-",IF(ISNUMBER(DadosBrutos[[#This Row],[qtde_batalhas]]),DadosBrutos[[#This Row],[qtde_batalhas]],IFERROR(VALUE(SUBSTITUTE(DadosBrutos[[#This Row],[qtde_batalhas]]," batalhas","")),"-")))</f>
        <v>33</v>
      </c>
      <c r="L73" s="1" t="str">
        <f>IF(DadosL[[#This Row],[qtde_batalhas]]="-","-",IF(DadosL[[#This Row],[qtde_batalhas]]&lt;=10,"Baixo",IF(DadosL[[#This Row],[qtde_batalhas]]&lt;=25,"Médio","Alto")))</f>
        <v>Alto</v>
      </c>
      <c r="M7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60000</v>
      </c>
      <c r="N73" s="1" t="str">
        <f>IF(AND(DadosL[[#This Row],[nivel_risco]]="Alto",DadosL[[#This Row],[flag_inadimplente]]="Sim"),"Negado","Aprovado")</f>
        <v>Aprovado</v>
      </c>
      <c r="O73" s="1" t="str">
        <f>IF(AND(ISNUMBER(DadosL[[#This Row],[credito_tomado]]),DadosL[[#This Row],[credito_tomado]]&gt;50000,DadosL[[#This Row],[flag_inadimplente]]="Sim"),"Negado","Aprovado")</f>
        <v>Aprovado</v>
      </c>
      <c r="P73" s="46">
        <f>IF(OR(DadosL[[#This Row],[Analise_Risco]]="Negado",DadosL[[#This Row],[Analise_Credito]]="Negado"),0,IF(DadosL[[#This Row],[status]]="Ativo",DadosL[[#This Row],[valor_solicitado]]*1.08,0))</f>
        <v>64800.000000000007</v>
      </c>
    </row>
    <row r="74" spans="1:16">
      <c r="A7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74" s="1" t="str">
        <f>PROPER(TRIM(DadosBrutos[[#This Row],[nome]]))</f>
        <v>Cersei Clegane</v>
      </c>
      <c r="C74" s="1" t="str">
        <f>IF(LEN(SUBSTITUTE(SUBSTITUTE(SUBSTITUTE(DadosBrutos[[#This Row],[cpf]],".",""),"-","")," ",""))=11,DadosBrutos[[#This Row],[cpf]],"-")</f>
        <v>000.000.323-00</v>
      </c>
      <c r="D7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24</v>
      </c>
      <c r="E74" s="45">
        <f>IF(DadosBrutos[[#This Row],[data_nascimento]]="","-",DadosBrutos[[#This Row],[data_nascimento]])</f>
        <v>37259</v>
      </c>
      <c r="F74" s="1" t="str">
        <f>IF(ISNUMBER(SEARCH("|",DadosBrutos[[#This Row],[cidade]])),TRIM(LEFT(DadosBrutos[[#This Row],[cidade]],SEARCH("|",DadosBrutos[[#This Row],[cidade]])-1)),TRIM(DadosBrutos[[#This Row],[cidade]]))</f>
        <v>Dorne</v>
      </c>
      <c r="G7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74" s="37">
        <f>IF(DadosBrutos[[#This Row],[renda_mensal]]="","-",IF(ISNUMBER(DadosBrutos[[#This Row],[renda_mensal]]),DadosBrutos[[#This Row],[renda_mensal]],IFERROR(VALUE(SUBSTITUTE(DadosBrutos[[#This Row],[renda_mensal]]," moedas","")),"-")))</f>
        <v>25200</v>
      </c>
      <c r="I74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7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74" s="1">
        <f>IF(DadosBrutos[[#This Row],[qtde_batalhas]]="","-",IF(ISNUMBER(DadosBrutos[[#This Row],[qtde_batalhas]]),DadosBrutos[[#This Row],[qtde_batalhas]],IFERROR(VALUE(SUBSTITUTE(DadosBrutos[[#This Row],[qtde_batalhas]]," batalhas","")),"-")))</f>
        <v>10</v>
      </c>
      <c r="L74" s="1" t="str">
        <f>IF(DadosL[[#This Row],[qtde_batalhas]]="-","-",IF(DadosL[[#This Row],[qtde_batalhas]]&lt;=10,"Baixo",IF(DadosL[[#This Row],[qtde_batalhas]]&lt;=25,"Médio","Alto")))</f>
        <v>Baixo</v>
      </c>
      <c r="M7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69500</v>
      </c>
      <c r="N74" s="1" t="str">
        <f>IF(AND(DadosL[[#This Row],[nivel_risco]]="Alto",DadosL[[#This Row],[flag_inadimplente]]="Sim"),"Negado","Aprovado")</f>
        <v>Aprovado</v>
      </c>
      <c r="O74" s="1" t="str">
        <f>IF(AND(ISNUMBER(DadosL[[#This Row],[credito_tomado]]),DadosL[[#This Row],[credito_tomado]]&gt;50000,DadosL[[#This Row],[flag_inadimplente]]="Sim"),"Negado","Aprovado")</f>
        <v>Aprovado</v>
      </c>
      <c r="P74" s="46">
        <f>IF(OR(DadosL[[#This Row],[Analise_Risco]]="Negado",DadosL[[#This Row],[Analise_Credito]]="Negado"),0,IF(DadosL[[#This Row],[status]]="Ativo",DadosL[[#This Row],[valor_solicitado]]*1.08,0))</f>
        <v>75060</v>
      </c>
    </row>
    <row r="75" spans="1:16">
      <c r="A7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75" s="1" t="str">
        <f>PROPER(TRIM(DadosBrutos[[#This Row],[nome]]))</f>
        <v>Beric Crakehall</v>
      </c>
      <c r="C75" s="1" t="str">
        <f>IF(LEN(SUBSTITUTE(SUBSTITUTE(SUBSTITUTE(DadosBrutos[[#This Row],[cpf]],".",""),"-","")," ",""))=11,DadosBrutos[[#This Row],[cpf]],"-")</f>
        <v>000.000.067-00</v>
      </c>
      <c r="D7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55</v>
      </c>
      <c r="E75" s="45">
        <f>IF(DadosBrutos[[#This Row],[data_nascimento]]="","-",DadosBrutos[[#This Row],[data_nascimento]])</f>
        <v>26104</v>
      </c>
      <c r="F75" s="1" t="str">
        <f>IF(ISNUMBER(SEARCH("|",DadosBrutos[[#This Row],[cidade]])),TRIM(LEFT(DadosBrutos[[#This Row],[cidade]],SEARCH("|",DadosBrutos[[#This Row],[cidade]])-1)),TRIM(DadosBrutos[[#This Row],[cidade]]))</f>
        <v>Pyke</v>
      </c>
      <c r="G7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75" s="37">
        <f>IF(DadosBrutos[[#This Row],[renda_mensal]]="","-",IF(ISNUMBER(DadosBrutos[[#This Row],[renda_mensal]]),DadosBrutos[[#This Row],[renda_mensal]],IFERROR(VALUE(SUBSTITUTE(DadosBrutos[[#This Row],[renda_mensal]]," moedas","")),"-")))</f>
        <v>22100</v>
      </c>
      <c r="I75" s="37">
        <f>IF(DadosBrutos[[#This Row],[credito_tomado]]="","-",IF(ISNUMBER(DadosBrutos[[#This Row],[credito_tomado]]),DadosBrutos[[#This Row],[credito_tomado]],IFERROR(VALUE(SUBSTITUTE(DadosBrutos[[#This Row],[credito_tomado]]," moedas","")),"-")))</f>
        <v>41500</v>
      </c>
      <c r="J7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75" s="1">
        <f>IF(DadosBrutos[[#This Row],[qtde_batalhas]]="","-",IF(ISNUMBER(DadosBrutos[[#This Row],[qtde_batalhas]]),DadosBrutos[[#This Row],[qtde_batalhas]],IFERROR(VALUE(SUBSTITUTE(DadosBrutos[[#This Row],[qtde_batalhas]]," batalhas","")),"-")))</f>
        <v>18</v>
      </c>
      <c r="L75" s="1" t="str">
        <f>IF(DadosL[[#This Row],[qtde_batalhas]]="-","-",IF(DadosL[[#This Row],[qtde_batalhas]]&lt;=10,"Baixo",IF(DadosL[[#This Row],[qtde_batalhas]]&lt;=25,"Médio","Alto")))</f>
        <v>Médio</v>
      </c>
      <c r="M7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65000</v>
      </c>
      <c r="N75" s="1" t="str">
        <f>IF(AND(DadosL[[#This Row],[nivel_risco]]="Alto",DadosL[[#This Row],[flag_inadimplente]]="Sim"),"Negado","Aprovado")</f>
        <v>Aprovado</v>
      </c>
      <c r="O75" s="1" t="str">
        <f>IF(AND(ISNUMBER(DadosL[[#This Row],[credito_tomado]]),DadosL[[#This Row],[credito_tomado]]&gt;50000,DadosL[[#This Row],[flag_inadimplente]]="Sim"),"Negado","Aprovado")</f>
        <v>Aprovado</v>
      </c>
      <c r="P75" s="46">
        <f>IF(OR(DadosL[[#This Row],[Analise_Risco]]="Negado",DadosL[[#This Row],[Analise_Credito]]="Negado"),0,IF(DadosL[[#This Row],[status]]="Ativo",DadosL[[#This Row],[valor_solicitado]]*1.08,0))</f>
        <v>70200</v>
      </c>
    </row>
    <row r="76" spans="1:16">
      <c r="A7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76" s="1" t="str">
        <f>PROPER(TRIM(DadosBrutos[[#This Row],[nome]]))</f>
        <v>Ellaria Bracken</v>
      </c>
      <c r="C76" s="1" t="str">
        <f>IF(LEN(SUBSTITUTE(SUBSTITUTE(SUBSTITUTE(DadosBrutos[[#This Row],[cpf]],".",""),"-","")," ",""))=11,DadosBrutos[[#This Row],[cpf]],"-")</f>
        <v>000.000.138-00</v>
      </c>
      <c r="D7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59</v>
      </c>
      <c r="E76" s="45">
        <f>IF(DadosBrutos[[#This Row],[data_nascimento]]="","-",DadosBrutos[[#This Row],[data_nascimento]])</f>
        <v>24512</v>
      </c>
      <c r="F76" s="1" t="str">
        <f>IF(ISNUMBER(SEARCH("|",DadosBrutos[[#This Row],[cidade]])),TRIM(LEFT(DadosBrutos[[#This Row],[cidade]],SEARCH("|",DadosBrutos[[#This Row],[cidade]])-1)),TRIM(DadosBrutos[[#This Row],[cidade]]))</f>
        <v>Monte Chifre</v>
      </c>
      <c r="G7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76" s="37">
        <f>IF(DadosBrutos[[#This Row],[renda_mensal]]="","-",IF(ISNUMBER(DadosBrutos[[#This Row],[renda_mensal]]),DadosBrutos[[#This Row],[renda_mensal]],IFERROR(VALUE(SUBSTITUTE(DadosBrutos[[#This Row],[renda_mensal]]," moedas","")),"-")))</f>
        <v>6300</v>
      </c>
      <c r="I76" s="37">
        <f>IF(DadosBrutos[[#This Row],[credito_tomado]]="","-",IF(ISNUMBER(DadosBrutos[[#This Row],[credito_tomado]]),DadosBrutos[[#This Row],[credito_tomado]],IFERROR(VALUE(SUBSTITUTE(DadosBrutos[[#This Row],[credito_tomado]]," moedas","")),"-")))</f>
        <v>15000</v>
      </c>
      <c r="J7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76" s="1">
        <f>IF(DadosBrutos[[#This Row],[qtde_batalhas]]="","-",IF(ISNUMBER(DadosBrutos[[#This Row],[qtde_batalhas]]),DadosBrutos[[#This Row],[qtde_batalhas]],IFERROR(VALUE(SUBSTITUTE(DadosBrutos[[#This Row],[qtde_batalhas]]," batalhas","")),"-")))</f>
        <v>42</v>
      </c>
      <c r="L76" s="1" t="str">
        <f>IF(DadosL[[#This Row],[qtde_batalhas]]="-","-",IF(DadosL[[#This Row],[qtde_batalhas]]&lt;=10,"Baixo",IF(DadosL[[#This Row],[qtde_batalhas]]&lt;=25,"Médio","Alto")))</f>
        <v>Alto</v>
      </c>
      <c r="M7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8500</v>
      </c>
      <c r="N76" s="1" t="str">
        <f>IF(AND(DadosL[[#This Row],[nivel_risco]]="Alto",DadosL[[#This Row],[flag_inadimplente]]="Sim"),"Negado","Aprovado")</f>
        <v>Aprovado</v>
      </c>
      <c r="O76" s="1" t="str">
        <f>IF(AND(ISNUMBER(DadosL[[#This Row],[credito_tomado]]),DadosL[[#This Row],[credito_tomado]]&gt;50000,DadosL[[#This Row],[flag_inadimplente]]="Sim"),"Negado","Aprovado")</f>
        <v>Aprovado</v>
      </c>
      <c r="P76" s="46">
        <f>IF(OR(DadosL[[#This Row],[Analise_Risco]]="Negado",DadosL[[#This Row],[Analise_Credito]]="Negado"),0,IF(DadosL[[#This Row],[status]]="Ativo",DadosL[[#This Row],[valor_solicitado]]*1.08,0))</f>
        <v>0</v>
      </c>
    </row>
    <row r="77" spans="1:16">
      <c r="A7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77" s="1" t="str">
        <f>PROPER(TRIM(DadosBrutos[[#This Row],[nome]]))</f>
        <v>Ellaria  Reed</v>
      </c>
      <c r="C77" s="1" t="str">
        <f>IF(LEN(SUBSTITUTE(SUBSTITUTE(SUBSTITUTE(DadosBrutos[[#This Row],[cpf]],".",""),"-","")," ",""))=11,DadosBrutos[[#This Row],[cpf]],"-")</f>
        <v>000.000.311-00</v>
      </c>
      <c r="D7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70</v>
      </c>
      <c r="E77" s="45">
        <f>IF(DadosBrutos[[#This Row],[data_nascimento]]="","-",DadosBrutos[[#This Row],[data_nascimento]])</f>
        <v>20502</v>
      </c>
      <c r="F77" s="1" t="str">
        <f>IF(ISNUMBER(SEARCH("|",DadosBrutos[[#This Row],[cidade]])),TRIM(LEFT(DadosBrutos[[#This Row],[cidade]],SEARCH("|",DadosBrutos[[#This Row],[cidade]])-1)),TRIM(DadosBrutos[[#This Row],[cidade]]))</f>
        <v>Lannisporto</v>
      </c>
      <c r="G7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77" s="37">
        <f>IF(DadosBrutos[[#This Row],[renda_mensal]]="","-",IF(ISNUMBER(DadosBrutos[[#This Row],[renda_mensal]]),DadosBrutos[[#This Row],[renda_mensal]],IFERROR(VALUE(SUBSTITUTE(DadosBrutos[[#This Row],[renda_mensal]]," moedas","")),"-")))</f>
        <v>2500</v>
      </c>
      <c r="I77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7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77" s="1">
        <f>IF(DadosBrutos[[#This Row],[qtde_batalhas]]="","-",IF(ISNUMBER(DadosBrutos[[#This Row],[qtde_batalhas]]),DadosBrutos[[#This Row],[qtde_batalhas]],IFERROR(VALUE(SUBSTITUTE(DadosBrutos[[#This Row],[qtde_batalhas]]," batalhas","")),"-")))</f>
        <v>38</v>
      </c>
      <c r="L77" s="1" t="str">
        <f>IF(DadosL[[#This Row],[qtde_batalhas]]="-","-",IF(DadosL[[#This Row],[qtde_batalhas]]&lt;=10,"Baixo",IF(DadosL[[#This Row],[qtde_batalhas]]&lt;=25,"Médio","Alto")))</f>
        <v>Alto</v>
      </c>
      <c r="M7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44500</v>
      </c>
      <c r="N77" s="1" t="str">
        <f>IF(AND(DadosL[[#This Row],[nivel_risco]]="Alto",DadosL[[#This Row],[flag_inadimplente]]="Sim"),"Negado","Aprovado")</f>
        <v>Aprovado</v>
      </c>
      <c r="O77" s="1" t="str">
        <f>IF(AND(ISNUMBER(DadosL[[#This Row],[credito_tomado]]),DadosL[[#This Row],[credito_tomado]]&gt;50000,DadosL[[#This Row],[flag_inadimplente]]="Sim"),"Negado","Aprovado")</f>
        <v>Aprovado</v>
      </c>
      <c r="P77" s="46">
        <f>IF(OR(DadosL[[#This Row],[Analise_Risco]]="Negado",DadosL[[#This Row],[Analise_Credito]]="Negado"),0,IF(DadosL[[#This Row],[status]]="Ativo",DadosL[[#This Row],[valor_solicitado]]*1.08,0))</f>
        <v>0</v>
      </c>
    </row>
    <row r="78" spans="1:16">
      <c r="A7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78" s="1" t="str">
        <f>PROPER(TRIM(DadosBrutos[[#This Row],[nome]]))</f>
        <v>Daenerys Tallhart</v>
      </c>
      <c r="C78" s="1" t="str">
        <f>IF(LEN(SUBSTITUTE(SUBSTITUTE(SUBSTITUTE(DadosBrutos[[#This Row],[cpf]],".",""),"-","")," ",""))=11,DadosBrutos[[#This Row],[cpf]],"-")</f>
        <v>000.000.092-00</v>
      </c>
      <c r="D7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37</v>
      </c>
      <c r="E78" s="45">
        <f>IF(DadosBrutos[[#This Row],[data_nascimento]]="","-",DadosBrutos[[#This Row],[data_nascimento]])</f>
        <v>32543</v>
      </c>
      <c r="F78" s="1" t="str">
        <f>IF(ISNUMBER(SEARCH("|",DadosBrutos[[#This Row],[cidade]])),TRIM(LEFT(DadosBrutos[[#This Row],[cidade]],SEARCH("|",DadosBrutos[[#This Row],[cidade]])-1)),TRIM(DadosBrutos[[#This Row],[cidade]]))</f>
        <v>Vilavelha</v>
      </c>
      <c r="G7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78" s="37">
        <f>IF(DadosBrutos[[#This Row],[renda_mensal]]="","-",IF(ISNUMBER(DadosBrutos[[#This Row],[renda_mensal]]),DadosBrutos[[#This Row],[renda_mensal]],IFERROR(VALUE(SUBSTITUTE(DadosBrutos[[#This Row],[renda_mensal]]," moedas","")),"-")))</f>
        <v>29200</v>
      </c>
      <c r="I78" s="37">
        <f>IF(DadosBrutos[[#This Row],[credito_tomado]]="","-",IF(ISNUMBER(DadosBrutos[[#This Row],[credito_tomado]]),DadosBrutos[[#This Row],[credito_tomado]],IFERROR(VALUE(SUBSTITUTE(DadosBrutos[[#This Row],[credito_tomado]]," moedas","")),"-")))</f>
        <v>45000</v>
      </c>
      <c r="J7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78" s="1">
        <f>IF(DadosBrutos[[#This Row],[qtde_batalhas]]="","-",IF(ISNUMBER(DadosBrutos[[#This Row],[qtde_batalhas]]),DadosBrutos[[#This Row],[qtde_batalhas]],IFERROR(VALUE(SUBSTITUTE(DadosBrutos[[#This Row],[qtde_batalhas]]," batalhas","")),"-")))</f>
        <v>26</v>
      </c>
      <c r="L78" s="1" t="str">
        <f>IF(DadosL[[#This Row],[qtde_batalhas]]="-","-",IF(DadosL[[#This Row],[qtde_batalhas]]&lt;=10,"Baixo",IF(DadosL[[#This Row],[qtde_batalhas]]&lt;=25,"Médio","Alto")))</f>
        <v>Alto</v>
      </c>
      <c r="M7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23500</v>
      </c>
      <c r="N78" s="1" t="str">
        <f>IF(AND(DadosL[[#This Row],[nivel_risco]]="Alto",DadosL[[#This Row],[flag_inadimplente]]="Sim"),"Negado","Aprovado")</f>
        <v>Aprovado</v>
      </c>
      <c r="O78" s="1" t="str">
        <f>IF(AND(ISNUMBER(DadosL[[#This Row],[credito_tomado]]),DadosL[[#This Row],[credito_tomado]]&gt;50000,DadosL[[#This Row],[flag_inadimplente]]="Sim"),"Negado","Aprovado")</f>
        <v>Aprovado</v>
      </c>
      <c r="P78" s="46">
        <f>IF(OR(DadosL[[#This Row],[Analise_Risco]]="Negado",DadosL[[#This Row],[Analise_Credito]]="Negado"),0,IF(DadosL[[#This Row],[status]]="Ativo",DadosL[[#This Row],[valor_solicitado]]*1.08,0))</f>
        <v>25380</v>
      </c>
    </row>
    <row r="79" spans="1:16">
      <c r="A7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79" s="1" t="str">
        <f>PROPER(TRIM(DadosBrutos[[#This Row],[nome]]))</f>
        <v>Lyanna Marbrand</v>
      </c>
      <c r="C79" s="1" t="str">
        <f>IF(LEN(SUBSTITUTE(SUBSTITUTE(SUBSTITUTE(DadosBrutos[[#This Row],[cpf]],".",""),"-","")," ",""))=11,DadosBrutos[[#This Row],[cpf]],"-")</f>
        <v>000.000.283-00</v>
      </c>
      <c r="D7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27</v>
      </c>
      <c r="E79" s="45">
        <f>IF(DadosBrutos[[#This Row],[data_nascimento]]="","-",DadosBrutos[[#This Row],[data_nascimento]])</f>
        <v>36308</v>
      </c>
      <c r="F79" s="1" t="str">
        <f>IF(ISNUMBER(SEARCH("|",DadosBrutos[[#This Row],[cidade]])),TRIM(LEFT(DadosBrutos[[#This Row],[cidade]],SEARCH("|",DadosBrutos[[#This Row],[cidade]])-1)),TRIM(DadosBrutos[[#This Row],[cidade]]))</f>
        <v>Correrrio</v>
      </c>
      <c r="G7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79" s="37">
        <f>IF(DadosBrutos[[#This Row],[renda_mensal]]="","-",IF(ISNUMBER(DadosBrutos[[#This Row],[renda_mensal]]),DadosBrutos[[#This Row],[renda_mensal]],IFERROR(VALUE(SUBSTITUTE(DadosBrutos[[#This Row],[renda_mensal]]," moedas","")),"-")))</f>
        <v>5300</v>
      </c>
      <c r="I79" s="37">
        <f>IF(DadosBrutos[[#This Row],[credito_tomado]]="","-",IF(ISNUMBER(DadosBrutos[[#This Row],[credito_tomado]]),DadosBrutos[[#This Row],[credito_tomado]],IFERROR(VALUE(SUBSTITUTE(DadosBrutos[[#This Row],[credito_tomado]]," moedas","")),"-")))</f>
        <v>22000</v>
      </c>
      <c r="J7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79" s="1">
        <f>IF(DadosBrutos[[#This Row],[qtde_batalhas]]="","-",IF(ISNUMBER(DadosBrutos[[#This Row],[qtde_batalhas]]),DadosBrutos[[#This Row],[qtde_batalhas]],IFERROR(VALUE(SUBSTITUTE(DadosBrutos[[#This Row],[qtde_batalhas]]," batalhas","")),"-")))</f>
        <v>11</v>
      </c>
      <c r="L79" s="1" t="str">
        <f>IF(DadosL[[#This Row],[qtde_batalhas]]="-","-",IF(DadosL[[#This Row],[qtde_batalhas]]&lt;=10,"Baixo",IF(DadosL[[#This Row],[qtde_batalhas]]&lt;=25,"Médio","Alto")))</f>
        <v>Médio</v>
      </c>
      <c r="M7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28500</v>
      </c>
      <c r="N79" s="1" t="str">
        <f>IF(AND(DadosL[[#This Row],[nivel_risco]]="Alto",DadosL[[#This Row],[flag_inadimplente]]="Sim"),"Negado","Aprovado")</f>
        <v>Aprovado</v>
      </c>
      <c r="O79" s="1" t="str">
        <f>IF(AND(ISNUMBER(DadosL[[#This Row],[credito_tomado]]),DadosL[[#This Row],[credito_tomado]]&gt;50000,DadosL[[#This Row],[flag_inadimplente]]="Sim"),"Negado","Aprovado")</f>
        <v>Aprovado</v>
      </c>
      <c r="P79" s="46">
        <f>IF(OR(DadosL[[#This Row],[Analise_Risco]]="Negado",DadosL[[#This Row],[Analise_Credito]]="Negado"),0,IF(DadosL[[#This Row],[status]]="Ativo",DadosL[[#This Row],[valor_solicitado]]*1.08,0))</f>
        <v>30780.000000000004</v>
      </c>
    </row>
    <row r="80" spans="1:16">
      <c r="A8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80" s="1" t="str">
        <f>PROPER(TRIM(DadosBrutos[[#This Row],[nome]]))</f>
        <v>Ramsay Dondarrion</v>
      </c>
      <c r="C80" s="1" t="str">
        <f>IF(LEN(SUBSTITUTE(SUBSTITUTE(SUBSTITUTE(DadosBrutos[[#This Row],[cpf]],".",""),"-","")," ",""))=11,DadosBrutos[[#This Row],[cpf]],"-")</f>
        <v>000.000.054-00</v>
      </c>
      <c r="D8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55</v>
      </c>
      <c r="E80" s="45">
        <f>IF(DadosBrutos[[#This Row],[data_nascimento]]="","-",DadosBrutos[[#This Row],[data_nascimento]])</f>
        <v>25874</v>
      </c>
      <c r="F80" s="1" t="str">
        <f>IF(ISNUMBER(SEARCH("|",DadosBrutos[[#This Row],[cidade]])),TRIM(LEFT(DadosBrutos[[#This Row],[cidade]],SEARCH("|",DadosBrutos[[#This Row],[cidade]])-1)),TRIM(DadosBrutos[[#This Row],[cidade]]))</f>
        <v>Dorne</v>
      </c>
      <c r="G8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80" s="37">
        <f>IF(DadosBrutos[[#This Row],[renda_mensal]]="","-",IF(ISNUMBER(DadosBrutos[[#This Row],[renda_mensal]]),DadosBrutos[[#This Row],[renda_mensal]],IFERROR(VALUE(SUBSTITUTE(DadosBrutos[[#This Row],[renda_mensal]]," moedas","")),"-")))</f>
        <v>29100</v>
      </c>
      <c r="I80" s="37">
        <f>IF(DadosBrutos[[#This Row],[credito_tomado]]="","-",IF(ISNUMBER(DadosBrutos[[#This Row],[credito_tomado]]),DadosBrutos[[#This Row],[credito_tomado]],IFERROR(VALUE(SUBSTITUTE(DadosBrutos[[#This Row],[credito_tomado]]," moedas","")),"-")))</f>
        <v>5500</v>
      </c>
      <c r="J8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80" s="1">
        <f>IF(DadosBrutos[[#This Row],[qtde_batalhas]]="","-",IF(ISNUMBER(DadosBrutos[[#This Row],[qtde_batalhas]]),DadosBrutos[[#This Row],[qtde_batalhas]],IFERROR(VALUE(SUBSTITUTE(DadosBrutos[[#This Row],[qtde_batalhas]]," batalhas","")),"-")))</f>
        <v>11</v>
      </c>
      <c r="L80" s="1" t="str">
        <f>IF(DadosL[[#This Row],[qtde_batalhas]]="-","-",IF(DadosL[[#This Row],[qtde_batalhas]]&lt;=10,"Baixo",IF(DadosL[[#This Row],[qtde_batalhas]]&lt;=25,"Médio","Alto")))</f>
        <v>Médio</v>
      </c>
      <c r="M8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56000</v>
      </c>
      <c r="N80" s="1" t="str">
        <f>IF(AND(DadosL[[#This Row],[nivel_risco]]="Alto",DadosL[[#This Row],[flag_inadimplente]]="Sim"),"Negado","Aprovado")</f>
        <v>Aprovado</v>
      </c>
      <c r="O80" s="1" t="str">
        <f>IF(AND(ISNUMBER(DadosL[[#This Row],[credito_tomado]]),DadosL[[#This Row],[credito_tomado]]&gt;50000,DadosL[[#This Row],[flag_inadimplente]]="Sim"),"Negado","Aprovado")</f>
        <v>Aprovado</v>
      </c>
      <c r="P80" s="46">
        <f>IF(OR(DadosL[[#This Row],[Analise_Risco]]="Negado",DadosL[[#This Row],[Analise_Credito]]="Negado"),0,IF(DadosL[[#This Row],[status]]="Ativo",DadosL[[#This Row],[valor_solicitado]]*1.08,0))</f>
        <v>60480.000000000007</v>
      </c>
    </row>
    <row r="81" spans="1:16">
      <c r="A8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81" s="1" t="str">
        <f>PROPER(TRIM(DadosBrutos[[#This Row],[nome]]))</f>
        <v>Thoros  Baelish</v>
      </c>
      <c r="C81" s="1" t="str">
        <f>IF(LEN(SUBSTITUTE(SUBSTITUTE(SUBSTITUTE(DadosBrutos[[#This Row],[cpf]],".",""),"-","")," ",""))=11,DadosBrutos[[#This Row],[cpf]],"-")</f>
        <v>000.000.011-00</v>
      </c>
      <c r="D8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53</v>
      </c>
      <c r="E81" s="45">
        <f>IF(DadosBrutos[[#This Row],[data_nascimento]]="","-",DadosBrutos[[#This Row],[data_nascimento]])</f>
        <v>26812</v>
      </c>
      <c r="F81" s="1" t="str">
        <f>IF(ISNUMBER(SEARCH("|",DadosBrutos[[#This Row],[cidade]])),TRIM(LEFT(DadosBrutos[[#This Row],[cidade]],SEARCH("|",DadosBrutos[[#This Row],[cidade]])-1)),TRIM(DadosBrutos[[#This Row],[cidade]]))</f>
        <v>Meereen</v>
      </c>
      <c r="G8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81" s="37">
        <f>IF(DadosBrutos[[#This Row],[renda_mensal]]="","-",IF(ISNUMBER(DadosBrutos[[#This Row],[renda_mensal]]),DadosBrutos[[#This Row],[renda_mensal]],IFERROR(VALUE(SUBSTITUTE(DadosBrutos[[#This Row],[renda_mensal]]," moedas","")),"-")))</f>
        <v>27800</v>
      </c>
      <c r="I81" s="37">
        <f>IF(DadosBrutos[[#This Row],[credito_tomado]]="","-",IF(ISNUMBER(DadosBrutos[[#This Row],[credito_tomado]]),DadosBrutos[[#This Row],[credito_tomado]],IFERROR(VALUE(SUBSTITUTE(DadosBrutos[[#This Row],[credito_tomado]]," moedas","")),"-")))</f>
        <v>52000</v>
      </c>
      <c r="J8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81" s="1">
        <f>IF(DadosBrutos[[#This Row],[qtde_batalhas]]="","-",IF(ISNUMBER(DadosBrutos[[#This Row],[qtde_batalhas]]),DadosBrutos[[#This Row],[qtde_batalhas]],IFERROR(VALUE(SUBSTITUTE(DadosBrutos[[#This Row],[qtde_batalhas]]," batalhas","")),"-")))</f>
        <v>43</v>
      </c>
      <c r="L81" s="1" t="str">
        <f>IF(DadosL[[#This Row],[qtde_batalhas]]="-","-",IF(DadosL[[#This Row],[qtde_batalhas]]&lt;=10,"Baixo",IF(DadosL[[#This Row],[qtde_batalhas]]&lt;=25,"Médio","Alto")))</f>
        <v>Alto</v>
      </c>
      <c r="M8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93500</v>
      </c>
      <c r="N81" s="1" t="str">
        <f>IF(AND(DadosL[[#This Row],[nivel_risco]]="Alto",DadosL[[#This Row],[flag_inadimplente]]="Sim"),"Negado","Aprovado")</f>
        <v>Aprovado</v>
      </c>
      <c r="O81" s="1" t="str">
        <f>IF(AND(ISNUMBER(DadosL[[#This Row],[credito_tomado]]),DadosL[[#This Row],[credito_tomado]]&gt;50000,DadosL[[#This Row],[flag_inadimplente]]="Sim"),"Negado","Aprovado")</f>
        <v>Aprovado</v>
      </c>
      <c r="P81" s="46">
        <f>IF(OR(DadosL[[#This Row],[Analise_Risco]]="Negado",DadosL[[#This Row],[Analise_Credito]]="Negado"),0,IF(DadosL[[#This Row],[status]]="Ativo",DadosL[[#This Row],[valor_solicitado]]*1.08,0))</f>
        <v>100980</v>
      </c>
    </row>
    <row r="82" spans="1:16">
      <c r="A8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82" s="1" t="str">
        <f>PROPER(TRIM(DadosBrutos[[#This Row],[nome]]))</f>
        <v>Melisandre Blackwood</v>
      </c>
      <c r="C82" s="1" t="str">
        <f>IF(LEN(SUBSTITUTE(SUBSTITUTE(SUBSTITUTE(DadosBrutos[[#This Row],[cpf]],".",""),"-","")," ",""))=11,DadosBrutos[[#This Row],[cpf]],"-")</f>
        <v>000.000.051-00</v>
      </c>
      <c r="D8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40</v>
      </c>
      <c r="E82" s="45">
        <f>IF(DadosBrutos[[#This Row],[data_nascimento]]="","-",DadosBrutos[[#This Row],[data_nascimento]])</f>
        <v>31647</v>
      </c>
      <c r="F82" s="1" t="str">
        <f>IF(ISNUMBER(SEARCH("|",DadosBrutos[[#This Row],[cidade]])),TRIM(LEFT(DadosBrutos[[#This Row],[cidade]],SEARCH("|",DadosBrutos[[#This Row],[cidade]])-1)),TRIM(DadosBrutos[[#This Row],[cidade]]))</f>
        <v>Fosso Cailin</v>
      </c>
      <c r="G8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82" s="37">
        <f>IF(DadosBrutos[[#This Row],[renda_mensal]]="","-",IF(ISNUMBER(DadosBrutos[[#This Row],[renda_mensal]]),DadosBrutos[[#This Row],[renda_mensal]],IFERROR(VALUE(SUBSTITUTE(DadosBrutos[[#This Row],[renda_mensal]]," moedas","")),"-")))</f>
        <v>18700</v>
      </c>
      <c r="I82" s="37">
        <f>IF(DadosBrutos[[#This Row],[credito_tomado]]="","-",IF(ISNUMBER(DadosBrutos[[#This Row],[credito_tomado]]),DadosBrutos[[#This Row],[credito_tomado]],IFERROR(VALUE(SUBSTITUTE(DadosBrutos[[#This Row],[credito_tomado]]," moedas","")),"-")))</f>
        <v>15000</v>
      </c>
      <c r="J8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-</v>
      </c>
      <c r="K82" s="1">
        <f>IF(DadosBrutos[[#This Row],[qtde_batalhas]]="","-",IF(ISNUMBER(DadosBrutos[[#This Row],[qtde_batalhas]]),DadosBrutos[[#This Row],[qtde_batalhas]],IFERROR(VALUE(SUBSTITUTE(DadosBrutos[[#This Row],[qtde_batalhas]]," batalhas","")),"-")))</f>
        <v>26</v>
      </c>
      <c r="L82" s="1" t="str">
        <f>IF(DadosL[[#This Row],[qtde_batalhas]]="-","-",IF(DadosL[[#This Row],[qtde_batalhas]]&lt;=10,"Baixo",IF(DadosL[[#This Row],[qtde_batalhas]]&lt;=25,"Médio","Alto")))</f>
        <v>Alto</v>
      </c>
      <c r="M8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89500</v>
      </c>
      <c r="N82" s="1" t="str">
        <f>IF(AND(DadosL[[#This Row],[nivel_risco]]="Alto",DadosL[[#This Row],[flag_inadimplente]]="Sim"),"Negado","Aprovado")</f>
        <v>Aprovado</v>
      </c>
      <c r="O82" s="1" t="str">
        <f>IF(AND(ISNUMBER(DadosL[[#This Row],[credito_tomado]]),DadosL[[#This Row],[credito_tomado]]&gt;50000,DadosL[[#This Row],[flag_inadimplente]]="Sim"),"Negado","Aprovado")</f>
        <v>Aprovado</v>
      </c>
      <c r="P82" s="46">
        <f>IF(OR(DadosL[[#This Row],[Analise_Risco]]="Negado",DadosL[[#This Row],[Analise_Credito]]="Negado"),0,IF(DadosL[[#This Row],[status]]="Ativo",DadosL[[#This Row],[valor_solicitado]]*1.08,0))</f>
        <v>96660</v>
      </c>
    </row>
    <row r="83" spans="1:16">
      <c r="A8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83" s="1" t="str">
        <f>PROPER(TRIM(DadosBrutos[[#This Row],[nome]]))</f>
        <v>Yara Baelish</v>
      </c>
      <c r="C83" s="1" t="str">
        <f>IF(LEN(SUBSTITUTE(SUBSTITUTE(SUBSTITUTE(DadosBrutos[[#This Row],[cpf]],".",""),"-","")," ",""))=11,DadosBrutos[[#This Row],[cpf]],"-")</f>
        <v>-</v>
      </c>
      <c r="D8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64</v>
      </c>
      <c r="E83" s="45">
        <f>IF(DadosBrutos[[#This Row],[data_nascimento]]="","-",DadosBrutos[[#This Row],[data_nascimento]])</f>
        <v>22836</v>
      </c>
      <c r="F83" s="1" t="str">
        <f>IF(ISNUMBER(SEARCH("|",DadosBrutos[[#This Row],[cidade]])),TRIM(LEFT(DadosBrutos[[#This Row],[cidade]],SEARCH("|",DadosBrutos[[#This Row],[cidade]])-1)),TRIM(DadosBrutos[[#This Row],[cidade]]))</f>
        <v>Solar do Entardecer</v>
      </c>
      <c r="G8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83" s="37">
        <f>IF(DadosBrutos[[#This Row],[renda_mensal]]="","-",IF(ISNUMBER(DadosBrutos[[#This Row],[renda_mensal]]),DadosBrutos[[#This Row],[renda_mensal]],IFERROR(VALUE(SUBSTITUTE(DadosBrutos[[#This Row],[renda_mensal]]," moedas","")),"-")))</f>
        <v>24300</v>
      </c>
      <c r="I83" s="37">
        <f>IF(DadosBrutos[[#This Row],[credito_tomado]]="","-",IF(ISNUMBER(DadosBrutos[[#This Row],[credito_tomado]]),DadosBrutos[[#This Row],[credito_tomado]],IFERROR(VALUE(SUBSTITUTE(DadosBrutos[[#This Row],[credito_tomado]]," moedas","")),"-")))</f>
        <v>16500</v>
      </c>
      <c r="J8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83" s="1">
        <f>IF(DadosBrutos[[#This Row],[qtde_batalhas]]="","-",IF(ISNUMBER(DadosBrutos[[#This Row],[qtde_batalhas]]),DadosBrutos[[#This Row],[qtde_batalhas]],IFERROR(VALUE(SUBSTITUTE(DadosBrutos[[#This Row],[qtde_batalhas]]," batalhas","")),"-")))</f>
        <v>24</v>
      </c>
      <c r="L83" s="1" t="str">
        <f>IF(DadosL[[#This Row],[qtde_batalhas]]="-","-",IF(DadosL[[#This Row],[qtde_batalhas]]&lt;=10,"Baixo",IF(DadosL[[#This Row],[qtde_batalhas]]&lt;=25,"Médio","Alto")))</f>
        <v>Médio</v>
      </c>
      <c r="M8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57000</v>
      </c>
      <c r="N83" s="1" t="str">
        <f>IF(AND(DadosL[[#This Row],[nivel_risco]]="Alto",DadosL[[#This Row],[flag_inadimplente]]="Sim"),"Negado","Aprovado")</f>
        <v>Aprovado</v>
      </c>
      <c r="O83" s="1" t="str">
        <f>IF(AND(ISNUMBER(DadosL[[#This Row],[credito_tomado]]),DadosL[[#This Row],[credito_tomado]]&gt;50000,DadosL[[#This Row],[flag_inadimplente]]="Sim"),"Negado","Aprovado")</f>
        <v>Aprovado</v>
      </c>
      <c r="P83" s="46">
        <f>IF(OR(DadosL[[#This Row],[Analise_Risco]]="Negado",DadosL[[#This Row],[Analise_Credito]]="Negado"),0,IF(DadosL[[#This Row],[status]]="Ativo",DadosL[[#This Row],[valor_solicitado]]*1.08,0))</f>
        <v>61560.000000000007</v>
      </c>
    </row>
    <row r="84" spans="1:16">
      <c r="A8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84" s="1" t="str">
        <f>PROPER(TRIM(DadosBrutos[[#This Row],[nome]]))</f>
        <v>Cersei Stark</v>
      </c>
      <c r="C84" s="1" t="str">
        <f>IF(LEN(SUBSTITUTE(SUBSTITUTE(SUBSTITUTE(DadosBrutos[[#This Row],[cpf]],".",""),"-","")," ",""))=11,DadosBrutos[[#This Row],[cpf]],"-")</f>
        <v>000.000.293-00</v>
      </c>
      <c r="D8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25</v>
      </c>
      <c r="E84" s="45">
        <f>IF(DadosBrutos[[#This Row],[data_nascimento]]="","-",DadosBrutos[[#This Row],[data_nascimento]])</f>
        <v>37091</v>
      </c>
      <c r="F84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8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84" s="37">
        <f>IF(DadosBrutos[[#This Row],[renda_mensal]]="","-",IF(ISNUMBER(DadosBrutos[[#This Row],[renda_mensal]]),DadosBrutos[[#This Row],[renda_mensal]],IFERROR(VALUE(SUBSTITUTE(DadosBrutos[[#This Row],[renda_mensal]]," moedas","")),"-")))</f>
        <v>28800</v>
      </c>
      <c r="I84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8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84" s="1">
        <f>IF(DadosBrutos[[#This Row],[qtde_batalhas]]="","-",IF(ISNUMBER(DadosBrutos[[#This Row],[qtde_batalhas]]),DadosBrutos[[#This Row],[qtde_batalhas]],IFERROR(VALUE(SUBSTITUTE(DadosBrutos[[#This Row],[qtde_batalhas]]," batalhas","")),"-")))</f>
        <v>12</v>
      </c>
      <c r="L84" s="1" t="str">
        <f>IF(DadosL[[#This Row],[qtde_batalhas]]="-","-",IF(DadosL[[#This Row],[qtde_batalhas]]&lt;=10,"Baixo",IF(DadosL[[#This Row],[qtde_batalhas]]&lt;=25,"Médio","Alto")))</f>
        <v>Médio</v>
      </c>
      <c r="M8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46500</v>
      </c>
      <c r="N84" s="1" t="str">
        <f>IF(AND(DadosL[[#This Row],[nivel_risco]]="Alto",DadosL[[#This Row],[flag_inadimplente]]="Sim"),"Negado","Aprovado")</f>
        <v>Aprovado</v>
      </c>
      <c r="O84" s="1" t="str">
        <f>IF(AND(ISNUMBER(DadosL[[#This Row],[credito_tomado]]),DadosL[[#This Row],[credito_tomado]]&gt;50000,DadosL[[#This Row],[flag_inadimplente]]="Sim"),"Negado","Aprovado")</f>
        <v>Aprovado</v>
      </c>
      <c r="P84" s="46">
        <f>IF(OR(DadosL[[#This Row],[Analise_Risco]]="Negado",DadosL[[#This Row],[Analise_Credito]]="Negado"),0,IF(DadosL[[#This Row],[status]]="Ativo",DadosL[[#This Row],[valor_solicitado]]*1.08,0))</f>
        <v>50220</v>
      </c>
    </row>
    <row r="85" spans="1:16">
      <c r="A8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85" s="1" t="str">
        <f>PROPER(TRIM(DadosBrutos[[#This Row],[nome]]))</f>
        <v>Jon  Karstark</v>
      </c>
      <c r="C85" s="1" t="str">
        <f>IF(LEN(SUBSTITUTE(SUBSTITUTE(SUBSTITUTE(DadosBrutos[[#This Row],[cpf]],".",""),"-","")," ",""))=11,DadosBrutos[[#This Row],[cpf]],"-")</f>
        <v>000.000.139-00</v>
      </c>
      <c r="D85" s="15" t="str">
        <f ca="1">IF(DadosBrutos[[#This Row],[idade]]="",IF(DadosBrutos[[#This Row],[data_nascimento]]="","-",YEAR(TODAY())-YEAR(DadosBrutos[[#This Row],[data_nascimento]])),IF(ISNUMBER(DadosBrutos[[#This Row],[idade]]),DadosBrutos[[#This Row],[idade]],"-"))</f>
        <v>-</v>
      </c>
      <c r="E85" s="45">
        <f>IF(DadosBrutos[[#This Row],[data_nascimento]]="","-",DadosBrutos[[#This Row],[data_nascimento]])</f>
        <v>26161</v>
      </c>
      <c r="F85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8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85" s="37">
        <f>IF(DadosBrutos[[#This Row],[renda_mensal]]="","-",IF(ISNUMBER(DadosBrutos[[#This Row],[renda_mensal]]),DadosBrutos[[#This Row],[renda_mensal]],IFERROR(VALUE(SUBSTITUTE(DadosBrutos[[#This Row],[renda_mensal]]," moedas","")),"-")))</f>
        <v>12200</v>
      </c>
      <c r="I85" s="37">
        <f>IF(DadosBrutos[[#This Row],[credito_tomado]]="","-",IF(ISNUMBER(DadosBrutos[[#This Row],[credito_tomado]]),DadosBrutos[[#This Row],[credito_tomado]],IFERROR(VALUE(SUBSTITUTE(DadosBrutos[[#This Row],[credito_tomado]]," moedas","")),"-")))</f>
        <v>70500</v>
      </c>
      <c r="J8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85" s="1">
        <f>IF(DadosBrutos[[#This Row],[qtde_batalhas]]="","-",IF(ISNUMBER(DadosBrutos[[#This Row],[qtde_batalhas]]),DadosBrutos[[#This Row],[qtde_batalhas]],IFERROR(VALUE(SUBSTITUTE(DadosBrutos[[#This Row],[qtde_batalhas]]," batalhas","")),"-")))</f>
        <v>33</v>
      </c>
      <c r="L85" s="1" t="str">
        <f>IF(DadosL[[#This Row],[qtde_batalhas]]="-","-",IF(DadosL[[#This Row],[qtde_batalhas]]&lt;=10,"Baixo",IF(DadosL[[#This Row],[qtde_batalhas]]&lt;=25,"Médio","Alto")))</f>
        <v>Alto</v>
      </c>
      <c r="M8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78000</v>
      </c>
      <c r="N85" s="1" t="str">
        <f>IF(AND(DadosL[[#This Row],[nivel_risco]]="Alto",DadosL[[#This Row],[flag_inadimplente]]="Sim"),"Negado","Aprovado")</f>
        <v>Aprovado</v>
      </c>
      <c r="O85" s="1" t="str">
        <f>IF(AND(ISNUMBER(DadosL[[#This Row],[credito_tomado]]),DadosL[[#This Row],[credito_tomado]]&gt;50000,DadosL[[#This Row],[flag_inadimplente]]="Sim"),"Negado","Aprovado")</f>
        <v>Aprovado</v>
      </c>
      <c r="P85" s="46">
        <f>IF(OR(DadosL[[#This Row],[Analise_Risco]]="Negado",DadosL[[#This Row],[Analise_Credito]]="Negado"),0,IF(DadosL[[#This Row],[status]]="Ativo",DadosL[[#This Row],[valor_solicitado]]*1.08,0))</f>
        <v>84240</v>
      </c>
    </row>
    <row r="86" spans="1:16">
      <c r="A8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86" s="1" t="str">
        <f>PROPER(TRIM(DadosBrutos[[#This Row],[nome]]))</f>
        <v>Yara Royce</v>
      </c>
      <c r="C86" s="1" t="str">
        <f>IF(LEN(SUBSTITUTE(SUBSTITUTE(SUBSTITUTE(DadosBrutos[[#This Row],[cpf]],".",""),"-","")," ",""))=11,DadosBrutos[[#This Row],[cpf]],"-")</f>
        <v>-</v>
      </c>
      <c r="D8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68</v>
      </c>
      <c r="E86" s="45">
        <f>IF(DadosBrutos[[#This Row],[data_nascimento]]="","-",DadosBrutos[[#This Row],[data_nascimento]])</f>
        <v>21162</v>
      </c>
      <c r="F86" s="1" t="str">
        <f>IF(ISNUMBER(SEARCH("|",DadosBrutos[[#This Row],[cidade]])),TRIM(LEFT(DadosBrutos[[#This Row],[cidade]],SEARCH("|",DadosBrutos[[#This Row],[cidade]])-1)),TRIM(DadosBrutos[[#This Row],[cidade]]))</f>
        <v>Castelo Negro</v>
      </c>
      <c r="G8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86" s="37">
        <f>IF(DadosBrutos[[#This Row],[renda_mensal]]="","-",IF(ISNUMBER(DadosBrutos[[#This Row],[renda_mensal]]),DadosBrutos[[#This Row],[renda_mensal]],IFERROR(VALUE(SUBSTITUTE(DadosBrutos[[#This Row],[renda_mensal]]," moedas","")),"-")))</f>
        <v>11500</v>
      </c>
      <c r="I86" s="37">
        <f>IF(DadosBrutos[[#This Row],[credito_tomado]]="","-",IF(ISNUMBER(DadosBrutos[[#This Row],[credito_tomado]]),DadosBrutos[[#This Row],[credito_tomado]],IFERROR(VALUE(SUBSTITUTE(DadosBrutos[[#This Row],[credito_tomado]]," moedas","")),"-")))</f>
        <v>17500</v>
      </c>
      <c r="J8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86" s="1">
        <f>IF(DadosBrutos[[#This Row],[qtde_batalhas]]="","-",IF(ISNUMBER(DadosBrutos[[#This Row],[qtde_batalhas]]),DadosBrutos[[#This Row],[qtde_batalhas]],IFERROR(VALUE(SUBSTITUTE(DadosBrutos[[#This Row],[qtde_batalhas]]," batalhas","")),"-")))</f>
        <v>19</v>
      </c>
      <c r="L86" s="1" t="str">
        <f>IF(DadosL[[#This Row],[qtde_batalhas]]="-","-",IF(DadosL[[#This Row],[qtde_batalhas]]&lt;=10,"Baixo",IF(DadosL[[#This Row],[qtde_batalhas]]&lt;=25,"Médio","Alto")))</f>
        <v>Médio</v>
      </c>
      <c r="M8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26000</v>
      </c>
      <c r="N86" s="1" t="str">
        <f>IF(AND(DadosL[[#This Row],[nivel_risco]]="Alto",DadosL[[#This Row],[flag_inadimplente]]="Sim"),"Negado","Aprovado")</f>
        <v>Aprovado</v>
      </c>
      <c r="O86" s="1" t="str">
        <f>IF(AND(ISNUMBER(DadosL[[#This Row],[credito_tomado]]),DadosL[[#This Row],[credito_tomado]]&gt;50000,DadosL[[#This Row],[flag_inadimplente]]="Sim"),"Negado","Aprovado")</f>
        <v>Aprovado</v>
      </c>
      <c r="P86" s="46">
        <f>IF(OR(DadosL[[#This Row],[Analise_Risco]]="Negado",DadosL[[#This Row],[Analise_Credito]]="Negado"),0,IF(DadosL[[#This Row],[status]]="Ativo",DadosL[[#This Row],[valor_solicitado]]*1.08,0))</f>
        <v>28080.000000000004</v>
      </c>
    </row>
    <row r="87" spans="1:16">
      <c r="A8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87" s="1" t="str">
        <f>PROPER(TRIM(DadosBrutos[[#This Row],[nome]]))</f>
        <v>Jeor Lannister</v>
      </c>
      <c r="C87" s="1" t="str">
        <f>IF(LEN(SUBSTITUTE(SUBSTITUTE(SUBSTITUTE(DadosBrutos[[#This Row],[cpf]],".",""),"-","")," ",""))=11,DadosBrutos[[#This Row],[cpf]],"-")</f>
        <v>000.000.091-00</v>
      </c>
      <c r="D8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37</v>
      </c>
      <c r="E87" s="45">
        <f>IF(DadosBrutos[[#This Row],[data_nascimento]]="","-",DadosBrutos[[#This Row],[data_nascimento]])</f>
        <v>32412</v>
      </c>
      <c r="F87" s="1" t="str">
        <f>IF(ISNUMBER(SEARCH("|",DadosBrutos[[#This Row],[cidade]])),TRIM(LEFT(DadosBrutos[[#This Row],[cidade]],SEARCH("|",DadosBrutos[[#This Row],[cidade]])-1)),TRIM(DadosBrutos[[#This Row],[cidade]]))</f>
        <v>Fosso Cailin</v>
      </c>
      <c r="G8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87" s="37">
        <f>IF(DadosBrutos[[#This Row],[renda_mensal]]="","-",IF(ISNUMBER(DadosBrutos[[#This Row],[renda_mensal]]),DadosBrutos[[#This Row],[renda_mensal]],IFERROR(VALUE(SUBSTITUTE(DadosBrutos[[#This Row],[renda_mensal]]," moedas","")),"-")))</f>
        <v>24700</v>
      </c>
      <c r="I87" s="37">
        <f>IF(DadosBrutos[[#This Row],[credito_tomado]]="","-",IF(ISNUMBER(DadosBrutos[[#This Row],[credito_tomado]]),DadosBrutos[[#This Row],[credito_tomado]],IFERROR(VALUE(SUBSTITUTE(DadosBrutos[[#This Row],[credito_tomado]]," moedas","")),"-")))</f>
        <v>23000</v>
      </c>
      <c r="J8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87" s="1">
        <f>IF(DadosBrutos[[#This Row],[qtde_batalhas]]="","-",IF(ISNUMBER(DadosBrutos[[#This Row],[qtde_batalhas]]),DadosBrutos[[#This Row],[qtde_batalhas]],IFERROR(VALUE(SUBSTITUTE(DadosBrutos[[#This Row],[qtde_batalhas]]," batalhas","")),"-")))</f>
        <v>10</v>
      </c>
      <c r="L87" s="1" t="str">
        <f>IF(DadosL[[#This Row],[qtde_batalhas]]="-","-",IF(DadosL[[#This Row],[qtde_batalhas]]&lt;=10,"Baixo",IF(DadosL[[#This Row],[qtde_batalhas]]&lt;=25,"Médio","Alto")))</f>
        <v>Baixo</v>
      </c>
      <c r="M8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37500</v>
      </c>
      <c r="N87" s="1" t="str">
        <f>IF(AND(DadosL[[#This Row],[nivel_risco]]="Alto",DadosL[[#This Row],[flag_inadimplente]]="Sim"),"Negado","Aprovado")</f>
        <v>Aprovado</v>
      </c>
      <c r="O87" s="1" t="str">
        <f>IF(AND(ISNUMBER(DadosL[[#This Row],[credito_tomado]]),DadosL[[#This Row],[credito_tomado]]&gt;50000,DadosL[[#This Row],[flag_inadimplente]]="Sim"),"Negado","Aprovado")</f>
        <v>Aprovado</v>
      </c>
      <c r="P87" s="46">
        <f>IF(OR(DadosL[[#This Row],[Analise_Risco]]="Negado",DadosL[[#This Row],[Analise_Credito]]="Negado"),0,IF(DadosL[[#This Row],[status]]="Ativo",DadosL[[#This Row],[valor_solicitado]]*1.08,0))</f>
        <v>40500</v>
      </c>
    </row>
    <row r="88" spans="1:16">
      <c r="A8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88" s="1" t="str">
        <f>PROPER(TRIM(DadosBrutos[[#This Row],[nome]]))</f>
        <v>Bran Florent</v>
      </c>
      <c r="C88" s="1" t="str">
        <f>IF(LEN(SUBSTITUTE(SUBSTITUTE(SUBSTITUTE(DadosBrutos[[#This Row],[cpf]],".",""),"-","")," ",""))=11,DadosBrutos[[#This Row],[cpf]],"-")</f>
        <v>000.000.218-00</v>
      </c>
      <c r="D8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62</v>
      </c>
      <c r="E88" s="45">
        <f>IF(DadosBrutos[[#This Row],[data_nascimento]]="","-",DadosBrutos[[#This Row],[data_nascimento]])</f>
        <v>23488</v>
      </c>
      <c r="F88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8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88" s="37" t="str">
        <f>IF(DadosBrutos[[#This Row],[renda_mensal]]="","-",IF(ISNUMBER(DadosBrutos[[#This Row],[renda_mensal]]),DadosBrutos[[#This Row],[renda_mensal]],IFERROR(VALUE(SUBSTITUTE(DadosBrutos[[#This Row],[renda_mensal]]," moedas","")),"-")))</f>
        <v>-</v>
      </c>
      <c r="I88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8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88" s="1">
        <f>IF(DadosBrutos[[#This Row],[qtde_batalhas]]="","-",IF(ISNUMBER(DadosBrutos[[#This Row],[qtde_batalhas]]),DadosBrutos[[#This Row],[qtde_batalhas]],IFERROR(VALUE(SUBSTITUTE(DadosBrutos[[#This Row],[qtde_batalhas]]," batalhas","")),"-")))</f>
        <v>38</v>
      </c>
      <c r="L88" s="1" t="str">
        <f>IF(DadosL[[#This Row],[qtde_batalhas]]="-","-",IF(DadosL[[#This Row],[qtde_batalhas]]&lt;=10,"Baixo",IF(DadosL[[#This Row],[qtde_batalhas]]&lt;=25,"Médio","Alto")))</f>
        <v>Alto</v>
      </c>
      <c r="M8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72000</v>
      </c>
      <c r="N88" s="1" t="str">
        <f>IF(AND(DadosL[[#This Row],[nivel_risco]]="Alto",DadosL[[#This Row],[flag_inadimplente]]="Sim"),"Negado","Aprovado")</f>
        <v>Aprovado</v>
      </c>
      <c r="O88" s="1" t="str">
        <f>IF(AND(ISNUMBER(DadosL[[#This Row],[credito_tomado]]),DadosL[[#This Row],[credito_tomado]]&gt;50000,DadosL[[#This Row],[flag_inadimplente]]="Sim"),"Negado","Aprovado")</f>
        <v>Aprovado</v>
      </c>
      <c r="P88" s="46">
        <f>IF(OR(DadosL[[#This Row],[Analise_Risco]]="Negado",DadosL[[#This Row],[Analise_Credito]]="Negado"),0,IF(DadosL[[#This Row],[status]]="Ativo",DadosL[[#This Row],[valor_solicitado]]*1.08,0))</f>
        <v>77760</v>
      </c>
    </row>
    <row r="89" spans="1:16">
      <c r="A8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89" s="1" t="str">
        <f>PROPER(TRIM(DadosBrutos[[#This Row],[nome]]))</f>
        <v>Jojen Redwyne</v>
      </c>
      <c r="C89" s="1" t="str">
        <f>IF(LEN(SUBSTITUTE(SUBSTITUTE(SUBSTITUTE(DadosBrutos[[#This Row],[cpf]],".",""),"-","")," ",""))=11,DadosBrutos[[#This Row],[cpf]],"-")</f>
        <v>000.000.334-00</v>
      </c>
      <c r="D89" s="15" t="str">
        <f ca="1">IF(DadosBrutos[[#This Row],[idade]]="",IF(DadosBrutos[[#This Row],[data_nascimento]]="","-",YEAR(TODAY())-YEAR(DadosBrutos[[#This Row],[data_nascimento]])),IF(ISNUMBER(DadosBrutos[[#This Row],[idade]]),DadosBrutos[[#This Row],[idade]],"-"))</f>
        <v>-</v>
      </c>
      <c r="E89" s="45">
        <f>IF(DadosBrutos[[#This Row],[data_nascimento]]="","-",DadosBrutos[[#This Row],[data_nascimento]])</f>
        <v>37491</v>
      </c>
      <c r="F89" s="1" t="str">
        <f>IF(ISNUMBER(SEARCH("|",DadosBrutos[[#This Row],[cidade]])),TRIM(LEFT(DadosBrutos[[#This Row],[cidade]],SEARCH("|",DadosBrutos[[#This Row],[cidade]])-1)),TRIM(DadosBrutos[[#This Row],[cidade]]))</f>
        <v>Dorne</v>
      </c>
      <c r="G8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89" s="37">
        <f>IF(DadosBrutos[[#This Row],[renda_mensal]]="","-",IF(ISNUMBER(DadosBrutos[[#This Row],[renda_mensal]]),DadosBrutos[[#This Row],[renda_mensal]],IFERROR(VALUE(SUBSTITUTE(DadosBrutos[[#This Row],[renda_mensal]]," moedas","")),"-")))</f>
        <v>8900</v>
      </c>
      <c r="I89" s="37">
        <f>IF(DadosBrutos[[#This Row],[credito_tomado]]="","-",IF(ISNUMBER(DadosBrutos[[#This Row],[credito_tomado]]),DadosBrutos[[#This Row],[credito_tomado]],IFERROR(VALUE(SUBSTITUTE(DadosBrutos[[#This Row],[credito_tomado]]," moedas","")),"-")))</f>
        <v>19500</v>
      </c>
      <c r="J8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89" s="1">
        <f>IF(DadosBrutos[[#This Row],[qtde_batalhas]]="","-",IF(ISNUMBER(DadosBrutos[[#This Row],[qtde_batalhas]]),DadosBrutos[[#This Row],[qtde_batalhas]],IFERROR(VALUE(SUBSTITUTE(DadosBrutos[[#This Row],[qtde_batalhas]]," batalhas","")),"-")))</f>
        <v>33</v>
      </c>
      <c r="L89" s="1" t="str">
        <f>IF(DadosL[[#This Row],[qtde_batalhas]]="-","-",IF(DadosL[[#This Row],[qtde_batalhas]]&lt;=10,"Baixo",IF(DadosL[[#This Row],[qtde_batalhas]]&lt;=25,"Médio","Alto")))</f>
        <v>Alto</v>
      </c>
      <c r="M8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96500</v>
      </c>
      <c r="N89" s="1" t="str">
        <f>IF(AND(DadosL[[#This Row],[nivel_risco]]="Alto",DadosL[[#This Row],[flag_inadimplente]]="Sim"),"Negado","Aprovado")</f>
        <v>Negado</v>
      </c>
      <c r="O89" s="1" t="str">
        <f>IF(AND(ISNUMBER(DadosL[[#This Row],[credito_tomado]]),DadosL[[#This Row],[credito_tomado]]&gt;50000,DadosL[[#This Row],[flag_inadimplente]]="Sim"),"Negado","Aprovado")</f>
        <v>Aprovado</v>
      </c>
      <c r="P89" s="46">
        <f>IF(OR(DadosL[[#This Row],[Analise_Risco]]="Negado",DadosL[[#This Row],[Analise_Credito]]="Negado"),0,IF(DadosL[[#This Row],[status]]="Ativo",DadosL[[#This Row],[valor_solicitado]]*1.08,0))</f>
        <v>0</v>
      </c>
    </row>
    <row r="90" spans="1:16">
      <c r="A9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90" s="1" t="str">
        <f>PROPER(TRIM(DadosBrutos[[#This Row],[nome]]))</f>
        <v>Bronn Mallister</v>
      </c>
      <c r="C90" s="1" t="str">
        <f>IF(LEN(SUBSTITUTE(SUBSTITUTE(SUBSTITUTE(DadosBrutos[[#This Row],[cpf]],".",""),"-","")," ",""))=11,DadosBrutos[[#This Row],[cpf]],"-")</f>
        <v>000.000.200-00</v>
      </c>
      <c r="D9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35</v>
      </c>
      <c r="E90" s="45" t="str">
        <f>IF(DadosBrutos[[#This Row],[data_nascimento]]="","-",DadosBrutos[[#This Row],[data_nascimento]])</f>
        <v>-</v>
      </c>
      <c r="F90" s="1" t="str">
        <f>IF(ISNUMBER(SEARCH("|",DadosBrutos[[#This Row],[cidade]])),TRIM(LEFT(DadosBrutos[[#This Row],[cidade]],SEARCH("|",DadosBrutos[[#This Row],[cidade]])-1)),TRIM(DadosBrutos[[#This Row],[cidade]]))</f>
        <v>Vilavelha</v>
      </c>
      <c r="G9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90" s="37">
        <f>IF(DadosBrutos[[#This Row],[renda_mensal]]="","-",IF(ISNUMBER(DadosBrutos[[#This Row],[renda_mensal]]),DadosBrutos[[#This Row],[renda_mensal]],IFERROR(VALUE(SUBSTITUTE(DadosBrutos[[#This Row],[renda_mensal]]," moedas","")),"-")))</f>
        <v>28000</v>
      </c>
      <c r="I90" s="37">
        <f>IF(DadosBrutos[[#This Row],[credito_tomado]]="","-",IF(ISNUMBER(DadosBrutos[[#This Row],[credito_tomado]]),DadosBrutos[[#This Row],[credito_tomado]],IFERROR(VALUE(SUBSTITUTE(DadosBrutos[[#This Row],[credito_tomado]]," moedas","")),"-")))</f>
        <v>76500</v>
      </c>
      <c r="J9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90" s="1">
        <f>IF(DadosBrutos[[#This Row],[qtde_batalhas]]="","-",IF(ISNUMBER(DadosBrutos[[#This Row],[qtde_batalhas]]),DadosBrutos[[#This Row],[qtde_batalhas]],IFERROR(VALUE(SUBSTITUTE(DadosBrutos[[#This Row],[qtde_batalhas]]," batalhas","")),"-")))</f>
        <v>39</v>
      </c>
      <c r="L90" s="1" t="str">
        <f>IF(DadosL[[#This Row],[qtde_batalhas]]="-","-",IF(DadosL[[#This Row],[qtde_batalhas]]&lt;=10,"Baixo",IF(DadosL[[#This Row],[qtde_batalhas]]&lt;=25,"Médio","Alto")))</f>
        <v>Alto</v>
      </c>
      <c r="M9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32000</v>
      </c>
      <c r="N90" s="1" t="str">
        <f>IF(AND(DadosL[[#This Row],[nivel_risco]]="Alto",DadosL[[#This Row],[flag_inadimplente]]="Sim"),"Negado","Aprovado")</f>
        <v>Aprovado</v>
      </c>
      <c r="O90" s="1" t="str">
        <f>IF(AND(ISNUMBER(DadosL[[#This Row],[credito_tomado]]),DadosL[[#This Row],[credito_tomado]]&gt;50000,DadosL[[#This Row],[flag_inadimplente]]="Sim"),"Negado","Aprovado")</f>
        <v>Aprovado</v>
      </c>
      <c r="P90" s="46">
        <f>IF(OR(DadosL[[#This Row],[Analise_Risco]]="Negado",DadosL[[#This Row],[Analise_Credito]]="Negado"),0,IF(DadosL[[#This Row],[status]]="Ativo",DadosL[[#This Row],[valor_solicitado]]*1.08,0))</f>
        <v>34560</v>
      </c>
    </row>
    <row r="91" spans="1:16">
      <c r="A9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91" s="1" t="str">
        <f>PROPER(TRIM(DadosBrutos[[#This Row],[nome]]))</f>
        <v>Olenna Reed</v>
      </c>
      <c r="C91" s="1" t="str">
        <f>IF(LEN(SUBSTITUTE(SUBSTITUTE(SUBSTITUTE(DadosBrutos[[#This Row],[cpf]],".",""),"-","")," ",""))=11,DadosBrutos[[#This Row],[cpf]],"-")</f>
        <v>000.000.248-00</v>
      </c>
      <c r="D9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40</v>
      </c>
      <c r="E91" s="45">
        <f>IF(DadosBrutos[[#This Row],[data_nascimento]]="","-",DadosBrutos[[#This Row],[data_nascimento]])</f>
        <v>31408</v>
      </c>
      <c r="F91" s="1" t="str">
        <f>IF(ISNUMBER(SEARCH("|",DadosBrutos[[#This Row],[cidade]])),TRIM(LEFT(DadosBrutos[[#This Row],[cidade]],SEARCH("|",DadosBrutos[[#This Row],[cidade]])-1)),TRIM(DadosBrutos[[#This Row],[cidade]]))</f>
        <v>Braavos</v>
      </c>
      <c r="G9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91" s="37">
        <f>IF(DadosBrutos[[#This Row],[renda_mensal]]="","-",IF(ISNUMBER(DadosBrutos[[#This Row],[renda_mensal]]),DadosBrutos[[#This Row],[renda_mensal]],IFERROR(VALUE(SUBSTITUTE(DadosBrutos[[#This Row],[renda_mensal]]," moedas","")),"-")))</f>
        <v>17400</v>
      </c>
      <c r="I91" s="37">
        <f>IF(DadosBrutos[[#This Row],[credito_tomado]]="","-",IF(ISNUMBER(DadosBrutos[[#This Row],[credito_tomado]]),DadosBrutos[[#This Row],[credito_tomado]],IFERROR(VALUE(SUBSTITUTE(DadosBrutos[[#This Row],[credito_tomado]]," moedas","")),"-")))</f>
        <v>53000</v>
      </c>
      <c r="J9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91" s="1">
        <f>IF(DadosBrutos[[#This Row],[qtde_batalhas]]="","-",IF(ISNUMBER(DadosBrutos[[#This Row],[qtde_batalhas]]),DadosBrutos[[#This Row],[qtde_batalhas]],IFERROR(VALUE(SUBSTITUTE(DadosBrutos[[#This Row],[qtde_batalhas]]," batalhas","")),"-")))</f>
        <v>20</v>
      </c>
      <c r="L91" s="1" t="str">
        <f>IF(DadosL[[#This Row],[qtde_batalhas]]="-","-",IF(DadosL[[#This Row],[qtde_batalhas]]&lt;=10,"Baixo",IF(DadosL[[#This Row],[qtde_batalhas]]&lt;=25,"Médio","Alto")))</f>
        <v>Médio</v>
      </c>
      <c r="M9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52500</v>
      </c>
      <c r="N91" s="1" t="str">
        <f>IF(AND(DadosL[[#This Row],[nivel_risco]]="Alto",DadosL[[#This Row],[flag_inadimplente]]="Sim"),"Negado","Aprovado")</f>
        <v>Aprovado</v>
      </c>
      <c r="O91" s="1" t="str">
        <f>IF(AND(ISNUMBER(DadosL[[#This Row],[credito_tomado]]),DadosL[[#This Row],[credito_tomado]]&gt;50000,DadosL[[#This Row],[flag_inadimplente]]="Sim"),"Negado","Aprovado")</f>
        <v>Negado</v>
      </c>
      <c r="P91" s="46">
        <f>IF(OR(DadosL[[#This Row],[Analise_Risco]]="Negado",DadosL[[#This Row],[Analise_Credito]]="Negado"),0,IF(DadosL[[#This Row],[status]]="Ativo",DadosL[[#This Row],[valor_solicitado]]*1.08,0))</f>
        <v>0</v>
      </c>
    </row>
    <row r="92" spans="1:16">
      <c r="A9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-</v>
      </c>
      <c r="B92" s="1" t="str">
        <f>PROPER(TRIM(DadosBrutos[[#This Row],[nome]]))</f>
        <v>Jon Hightower</v>
      </c>
      <c r="C92" s="1" t="str">
        <f>IF(LEN(SUBSTITUTE(SUBSTITUTE(SUBSTITUTE(DadosBrutos[[#This Row],[cpf]],".",""),"-","")," ",""))=11,DadosBrutos[[#This Row],[cpf]],"-")</f>
        <v>000.000.081-00</v>
      </c>
      <c r="D9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59</v>
      </c>
      <c r="E92" s="45">
        <f>IF(DadosBrutos[[#This Row],[data_nascimento]]="","-",DadosBrutos[[#This Row],[data_nascimento]])</f>
        <v>24362</v>
      </c>
      <c r="F92" s="1" t="str">
        <f>IF(ISNUMBER(SEARCH("|",DadosBrutos[[#This Row],[cidade]])),TRIM(LEFT(DadosBrutos[[#This Row],[cidade]],SEARCH("|",DadosBrutos[[#This Row],[cidade]])-1)),TRIM(DadosBrutos[[#This Row],[cidade]]))</f>
        <v>Winterfell</v>
      </c>
      <c r="G9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92" s="37">
        <f>IF(DadosBrutos[[#This Row],[renda_mensal]]="","-",IF(ISNUMBER(DadosBrutos[[#This Row],[renda_mensal]]),DadosBrutos[[#This Row],[renda_mensal]],IFERROR(VALUE(SUBSTITUTE(DadosBrutos[[#This Row],[renda_mensal]]," moedas","")),"-")))</f>
        <v>18900</v>
      </c>
      <c r="I92" s="37">
        <f>IF(DadosBrutos[[#This Row],[credito_tomado]]="","-",IF(ISNUMBER(DadosBrutos[[#This Row],[credito_tomado]]),DadosBrutos[[#This Row],[credito_tomado]],IFERROR(VALUE(SUBSTITUTE(DadosBrutos[[#This Row],[credito_tomado]]," moedas","")),"-")))</f>
        <v>1000</v>
      </c>
      <c r="J9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92" s="1">
        <f>IF(DadosBrutos[[#This Row],[qtde_batalhas]]="","-",IF(ISNUMBER(DadosBrutos[[#This Row],[qtde_batalhas]]),DadosBrutos[[#This Row],[qtde_batalhas]],IFERROR(VALUE(SUBSTITUTE(DadosBrutos[[#This Row],[qtde_batalhas]]," batalhas","")),"-")))</f>
        <v>42</v>
      </c>
      <c r="L92" s="1" t="str">
        <f>IF(DadosL[[#This Row],[qtde_batalhas]]="-","-",IF(DadosL[[#This Row],[qtde_batalhas]]&lt;=10,"Baixo",IF(DadosL[[#This Row],[qtde_batalhas]]&lt;=25,"Médio","Alto")))</f>
        <v>Alto</v>
      </c>
      <c r="M9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16500</v>
      </c>
      <c r="N92" s="1" t="str">
        <f>IF(AND(DadosL[[#This Row],[nivel_risco]]="Alto",DadosL[[#This Row],[flag_inadimplente]]="Sim"),"Negado","Aprovado")</f>
        <v>Negado</v>
      </c>
      <c r="O92" s="1" t="str">
        <f>IF(AND(ISNUMBER(DadosL[[#This Row],[credito_tomado]]),DadosL[[#This Row],[credito_tomado]]&gt;50000,DadosL[[#This Row],[flag_inadimplente]]="Sim"),"Negado","Aprovado")</f>
        <v>Aprovado</v>
      </c>
      <c r="P92" s="46">
        <f>IF(OR(DadosL[[#This Row],[Analise_Risco]]="Negado",DadosL[[#This Row],[Analise_Credito]]="Negado"),0,IF(DadosL[[#This Row],[status]]="Ativo",DadosL[[#This Row],[valor_solicitado]]*1.08,0))</f>
        <v>0</v>
      </c>
    </row>
    <row r="93" spans="1:16">
      <c r="A9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93" s="1" t="str">
        <f>PROPER(TRIM(DadosBrutos[[#This Row],[nome]]))</f>
        <v>Renly Dayne</v>
      </c>
      <c r="C93" s="1" t="str">
        <f>IF(LEN(SUBSTITUTE(SUBSTITUTE(SUBSTITUTE(DadosBrutos[[#This Row],[cpf]],".",""),"-","")," ",""))=11,DadosBrutos[[#This Row],[cpf]],"-")</f>
        <v>000.000.065-00</v>
      </c>
      <c r="D9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73</v>
      </c>
      <c r="E93" s="45">
        <f>IF(DadosBrutos[[#This Row],[data_nascimento]]="","-",DadosBrutos[[#This Row],[data_nascimento]])</f>
        <v>19672</v>
      </c>
      <c r="F93" s="1" t="str">
        <f>IF(ISNUMBER(SEARCH("|",DadosBrutos[[#This Row],[cidade]])),TRIM(LEFT(DadosBrutos[[#This Row],[cidade]],SEARCH("|",DadosBrutos[[#This Row],[cidade]])-1)),TRIM(DadosBrutos[[#This Row],[cidade]]))</f>
        <v>Dorne</v>
      </c>
      <c r="G9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93" s="37">
        <f>IF(DadosBrutos[[#This Row],[renda_mensal]]="","-",IF(ISNUMBER(DadosBrutos[[#This Row],[renda_mensal]]),DadosBrutos[[#This Row],[renda_mensal]],IFERROR(VALUE(SUBSTITUTE(DadosBrutos[[#This Row],[renda_mensal]]," moedas","")),"-")))</f>
        <v>21000</v>
      </c>
      <c r="I93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9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93" s="1">
        <f>IF(DadosBrutos[[#This Row],[qtde_batalhas]]="","-",IF(ISNUMBER(DadosBrutos[[#This Row],[qtde_batalhas]]),DadosBrutos[[#This Row],[qtde_batalhas]],IFERROR(VALUE(SUBSTITUTE(DadosBrutos[[#This Row],[qtde_batalhas]]," batalhas","")),"-")))</f>
        <v>11</v>
      </c>
      <c r="L93" s="1" t="str">
        <f>IF(DadosL[[#This Row],[qtde_batalhas]]="-","-",IF(DadosL[[#This Row],[qtde_batalhas]]&lt;=10,"Baixo",IF(DadosL[[#This Row],[qtde_batalhas]]&lt;=25,"Médio","Alto")))</f>
        <v>Médio</v>
      </c>
      <c r="M9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75500</v>
      </c>
      <c r="N93" s="1" t="str">
        <f>IF(AND(DadosL[[#This Row],[nivel_risco]]="Alto",DadosL[[#This Row],[flag_inadimplente]]="Sim"),"Negado","Aprovado")</f>
        <v>Aprovado</v>
      </c>
      <c r="O93" s="1" t="str">
        <f>IF(AND(ISNUMBER(DadosL[[#This Row],[credito_tomado]]),DadosL[[#This Row],[credito_tomado]]&gt;50000,DadosL[[#This Row],[flag_inadimplente]]="Sim"),"Negado","Aprovado")</f>
        <v>Aprovado</v>
      </c>
      <c r="P93" s="46">
        <f>IF(OR(DadosL[[#This Row],[Analise_Risco]]="Negado",DadosL[[#This Row],[Analise_Credito]]="Negado"),0,IF(DadosL[[#This Row],[status]]="Ativo",DadosL[[#This Row],[valor_solicitado]]*1.08,0))</f>
        <v>0</v>
      </c>
    </row>
    <row r="94" spans="1:16">
      <c r="A9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94" s="1" t="str">
        <f>PROPER(TRIM(DadosBrutos[[#This Row],[nome]]))</f>
        <v>Missandei Karstark</v>
      </c>
      <c r="C94" s="1" t="str">
        <f>IF(LEN(SUBSTITUTE(SUBSTITUTE(SUBSTITUTE(DadosBrutos[[#This Row],[cpf]],".",""),"-","")," ",""))=11,DadosBrutos[[#This Row],[cpf]],"-")</f>
        <v>000.000.044-00</v>
      </c>
      <c r="D9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42</v>
      </c>
      <c r="E94" s="45">
        <f>IF(DadosBrutos[[#This Row],[data_nascimento]]="","-",DadosBrutos[[#This Row],[data_nascimento]])</f>
        <v>30666</v>
      </c>
      <c r="F94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9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94" s="37">
        <f>IF(DadosBrutos[[#This Row],[renda_mensal]]="","-",IF(ISNUMBER(DadosBrutos[[#This Row],[renda_mensal]]),DadosBrutos[[#This Row],[renda_mensal]],IFERROR(VALUE(SUBSTITUTE(DadosBrutos[[#This Row],[renda_mensal]]," moedas","")),"-")))</f>
        <v>6000</v>
      </c>
      <c r="I94" s="37">
        <f>IF(DadosBrutos[[#This Row],[credito_tomado]]="","-",IF(ISNUMBER(DadosBrutos[[#This Row],[credito_tomado]]),DadosBrutos[[#This Row],[credito_tomado]],IFERROR(VALUE(SUBSTITUTE(DadosBrutos[[#This Row],[credito_tomado]]," moedas","")),"-")))</f>
        <v>55000</v>
      </c>
      <c r="J9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94" s="1">
        <f>IF(DadosBrutos[[#This Row],[qtde_batalhas]]="","-",IF(ISNUMBER(DadosBrutos[[#This Row],[qtde_batalhas]]),DadosBrutos[[#This Row],[qtde_batalhas]],IFERROR(VALUE(SUBSTITUTE(DadosBrutos[[#This Row],[qtde_batalhas]]," batalhas","")),"-")))</f>
        <v>5</v>
      </c>
      <c r="L94" s="1" t="str">
        <f>IF(DadosL[[#This Row],[qtde_batalhas]]="-","-",IF(DadosL[[#This Row],[qtde_batalhas]]&lt;=10,"Baixo",IF(DadosL[[#This Row],[qtde_batalhas]]&lt;=25,"Médio","Alto")))</f>
        <v>Baixo</v>
      </c>
      <c r="M9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10000</v>
      </c>
      <c r="N94" s="1" t="str">
        <f>IF(AND(DadosL[[#This Row],[nivel_risco]]="Alto",DadosL[[#This Row],[flag_inadimplente]]="Sim"),"Negado","Aprovado")</f>
        <v>Aprovado</v>
      </c>
      <c r="O94" s="1" t="str">
        <f>IF(AND(ISNUMBER(DadosL[[#This Row],[credito_tomado]]),DadosL[[#This Row],[credito_tomado]]&gt;50000,DadosL[[#This Row],[flag_inadimplente]]="Sim"),"Negado","Aprovado")</f>
        <v>Aprovado</v>
      </c>
      <c r="P94" s="46">
        <f>IF(OR(DadosL[[#This Row],[Analise_Risco]]="Negado",DadosL[[#This Row],[Analise_Credito]]="Negado"),0,IF(DadosL[[#This Row],[status]]="Ativo",DadosL[[#This Row],[valor_solicitado]]*1.08,0))</f>
        <v>10800</v>
      </c>
    </row>
    <row r="95" spans="1:16">
      <c r="A9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95" s="1" t="str">
        <f>PROPER(TRIM(DadosBrutos[[#This Row],[nome]]))</f>
        <v>Catelyn Cerwyn</v>
      </c>
      <c r="C95" s="1" t="str">
        <f>IF(LEN(SUBSTITUTE(SUBSTITUTE(SUBSTITUTE(DadosBrutos[[#This Row],[cpf]],".",""),"-","")," ",""))=11,DadosBrutos[[#This Row],[cpf]],"-")</f>
        <v>000.000.308-00</v>
      </c>
      <c r="D9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60</v>
      </c>
      <c r="E95" s="45">
        <f>IF(DadosBrutos[[#This Row],[data_nascimento]]="","-",DadosBrutos[[#This Row],[data_nascimento]])</f>
        <v>24082</v>
      </c>
      <c r="F95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9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95" s="37">
        <f>IF(DadosBrutos[[#This Row],[renda_mensal]]="","-",IF(ISNUMBER(DadosBrutos[[#This Row],[renda_mensal]]),DadosBrutos[[#This Row],[renda_mensal]],IFERROR(VALUE(SUBSTITUTE(DadosBrutos[[#This Row],[renda_mensal]]," moedas","")),"-")))</f>
        <v>13800</v>
      </c>
      <c r="I95" s="37">
        <f>IF(DadosBrutos[[#This Row],[credito_tomado]]="","-",IF(ISNUMBER(DadosBrutos[[#This Row],[credito_tomado]]),DadosBrutos[[#This Row],[credito_tomado]],IFERROR(VALUE(SUBSTITUTE(DadosBrutos[[#This Row],[credito_tomado]]," moedas","")),"-")))</f>
        <v>45500</v>
      </c>
      <c r="J9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95" s="1">
        <f>IF(DadosBrutos[[#This Row],[qtde_batalhas]]="","-",IF(ISNUMBER(DadosBrutos[[#This Row],[qtde_batalhas]]),DadosBrutos[[#This Row],[qtde_batalhas]],IFERROR(VALUE(SUBSTITUTE(DadosBrutos[[#This Row],[qtde_batalhas]]," batalhas","")),"-")))</f>
        <v>30</v>
      </c>
      <c r="L95" s="1" t="str">
        <f>IF(DadosL[[#This Row],[qtde_batalhas]]="-","-",IF(DadosL[[#This Row],[qtde_batalhas]]&lt;=10,"Baixo",IF(DadosL[[#This Row],[qtde_batalhas]]&lt;=25,"Médio","Alto")))</f>
        <v>Alto</v>
      </c>
      <c r="M9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17500</v>
      </c>
      <c r="N95" s="1" t="str">
        <f>IF(AND(DadosL[[#This Row],[nivel_risco]]="Alto",DadosL[[#This Row],[flag_inadimplente]]="Sim"),"Negado","Aprovado")</f>
        <v>Aprovado</v>
      </c>
      <c r="O95" s="1" t="str">
        <f>IF(AND(ISNUMBER(DadosL[[#This Row],[credito_tomado]]),DadosL[[#This Row],[credito_tomado]]&gt;50000,DadosL[[#This Row],[flag_inadimplente]]="Sim"),"Negado","Aprovado")</f>
        <v>Aprovado</v>
      </c>
      <c r="P95" s="46">
        <f>IF(OR(DadosL[[#This Row],[Analise_Risco]]="Negado",DadosL[[#This Row],[Analise_Credito]]="Negado"),0,IF(DadosL[[#This Row],[status]]="Ativo",DadosL[[#This Row],[valor_solicitado]]*1.08,0))</f>
        <v>18900</v>
      </c>
    </row>
    <row r="96" spans="1:16">
      <c r="A9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96" s="1" t="str">
        <f>PROPER(TRIM(DadosBrutos[[#This Row],[nome]]))</f>
        <v>Margaery Dayne</v>
      </c>
      <c r="C96" s="1" t="str">
        <f>IF(LEN(SUBSTITUTE(SUBSTITUTE(SUBSTITUTE(DadosBrutos[[#This Row],[cpf]],".",""),"-","")," ",""))=11,DadosBrutos[[#This Row],[cpf]],"-")</f>
        <v>000.000.276-00</v>
      </c>
      <c r="D9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36</v>
      </c>
      <c r="E96" s="45">
        <f>IF(DadosBrutos[[#This Row],[data_nascimento]]="","-",DadosBrutos[[#This Row],[data_nascimento]])</f>
        <v>32791</v>
      </c>
      <c r="F96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9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96" s="37">
        <f>IF(DadosBrutos[[#This Row],[renda_mensal]]="","-",IF(ISNUMBER(DadosBrutos[[#This Row],[renda_mensal]]),DadosBrutos[[#This Row],[renda_mensal]],IFERROR(VALUE(SUBSTITUTE(DadosBrutos[[#This Row],[renda_mensal]]," moedas","")),"-")))</f>
        <v>23900</v>
      </c>
      <c r="I96" s="37">
        <f>IF(DadosBrutos[[#This Row],[credito_tomado]]="","-",IF(ISNUMBER(DadosBrutos[[#This Row],[credito_tomado]]),DadosBrutos[[#This Row],[credito_tomado]],IFERROR(VALUE(SUBSTITUTE(DadosBrutos[[#This Row],[credito_tomado]]," moedas","")),"-")))</f>
        <v>58000</v>
      </c>
      <c r="J9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96" s="1">
        <f>IF(DadosBrutos[[#This Row],[qtde_batalhas]]="","-",IF(ISNUMBER(DadosBrutos[[#This Row],[qtde_batalhas]]),DadosBrutos[[#This Row],[qtde_batalhas]],IFERROR(VALUE(SUBSTITUTE(DadosBrutos[[#This Row],[qtde_batalhas]]," batalhas","")),"-")))</f>
        <v>27</v>
      </c>
      <c r="L96" s="1" t="str">
        <f>IF(DadosL[[#This Row],[qtde_batalhas]]="-","-",IF(DadosL[[#This Row],[qtde_batalhas]]&lt;=10,"Baixo",IF(DadosL[[#This Row],[qtde_batalhas]]&lt;=25,"Médio","Alto")))</f>
        <v>Alto</v>
      </c>
      <c r="M9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38000</v>
      </c>
      <c r="N96" s="1" t="str">
        <f>IF(AND(DadosL[[#This Row],[nivel_risco]]="Alto",DadosL[[#This Row],[flag_inadimplente]]="Sim"),"Negado","Aprovado")</f>
        <v>Aprovado</v>
      </c>
      <c r="O96" s="1" t="str">
        <f>IF(AND(ISNUMBER(DadosL[[#This Row],[credito_tomado]]),DadosL[[#This Row],[credito_tomado]]&gt;50000,DadosL[[#This Row],[flag_inadimplente]]="Sim"),"Negado","Aprovado")</f>
        <v>Aprovado</v>
      </c>
      <c r="P96" s="46">
        <f>IF(OR(DadosL[[#This Row],[Analise_Risco]]="Negado",DadosL[[#This Row],[Analise_Credito]]="Negado"),0,IF(DadosL[[#This Row],[status]]="Ativo",DadosL[[#This Row],[valor_solicitado]]*1.08,0))</f>
        <v>41040</v>
      </c>
    </row>
    <row r="97" spans="1:16">
      <c r="A9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97" s="1" t="str">
        <f>PROPER(TRIM(DadosBrutos[[#This Row],[nome]]))</f>
        <v>Rickon Karstark</v>
      </c>
      <c r="C97" s="1" t="str">
        <f>IF(LEN(SUBSTITUTE(SUBSTITUTE(SUBSTITUTE(DadosBrutos[[#This Row],[cpf]],".",""),"-","")," ",""))=11,DadosBrutos[[#This Row],[cpf]],"-")</f>
        <v>000.000.088-00</v>
      </c>
      <c r="D9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74</v>
      </c>
      <c r="E97" s="45">
        <f>IF(DadosBrutos[[#This Row],[data_nascimento]]="","-",DadosBrutos[[#This Row],[data_nascimento]])</f>
        <v>19121</v>
      </c>
      <c r="F97" s="1" t="str">
        <f>IF(ISNUMBER(SEARCH("|",DadosBrutos[[#This Row],[cidade]])),TRIM(LEFT(DadosBrutos[[#This Row],[cidade]],SEARCH("|",DadosBrutos[[#This Row],[cidade]])-1)),TRIM(DadosBrutos[[#This Row],[cidade]]))</f>
        <v>Castelo Negro</v>
      </c>
      <c r="G9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97" s="37">
        <f>IF(DadosBrutos[[#This Row],[renda_mensal]]="","-",IF(ISNUMBER(DadosBrutos[[#This Row],[renda_mensal]]),DadosBrutos[[#This Row],[renda_mensal]],IFERROR(VALUE(SUBSTITUTE(DadosBrutos[[#This Row],[renda_mensal]]," moedas","")),"-")))</f>
        <v>7300</v>
      </c>
      <c r="I97" s="37">
        <f>IF(DadosBrutos[[#This Row],[credito_tomado]]="","-",IF(ISNUMBER(DadosBrutos[[#This Row],[credito_tomado]]),DadosBrutos[[#This Row],[credito_tomado]],IFERROR(VALUE(SUBSTITUTE(DadosBrutos[[#This Row],[credito_tomado]]," moedas","")),"-")))</f>
        <v>1000</v>
      </c>
      <c r="J9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97" s="1">
        <f>IF(DadosBrutos[[#This Row],[qtde_batalhas]]="","-",IF(ISNUMBER(DadosBrutos[[#This Row],[qtde_batalhas]]),DadosBrutos[[#This Row],[qtde_batalhas]],IFERROR(VALUE(SUBSTITUTE(DadosBrutos[[#This Row],[qtde_batalhas]]," batalhas","")),"-")))</f>
        <v>3</v>
      </c>
      <c r="L97" s="1" t="str">
        <f>IF(DadosL[[#This Row],[qtde_batalhas]]="-","-",IF(DadosL[[#This Row],[qtde_batalhas]]&lt;=10,"Baixo",IF(DadosL[[#This Row],[qtde_batalhas]]&lt;=25,"Médio","Alto")))</f>
        <v>Baixo</v>
      </c>
      <c r="M9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50500</v>
      </c>
      <c r="N97" s="1" t="str">
        <f>IF(AND(DadosL[[#This Row],[nivel_risco]]="Alto",DadosL[[#This Row],[flag_inadimplente]]="Sim"),"Negado","Aprovado")</f>
        <v>Aprovado</v>
      </c>
      <c r="O97" s="1" t="str">
        <f>IF(AND(ISNUMBER(DadosL[[#This Row],[credito_tomado]]),DadosL[[#This Row],[credito_tomado]]&gt;50000,DadosL[[#This Row],[flag_inadimplente]]="Sim"),"Negado","Aprovado")</f>
        <v>Aprovado</v>
      </c>
      <c r="P97" s="46">
        <f>IF(OR(DadosL[[#This Row],[Analise_Risco]]="Negado",DadosL[[#This Row],[Analise_Credito]]="Negado"),0,IF(DadosL[[#This Row],[status]]="Ativo",DadosL[[#This Row],[valor_solicitado]]*1.08,0))</f>
        <v>54540</v>
      </c>
    </row>
    <row r="98" spans="1:16">
      <c r="A9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-</v>
      </c>
      <c r="B98" s="1" t="str">
        <f>PROPER(TRIM(DadosBrutos[[#This Row],[nome]]))</f>
        <v>Jorah Seaworth</v>
      </c>
      <c r="C98" s="1" t="str">
        <f>IF(LEN(SUBSTITUTE(SUBSTITUTE(SUBSTITUTE(DadosBrutos[[#This Row],[cpf]],".",""),"-","")," ",""))=11,DadosBrutos[[#This Row],[cpf]],"-")</f>
        <v>-</v>
      </c>
      <c r="D9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66</v>
      </c>
      <c r="E98" s="45">
        <f>IF(DadosBrutos[[#This Row],[data_nascimento]]="","-",DadosBrutos[[#This Row],[data_nascimento]])</f>
        <v>22151</v>
      </c>
      <c r="F98" s="1" t="str">
        <f>IF(ISNUMBER(SEARCH("|",DadosBrutos[[#This Row],[cidade]])),TRIM(LEFT(DadosBrutos[[#This Row],[cidade]],SEARCH("|",DadosBrutos[[#This Row],[cidade]])-1)),TRIM(DadosBrutos[[#This Row],[cidade]]))</f>
        <v>Fosso Cailin</v>
      </c>
      <c r="G9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98" s="37">
        <f>IF(DadosBrutos[[#This Row],[renda_mensal]]="","-",IF(ISNUMBER(DadosBrutos[[#This Row],[renda_mensal]]),DadosBrutos[[#This Row],[renda_mensal]],IFERROR(VALUE(SUBSTITUTE(DadosBrutos[[#This Row],[renda_mensal]]," moedas","")),"-")))</f>
        <v>28800</v>
      </c>
      <c r="I98" s="37">
        <f>IF(DadosBrutos[[#This Row],[credito_tomado]]="","-",IF(ISNUMBER(DadosBrutos[[#This Row],[credito_tomado]]),DadosBrutos[[#This Row],[credito_tomado]],IFERROR(VALUE(SUBSTITUTE(DadosBrutos[[#This Row],[credito_tomado]]," moedas","")),"-")))</f>
        <v>16000</v>
      </c>
      <c r="J9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98" s="1">
        <f>IF(DadosBrutos[[#This Row],[qtde_batalhas]]="","-",IF(ISNUMBER(DadosBrutos[[#This Row],[qtde_batalhas]]),DadosBrutos[[#This Row],[qtde_batalhas]],IFERROR(VALUE(SUBSTITUTE(DadosBrutos[[#This Row],[qtde_batalhas]]," batalhas","")),"-")))</f>
        <v>44</v>
      </c>
      <c r="L98" s="1" t="str">
        <f>IF(DadosL[[#This Row],[qtde_batalhas]]="-","-",IF(DadosL[[#This Row],[qtde_batalhas]]&lt;=10,"Baixo",IF(DadosL[[#This Row],[qtde_batalhas]]&lt;=25,"Médio","Alto")))</f>
        <v>Alto</v>
      </c>
      <c r="M9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59000</v>
      </c>
      <c r="N98" s="1" t="str">
        <f>IF(AND(DadosL[[#This Row],[nivel_risco]]="Alto",DadosL[[#This Row],[flag_inadimplente]]="Sim"),"Negado","Aprovado")</f>
        <v>Negado</v>
      </c>
      <c r="O98" s="1" t="str">
        <f>IF(AND(ISNUMBER(DadosL[[#This Row],[credito_tomado]]),DadosL[[#This Row],[credito_tomado]]&gt;50000,DadosL[[#This Row],[flag_inadimplente]]="Sim"),"Negado","Aprovado")</f>
        <v>Aprovado</v>
      </c>
      <c r="P98" s="46">
        <f>IF(OR(DadosL[[#This Row],[Analise_Risco]]="Negado",DadosL[[#This Row],[Analise_Credito]]="Negado"),0,IF(DadosL[[#This Row],[status]]="Ativo",DadosL[[#This Row],[valor_solicitado]]*1.08,0))</f>
        <v>0</v>
      </c>
    </row>
    <row r="99" spans="1:16">
      <c r="A9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99" s="1" t="str">
        <f>PROPER(TRIM(DadosBrutos[[#This Row],[nome]]))</f>
        <v>Stannis Redwyne</v>
      </c>
      <c r="C99" s="1" t="str">
        <f>IF(LEN(SUBSTITUTE(SUBSTITUTE(SUBSTITUTE(DadosBrutos[[#This Row],[cpf]],".",""),"-","")," ",""))=11,DadosBrutos[[#This Row],[cpf]],"-")</f>
        <v>000.000.216-00</v>
      </c>
      <c r="D9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34</v>
      </c>
      <c r="E99" s="45">
        <f>IF(DadosBrutos[[#This Row],[data_nascimento]]="","-",DadosBrutos[[#This Row],[data_nascimento]])</f>
        <v>33835</v>
      </c>
      <c r="F99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9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99" s="37">
        <f>IF(DadosBrutos[[#This Row],[renda_mensal]]="","-",IF(ISNUMBER(DadosBrutos[[#This Row],[renda_mensal]]),DadosBrutos[[#This Row],[renda_mensal]],IFERROR(VALUE(SUBSTITUTE(DadosBrutos[[#This Row],[renda_mensal]]," moedas","")),"-")))</f>
        <v>5100</v>
      </c>
      <c r="I99" s="37">
        <f>IF(DadosBrutos[[#This Row],[credito_tomado]]="","-",IF(ISNUMBER(DadosBrutos[[#This Row],[credito_tomado]]),DadosBrutos[[#This Row],[credito_tomado]],IFERROR(VALUE(SUBSTITUTE(DadosBrutos[[#This Row],[credito_tomado]]," moedas","")),"-")))</f>
        <v>17000</v>
      </c>
      <c r="J9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99" s="1">
        <f>IF(DadosBrutos[[#This Row],[qtde_batalhas]]="","-",IF(ISNUMBER(DadosBrutos[[#This Row],[qtde_batalhas]]),DadosBrutos[[#This Row],[qtde_batalhas]],IFERROR(VALUE(SUBSTITUTE(DadosBrutos[[#This Row],[qtde_batalhas]]," batalhas","")),"-")))</f>
        <v>3</v>
      </c>
      <c r="L99" s="1" t="str">
        <f>IF(DadosL[[#This Row],[qtde_batalhas]]="-","-",IF(DadosL[[#This Row],[qtde_batalhas]]&lt;=10,"Baixo",IF(DadosL[[#This Row],[qtde_batalhas]]&lt;=25,"Médio","Alto")))</f>
        <v>Baixo</v>
      </c>
      <c r="M9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4500</v>
      </c>
      <c r="N99" s="1" t="str">
        <f>IF(AND(DadosL[[#This Row],[nivel_risco]]="Alto",DadosL[[#This Row],[flag_inadimplente]]="Sim"),"Negado","Aprovado")</f>
        <v>Aprovado</v>
      </c>
      <c r="O99" s="1" t="str">
        <f>IF(AND(ISNUMBER(DadosL[[#This Row],[credito_tomado]]),DadosL[[#This Row],[credito_tomado]]&gt;50000,DadosL[[#This Row],[flag_inadimplente]]="Sim"),"Negado","Aprovado")</f>
        <v>Aprovado</v>
      </c>
      <c r="P99" s="46">
        <f>IF(OR(DadosL[[#This Row],[Analise_Risco]]="Negado",DadosL[[#This Row],[Analise_Credito]]="Negado"),0,IF(DadosL[[#This Row],[status]]="Ativo",DadosL[[#This Row],[valor_solicitado]]*1.08,0))</f>
        <v>4860</v>
      </c>
    </row>
    <row r="100" spans="1:16">
      <c r="A10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00" s="1" t="str">
        <f>PROPER(TRIM(DadosBrutos[[#This Row],[nome]]))</f>
        <v>Yara Royce</v>
      </c>
      <c r="C100" s="1" t="str">
        <f>IF(LEN(SUBSTITUTE(SUBSTITUTE(SUBSTITUTE(DadosBrutos[[#This Row],[cpf]],".",""),"-","")," ",""))=11,DadosBrutos[[#This Row],[cpf]],"-")</f>
        <v>000.000.277-00</v>
      </c>
      <c r="D10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65</v>
      </c>
      <c r="E100" s="45">
        <f>IF(DadosBrutos[[#This Row],[data_nascimento]]="","-",DadosBrutos[[#This Row],[data_nascimento]])</f>
        <v>22436</v>
      </c>
      <c r="F100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10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100" s="37">
        <f>IF(DadosBrutos[[#This Row],[renda_mensal]]="","-",IF(ISNUMBER(DadosBrutos[[#This Row],[renda_mensal]]),DadosBrutos[[#This Row],[renda_mensal]],IFERROR(VALUE(SUBSTITUTE(DadosBrutos[[#This Row],[renda_mensal]]," moedas","")),"-")))</f>
        <v>12700</v>
      </c>
      <c r="I100" s="37">
        <f>IF(DadosBrutos[[#This Row],[credito_tomado]]="","-",IF(ISNUMBER(DadosBrutos[[#This Row],[credito_tomado]]),DadosBrutos[[#This Row],[credito_tomado]],IFERROR(VALUE(SUBSTITUTE(DadosBrutos[[#This Row],[credito_tomado]]," moedas","")),"-")))</f>
        <v>60500</v>
      </c>
      <c r="J10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00" s="1">
        <f>IF(DadosBrutos[[#This Row],[qtde_batalhas]]="","-",IF(ISNUMBER(DadosBrutos[[#This Row],[qtde_batalhas]]),DadosBrutos[[#This Row],[qtde_batalhas]],IFERROR(VALUE(SUBSTITUTE(DadosBrutos[[#This Row],[qtde_batalhas]]," batalhas","")),"-")))</f>
        <v>36</v>
      </c>
      <c r="L100" s="1" t="str">
        <f>IF(DadosL[[#This Row],[qtde_batalhas]]="-","-",IF(DadosL[[#This Row],[qtde_batalhas]]&lt;=10,"Baixo",IF(DadosL[[#This Row],[qtde_batalhas]]&lt;=25,"Médio","Alto")))</f>
        <v>Alto</v>
      </c>
      <c r="M10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28000</v>
      </c>
      <c r="N100" s="1" t="str">
        <f>IF(AND(DadosL[[#This Row],[nivel_risco]]="Alto",DadosL[[#This Row],[flag_inadimplente]]="Sim"),"Negado","Aprovado")</f>
        <v>Aprovado</v>
      </c>
      <c r="O100" s="1" t="str">
        <f>IF(AND(ISNUMBER(DadosL[[#This Row],[credito_tomado]]),DadosL[[#This Row],[credito_tomado]]&gt;50000,DadosL[[#This Row],[flag_inadimplente]]="Sim"),"Negado","Aprovado")</f>
        <v>Aprovado</v>
      </c>
      <c r="P100" s="46">
        <f>IF(OR(DadosL[[#This Row],[Analise_Risco]]="Negado",DadosL[[#This Row],[Analise_Credito]]="Negado"),0,IF(DadosL[[#This Row],[status]]="Ativo",DadosL[[#This Row],[valor_solicitado]]*1.08,0))</f>
        <v>30240.000000000004</v>
      </c>
    </row>
    <row r="101" spans="1:16">
      <c r="A10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01" s="1" t="str">
        <f>PROPER(TRIM(DadosBrutos[[#This Row],[nome]]))</f>
        <v>Loras Baelish</v>
      </c>
      <c r="C101" s="1" t="str">
        <f>IF(LEN(SUBSTITUTE(SUBSTITUTE(SUBSTITUTE(DadosBrutos[[#This Row],[cpf]],".",""),"-","")," ",""))=11,DadosBrutos[[#This Row],[cpf]],"-")</f>
        <v>000.000.217-00</v>
      </c>
      <c r="D10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68</v>
      </c>
      <c r="E101" s="45">
        <f>IF(DadosBrutos[[#This Row],[data_nascimento]]="","-",DadosBrutos[[#This Row],[data_nascimento]])</f>
        <v>21205</v>
      </c>
      <c r="F101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10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101" s="37">
        <f>IF(DadosBrutos[[#This Row],[renda_mensal]]="","-",IF(ISNUMBER(DadosBrutos[[#This Row],[renda_mensal]]),DadosBrutos[[#This Row],[renda_mensal]],IFERROR(VALUE(SUBSTITUTE(DadosBrutos[[#This Row],[renda_mensal]]," moedas","")),"-")))</f>
        <v>8200</v>
      </c>
      <c r="I101" s="37">
        <f>IF(DadosBrutos[[#This Row],[credito_tomado]]="","-",IF(ISNUMBER(DadosBrutos[[#This Row],[credito_tomado]]),DadosBrutos[[#This Row],[credito_tomado]],IFERROR(VALUE(SUBSTITUTE(DadosBrutos[[#This Row],[credito_tomado]]," moedas","")),"-")))</f>
        <v>66000</v>
      </c>
      <c r="J10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01" s="1">
        <f>IF(DadosBrutos[[#This Row],[qtde_batalhas]]="","-",IF(ISNUMBER(DadosBrutos[[#This Row],[qtde_batalhas]]),DadosBrutos[[#This Row],[qtde_batalhas]],IFERROR(VALUE(SUBSTITUTE(DadosBrutos[[#This Row],[qtde_batalhas]]," batalhas","")),"-")))</f>
        <v>16</v>
      </c>
      <c r="L101" s="1" t="str">
        <f>IF(DadosL[[#This Row],[qtde_batalhas]]="-","-",IF(DadosL[[#This Row],[qtde_batalhas]]&lt;=10,"Baixo",IF(DadosL[[#This Row],[qtde_batalhas]]&lt;=25,"Médio","Alto")))</f>
        <v>Médio</v>
      </c>
      <c r="M10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84000</v>
      </c>
      <c r="N101" s="1" t="str">
        <f>IF(AND(DadosL[[#This Row],[nivel_risco]]="Alto",DadosL[[#This Row],[flag_inadimplente]]="Sim"),"Negado","Aprovado")</f>
        <v>Aprovado</v>
      </c>
      <c r="O101" s="1" t="str">
        <f>IF(AND(ISNUMBER(DadosL[[#This Row],[credito_tomado]]),DadosL[[#This Row],[credito_tomado]]&gt;50000,DadosL[[#This Row],[flag_inadimplente]]="Sim"),"Negado","Aprovado")</f>
        <v>Aprovado</v>
      </c>
      <c r="P101" s="46">
        <f>IF(OR(DadosL[[#This Row],[Analise_Risco]]="Negado",DadosL[[#This Row],[Analise_Credito]]="Negado"),0,IF(DadosL[[#This Row],[status]]="Ativo",DadosL[[#This Row],[valor_solicitado]]*1.08,0))</f>
        <v>0</v>
      </c>
    </row>
    <row r="102" spans="1:16">
      <c r="A10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02" s="1" t="str">
        <f>PROPER(TRIM(DadosBrutos[[#This Row],[nome]]))</f>
        <v>Viserys Florent</v>
      </c>
      <c r="C102" s="1" t="str">
        <f>IF(LEN(SUBSTITUTE(SUBSTITUTE(SUBSTITUTE(DadosBrutos[[#This Row],[cpf]],".",""),"-","")," ",""))=11,DadosBrutos[[#This Row],[cpf]],"-")</f>
        <v>000.000.129-00</v>
      </c>
      <c r="D10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59</v>
      </c>
      <c r="E102" s="45">
        <f>IF(DadosBrutos[[#This Row],[data_nascimento]]="","-",DadosBrutos[[#This Row],[data_nascimento]])</f>
        <v>24554</v>
      </c>
      <c r="F102" s="1" t="str">
        <f>IF(ISNUMBER(SEARCH("|",DadosBrutos[[#This Row],[cidade]])),TRIM(LEFT(DadosBrutos[[#This Row],[cidade]],SEARCH("|",DadosBrutos[[#This Row],[cidade]])-1)),TRIM(DadosBrutos[[#This Row],[cidade]]))</f>
        <v>Meereen</v>
      </c>
      <c r="G10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102" s="37">
        <f>IF(DadosBrutos[[#This Row],[renda_mensal]]="","-",IF(ISNUMBER(DadosBrutos[[#This Row],[renda_mensal]]),DadosBrutos[[#This Row],[renda_mensal]],IFERROR(VALUE(SUBSTITUTE(DadosBrutos[[#This Row],[renda_mensal]]," moedas","")),"-")))</f>
        <v>15200</v>
      </c>
      <c r="I102" s="37">
        <f>IF(DadosBrutos[[#This Row],[credito_tomado]]="","-",IF(ISNUMBER(DadosBrutos[[#This Row],[credito_tomado]]),DadosBrutos[[#This Row],[credito_tomado]],IFERROR(VALUE(SUBSTITUTE(DadosBrutos[[#This Row],[credito_tomado]]," moedas","")),"-")))</f>
        <v>11000</v>
      </c>
      <c r="J10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02" s="1">
        <f>IF(DadosBrutos[[#This Row],[qtde_batalhas]]="","-",IF(ISNUMBER(DadosBrutos[[#This Row],[qtde_batalhas]]),DadosBrutos[[#This Row],[qtde_batalhas]],IFERROR(VALUE(SUBSTITUTE(DadosBrutos[[#This Row],[qtde_batalhas]]," batalhas","")),"-")))</f>
        <v>27</v>
      </c>
      <c r="L102" s="1" t="str">
        <f>IF(DadosL[[#This Row],[qtde_batalhas]]="-","-",IF(DadosL[[#This Row],[qtde_batalhas]]&lt;=10,"Baixo",IF(DadosL[[#This Row],[qtde_batalhas]]&lt;=25,"Médio","Alto")))</f>
        <v>Alto</v>
      </c>
      <c r="M10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87000</v>
      </c>
      <c r="N102" s="1" t="str">
        <f>IF(AND(DadosL[[#This Row],[nivel_risco]]="Alto",DadosL[[#This Row],[flag_inadimplente]]="Sim"),"Negado","Aprovado")</f>
        <v>Aprovado</v>
      </c>
      <c r="O102" s="1" t="str">
        <f>IF(AND(ISNUMBER(DadosL[[#This Row],[credito_tomado]]),DadosL[[#This Row],[credito_tomado]]&gt;50000,DadosL[[#This Row],[flag_inadimplente]]="Sim"),"Negado","Aprovado")</f>
        <v>Aprovado</v>
      </c>
      <c r="P102" s="46">
        <f>IF(OR(DadosL[[#This Row],[Analise_Risco]]="Negado",DadosL[[#This Row],[Analise_Credito]]="Negado"),0,IF(DadosL[[#This Row],[status]]="Ativo",DadosL[[#This Row],[valor_solicitado]]*1.08,0))</f>
        <v>0</v>
      </c>
    </row>
    <row r="103" spans="1:16">
      <c r="A10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03" s="1" t="str">
        <f>PROPER(TRIM(DadosBrutos[[#This Row],[nome]]))</f>
        <v>Jon Marbrand</v>
      </c>
      <c r="C103" s="1" t="str">
        <f>IF(LEN(SUBSTITUTE(SUBSTITUTE(SUBSTITUTE(DadosBrutos[[#This Row],[cpf]],".",""),"-","")," ",""))=11,DadosBrutos[[#This Row],[cpf]],"-")</f>
        <v>000.000.359-00</v>
      </c>
      <c r="D10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29</v>
      </c>
      <c r="E103" s="45">
        <f>IF(DadosBrutos[[#This Row],[data_nascimento]]="","-",DadosBrutos[[#This Row],[data_nascimento]])</f>
        <v>35600</v>
      </c>
      <c r="F103" s="1" t="str">
        <f>IF(ISNUMBER(SEARCH("|",DadosBrutos[[#This Row],[cidade]])),TRIM(LEFT(DadosBrutos[[#This Row],[cidade]],SEARCH("|",DadosBrutos[[#This Row],[cidade]])-1)),TRIM(DadosBrutos[[#This Row],[cidade]]))</f>
        <v>Porto Real</v>
      </c>
      <c r="G10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103" s="37">
        <f>IF(DadosBrutos[[#This Row],[renda_mensal]]="","-",IF(ISNUMBER(DadosBrutos[[#This Row],[renda_mensal]]),DadosBrutos[[#This Row],[renda_mensal]],IFERROR(VALUE(SUBSTITUTE(DadosBrutos[[#This Row],[renda_mensal]]," moedas","")),"-")))</f>
        <v>10000</v>
      </c>
      <c r="I103" s="37">
        <f>IF(DadosBrutos[[#This Row],[credito_tomado]]="","-",IF(ISNUMBER(DadosBrutos[[#This Row],[credito_tomado]]),DadosBrutos[[#This Row],[credito_tomado]],IFERROR(VALUE(SUBSTITUTE(DadosBrutos[[#This Row],[credito_tomado]]," moedas","")),"-")))</f>
        <v>25500</v>
      </c>
      <c r="J10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03" s="1">
        <f>IF(DadosBrutos[[#This Row],[qtde_batalhas]]="","-",IF(ISNUMBER(DadosBrutos[[#This Row],[qtde_batalhas]]),DadosBrutos[[#This Row],[qtde_batalhas]],IFERROR(VALUE(SUBSTITUTE(DadosBrutos[[#This Row],[qtde_batalhas]]," batalhas","")),"-")))</f>
        <v>15</v>
      </c>
      <c r="L103" s="1" t="str">
        <f>IF(DadosL[[#This Row],[qtde_batalhas]]="-","-",IF(DadosL[[#This Row],[qtde_batalhas]]&lt;=10,"Baixo",IF(DadosL[[#This Row],[qtde_batalhas]]&lt;=25,"Médio","Alto")))</f>
        <v>Médio</v>
      </c>
      <c r="M10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66000</v>
      </c>
      <c r="N103" s="1" t="str">
        <f>IF(AND(DadosL[[#This Row],[nivel_risco]]="Alto",DadosL[[#This Row],[flag_inadimplente]]="Sim"),"Negado","Aprovado")</f>
        <v>Aprovado</v>
      </c>
      <c r="O103" s="1" t="str">
        <f>IF(AND(ISNUMBER(DadosL[[#This Row],[credito_tomado]]),DadosL[[#This Row],[credito_tomado]]&gt;50000,DadosL[[#This Row],[flag_inadimplente]]="Sim"),"Negado","Aprovado")</f>
        <v>Aprovado</v>
      </c>
      <c r="P103" s="46">
        <f>IF(OR(DadosL[[#This Row],[Analise_Risco]]="Negado",DadosL[[#This Row],[Analise_Credito]]="Negado"),0,IF(DadosL[[#This Row],[status]]="Ativo",DadosL[[#This Row],[valor_solicitado]]*1.08,0))</f>
        <v>71280</v>
      </c>
    </row>
    <row r="104" spans="1:16">
      <c r="A10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04" s="1" t="str">
        <f>PROPER(TRIM(DadosBrutos[[#This Row],[nome]]))</f>
        <v>Aegon Bracken</v>
      </c>
      <c r="C104" s="1" t="str">
        <f>IF(LEN(SUBSTITUTE(SUBSTITUTE(SUBSTITUTE(DadosBrutos[[#This Row],[cpf]],".",""),"-","")," ",""))=11,DadosBrutos[[#This Row],[cpf]],"-")</f>
        <v>000.000.244-00</v>
      </c>
      <c r="D10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69</v>
      </c>
      <c r="E104" s="45">
        <f>IF(DadosBrutos[[#This Row],[data_nascimento]]="","-",DadosBrutos[[#This Row],[data_nascimento]])</f>
        <v>20725</v>
      </c>
      <c r="F104" s="1" t="str">
        <f>IF(ISNUMBER(SEARCH("|",DadosBrutos[[#This Row],[cidade]])),TRIM(LEFT(DadosBrutos[[#This Row],[cidade]],SEARCH("|",DadosBrutos[[#This Row],[cidade]])-1)),TRIM(DadosBrutos[[#This Row],[cidade]]))</f>
        <v>Correrrio</v>
      </c>
      <c r="G10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104" s="37">
        <f>IF(DadosBrutos[[#This Row],[renda_mensal]]="","-",IF(ISNUMBER(DadosBrutos[[#This Row],[renda_mensal]]),DadosBrutos[[#This Row],[renda_mensal]],IFERROR(VALUE(SUBSTITUTE(DadosBrutos[[#This Row],[renda_mensal]]," moedas","")),"-")))</f>
        <v>8100</v>
      </c>
      <c r="I104" s="37">
        <f>IF(DadosBrutos[[#This Row],[credito_tomado]]="","-",IF(ISNUMBER(DadosBrutos[[#This Row],[credito_tomado]]),DadosBrutos[[#This Row],[credito_tomado]],IFERROR(VALUE(SUBSTITUTE(DadosBrutos[[#This Row],[credito_tomado]]," moedas","")),"-")))</f>
        <v>27500</v>
      </c>
      <c r="J10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04" s="1">
        <f>IF(DadosBrutos[[#This Row],[qtde_batalhas]]="","-",IF(ISNUMBER(DadosBrutos[[#This Row],[qtde_batalhas]]),DadosBrutos[[#This Row],[qtde_batalhas]],IFERROR(VALUE(SUBSTITUTE(DadosBrutos[[#This Row],[qtde_batalhas]]," batalhas","")),"-")))</f>
        <v>42</v>
      </c>
      <c r="L104" s="1" t="str">
        <f>IF(DadosL[[#This Row],[qtde_batalhas]]="-","-",IF(DadosL[[#This Row],[qtde_batalhas]]&lt;=10,"Baixo",IF(DadosL[[#This Row],[qtde_batalhas]]&lt;=25,"Médio","Alto")))</f>
        <v>Alto</v>
      </c>
      <c r="M10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72500</v>
      </c>
      <c r="N104" s="1" t="str">
        <f>IF(AND(DadosL[[#This Row],[nivel_risco]]="Alto",DadosL[[#This Row],[flag_inadimplente]]="Sim"),"Negado","Aprovado")</f>
        <v>Aprovado</v>
      </c>
      <c r="O104" s="1" t="str">
        <f>IF(AND(ISNUMBER(DadosL[[#This Row],[credito_tomado]]),DadosL[[#This Row],[credito_tomado]]&gt;50000,DadosL[[#This Row],[flag_inadimplente]]="Sim"),"Negado","Aprovado")</f>
        <v>Aprovado</v>
      </c>
      <c r="P104" s="46">
        <f>IF(OR(DadosL[[#This Row],[Analise_Risco]]="Negado",DadosL[[#This Row],[Analise_Credito]]="Negado"),0,IF(DadosL[[#This Row],[status]]="Ativo",DadosL[[#This Row],[valor_solicitado]]*1.08,0))</f>
        <v>78300</v>
      </c>
    </row>
    <row r="105" spans="1:16">
      <c r="A10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05" s="1" t="str">
        <f>PROPER(TRIM(DadosBrutos[[#This Row],[nome]]))</f>
        <v>Daenerys Tallhart</v>
      </c>
      <c r="C105" s="1" t="str">
        <f>IF(LEN(SUBSTITUTE(SUBSTITUTE(SUBSTITUTE(DadosBrutos[[#This Row],[cpf]],".",""),"-","")," ",""))=11,DadosBrutos[[#This Row],[cpf]],"-")</f>
        <v>000.000.092-00</v>
      </c>
      <c r="D10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37</v>
      </c>
      <c r="E105" s="45">
        <f>IF(DadosBrutos[[#This Row],[data_nascimento]]="","-",DadosBrutos[[#This Row],[data_nascimento]])</f>
        <v>32543</v>
      </c>
      <c r="F105" s="1" t="str">
        <f>IF(ISNUMBER(SEARCH("|",DadosBrutos[[#This Row],[cidade]])),TRIM(LEFT(DadosBrutos[[#This Row],[cidade]],SEARCH("|",DadosBrutos[[#This Row],[cidade]])-1)),TRIM(DadosBrutos[[#This Row],[cidade]]))</f>
        <v>Vilavelha</v>
      </c>
      <c r="G10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105" s="37">
        <f>IF(DadosBrutos[[#This Row],[renda_mensal]]="","-",IF(ISNUMBER(DadosBrutos[[#This Row],[renda_mensal]]),DadosBrutos[[#This Row],[renda_mensal]],IFERROR(VALUE(SUBSTITUTE(DadosBrutos[[#This Row],[renda_mensal]]," moedas","")),"-")))</f>
        <v>29200</v>
      </c>
      <c r="I105" s="37">
        <f>IF(DadosBrutos[[#This Row],[credito_tomado]]="","-",IF(ISNUMBER(DadosBrutos[[#This Row],[credito_tomado]]),DadosBrutos[[#This Row],[credito_tomado]],IFERROR(VALUE(SUBSTITUTE(DadosBrutos[[#This Row],[credito_tomado]]," moedas","")),"-")))</f>
        <v>45000</v>
      </c>
      <c r="J10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05" s="1">
        <f>IF(DadosBrutos[[#This Row],[qtde_batalhas]]="","-",IF(ISNUMBER(DadosBrutos[[#This Row],[qtde_batalhas]]),DadosBrutos[[#This Row],[qtde_batalhas]],IFERROR(VALUE(SUBSTITUTE(DadosBrutos[[#This Row],[qtde_batalhas]]," batalhas","")),"-")))</f>
        <v>26</v>
      </c>
      <c r="L105" s="1" t="str">
        <f>IF(DadosL[[#This Row],[qtde_batalhas]]="-","-",IF(DadosL[[#This Row],[qtde_batalhas]]&lt;=10,"Baixo",IF(DadosL[[#This Row],[qtde_batalhas]]&lt;=25,"Médio","Alto")))</f>
        <v>Alto</v>
      </c>
      <c r="M10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78000</v>
      </c>
      <c r="N105" s="1" t="str">
        <f>IF(AND(DadosL[[#This Row],[nivel_risco]]="Alto",DadosL[[#This Row],[flag_inadimplente]]="Sim"),"Negado","Aprovado")</f>
        <v>Aprovado</v>
      </c>
      <c r="O105" s="1" t="str">
        <f>IF(AND(ISNUMBER(DadosL[[#This Row],[credito_tomado]]),DadosL[[#This Row],[credito_tomado]]&gt;50000,DadosL[[#This Row],[flag_inadimplente]]="Sim"),"Negado","Aprovado")</f>
        <v>Aprovado</v>
      </c>
      <c r="P105" s="46">
        <f>IF(OR(DadosL[[#This Row],[Analise_Risco]]="Negado",DadosL[[#This Row],[Analise_Credito]]="Negado"),0,IF(DadosL[[#This Row],[status]]="Ativo",DadosL[[#This Row],[valor_solicitado]]*1.08,0))</f>
        <v>84240</v>
      </c>
    </row>
    <row r="106" spans="1:16">
      <c r="A10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06" s="1" t="str">
        <f>PROPER(TRIM(DadosBrutos[[#This Row],[nome]]))</f>
        <v>Loras Payne</v>
      </c>
      <c r="C106" s="1" t="str">
        <f>IF(LEN(SUBSTITUTE(SUBSTITUTE(SUBSTITUTE(DadosBrutos[[#This Row],[cpf]],".",""),"-","")," ",""))=11,DadosBrutos[[#This Row],[cpf]],"-")</f>
        <v>000.000.027-00</v>
      </c>
      <c r="D10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30</v>
      </c>
      <c r="E106" s="45">
        <f>IF(DadosBrutos[[#This Row],[data_nascimento]]="","-",DadosBrutos[[#This Row],[data_nascimento]])</f>
        <v>35200</v>
      </c>
      <c r="F106" s="1" t="str">
        <f>IF(ISNUMBER(SEARCH("|",DadosBrutos[[#This Row],[cidade]])),TRIM(LEFT(DadosBrutos[[#This Row],[cidade]],SEARCH("|",DadosBrutos[[#This Row],[cidade]])-1)),TRIM(DadosBrutos[[#This Row],[cidade]]))</f>
        <v>Braavos</v>
      </c>
      <c r="G10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106" s="37">
        <f>IF(DadosBrutos[[#This Row],[renda_mensal]]="","-",IF(ISNUMBER(DadosBrutos[[#This Row],[renda_mensal]]),DadosBrutos[[#This Row],[renda_mensal]],IFERROR(VALUE(SUBSTITUTE(DadosBrutos[[#This Row],[renda_mensal]]," moedas","")),"-")))</f>
        <v>26500</v>
      </c>
      <c r="I106" s="37">
        <f>IF(DadosBrutos[[#This Row],[credito_tomado]]="","-",IF(ISNUMBER(DadosBrutos[[#This Row],[credito_tomado]]),DadosBrutos[[#This Row],[credito_tomado]],IFERROR(VALUE(SUBSTITUTE(DadosBrutos[[#This Row],[credito_tomado]]," moedas","")),"-")))</f>
        <v>14500</v>
      </c>
      <c r="J10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06" s="1">
        <f>IF(DadosBrutos[[#This Row],[qtde_batalhas]]="","-",IF(ISNUMBER(DadosBrutos[[#This Row],[qtde_batalhas]]),DadosBrutos[[#This Row],[qtde_batalhas]],IFERROR(VALUE(SUBSTITUTE(DadosBrutos[[#This Row],[qtde_batalhas]]," batalhas","")),"-")))</f>
        <v>15</v>
      </c>
      <c r="L106" s="1" t="str">
        <f>IF(DadosL[[#This Row],[qtde_batalhas]]="-","-",IF(DadosL[[#This Row],[qtde_batalhas]]&lt;=10,"Baixo",IF(DadosL[[#This Row],[qtde_batalhas]]&lt;=25,"Médio","Alto")))</f>
        <v>Médio</v>
      </c>
      <c r="M10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65500</v>
      </c>
      <c r="N106" s="1" t="str">
        <f>IF(AND(DadosL[[#This Row],[nivel_risco]]="Alto",DadosL[[#This Row],[flag_inadimplente]]="Sim"),"Negado","Aprovado")</f>
        <v>Aprovado</v>
      </c>
      <c r="O106" s="1" t="str">
        <f>IF(AND(ISNUMBER(DadosL[[#This Row],[credito_tomado]]),DadosL[[#This Row],[credito_tomado]]&gt;50000,DadosL[[#This Row],[flag_inadimplente]]="Sim"),"Negado","Aprovado")</f>
        <v>Aprovado</v>
      </c>
      <c r="P106" s="46">
        <f>IF(OR(DadosL[[#This Row],[Analise_Risco]]="Negado",DadosL[[#This Row],[Analise_Credito]]="Negado"),0,IF(DadosL[[#This Row],[status]]="Ativo",DadosL[[#This Row],[valor_solicitado]]*1.08,0))</f>
        <v>0</v>
      </c>
    </row>
    <row r="107" spans="1:16">
      <c r="A10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07" s="1" t="str">
        <f>PROPER(TRIM(DadosBrutos[[#This Row],[nome]]))</f>
        <v>Missandei  Tarly</v>
      </c>
      <c r="C107" s="1" t="str">
        <f>IF(LEN(SUBSTITUTE(SUBSTITUTE(SUBSTITUTE(DadosBrutos[[#This Row],[cpf]],".",""),"-","")," ",""))=11,DadosBrutos[[#This Row],[cpf]],"-")</f>
        <v>000.000.196-00</v>
      </c>
      <c r="D10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58</v>
      </c>
      <c r="E107" s="45">
        <f>IF(DadosBrutos[[#This Row],[data_nascimento]]="","-",DadosBrutos[[#This Row],[data_nascimento]])</f>
        <v>24905</v>
      </c>
      <c r="F107" s="1" t="str">
        <f>IF(ISNUMBER(SEARCH("|",DadosBrutos[[#This Row],[cidade]])),TRIM(LEFT(DadosBrutos[[#This Row],[cidade]],SEARCH("|",DadosBrutos[[#This Row],[cidade]])-1)),TRIM(DadosBrutos[[#This Row],[cidade]]))</f>
        <v>Meereen</v>
      </c>
      <c r="G10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107" s="37">
        <f>IF(DadosBrutos[[#This Row],[renda_mensal]]="","-",IF(ISNUMBER(DadosBrutos[[#This Row],[renda_mensal]]),DadosBrutos[[#This Row],[renda_mensal]],IFERROR(VALUE(SUBSTITUTE(DadosBrutos[[#This Row],[renda_mensal]]," moedas","")),"-")))</f>
        <v>12400</v>
      </c>
      <c r="I107" s="37">
        <f>IF(DadosBrutos[[#This Row],[credito_tomado]]="","-",IF(ISNUMBER(DadosBrutos[[#This Row],[credito_tomado]]),DadosBrutos[[#This Row],[credito_tomado]],IFERROR(VALUE(SUBSTITUTE(DadosBrutos[[#This Row],[credito_tomado]]," moedas","")),"-")))</f>
        <v>21500</v>
      </c>
      <c r="J10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07" s="1">
        <f>IF(DadosBrutos[[#This Row],[qtde_batalhas]]="","-",IF(ISNUMBER(DadosBrutos[[#This Row],[qtde_batalhas]]),DadosBrutos[[#This Row],[qtde_batalhas]],IFERROR(VALUE(SUBSTITUTE(DadosBrutos[[#This Row],[qtde_batalhas]]," batalhas","")),"-")))</f>
        <v>24</v>
      </c>
      <c r="L107" s="1" t="str">
        <f>IF(DadosL[[#This Row],[qtde_batalhas]]="-","-",IF(DadosL[[#This Row],[qtde_batalhas]]&lt;=10,"Baixo",IF(DadosL[[#This Row],[qtde_batalhas]]&lt;=25,"Médio","Alto")))</f>
        <v>Médio</v>
      </c>
      <c r="M10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80000</v>
      </c>
      <c r="N107" s="1" t="str">
        <f>IF(AND(DadosL[[#This Row],[nivel_risco]]="Alto",DadosL[[#This Row],[flag_inadimplente]]="Sim"),"Negado","Aprovado")</f>
        <v>Aprovado</v>
      </c>
      <c r="O107" s="1" t="str">
        <f>IF(AND(ISNUMBER(DadosL[[#This Row],[credito_tomado]]),DadosL[[#This Row],[credito_tomado]]&gt;50000,DadosL[[#This Row],[flag_inadimplente]]="Sim"),"Negado","Aprovado")</f>
        <v>Aprovado</v>
      </c>
      <c r="P107" s="46">
        <f>IF(OR(DadosL[[#This Row],[Analise_Risco]]="Negado",DadosL[[#This Row],[Analise_Credito]]="Negado"),0,IF(DadosL[[#This Row],[status]]="Ativo",DadosL[[#This Row],[valor_solicitado]]*1.08,0))</f>
        <v>86400</v>
      </c>
    </row>
    <row r="108" spans="1:16">
      <c r="A10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08" s="1" t="str">
        <f>PROPER(TRIM(DadosBrutos[[#This Row],[nome]]))</f>
        <v>Aegon Baelish</v>
      </c>
      <c r="C108" s="1" t="str">
        <f>IF(LEN(SUBSTITUTE(SUBSTITUTE(SUBSTITUTE(DadosBrutos[[#This Row],[cpf]],".",""),"-","")," ",""))=11,DadosBrutos[[#This Row],[cpf]],"-")</f>
        <v>-</v>
      </c>
      <c r="D10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47</v>
      </c>
      <c r="E108" s="45">
        <f>IF(DadosBrutos[[#This Row],[data_nascimento]]="","-",DadosBrutos[[#This Row],[data_nascimento]])</f>
        <v>29031</v>
      </c>
      <c r="F108" s="1" t="str">
        <f>IF(ISNUMBER(SEARCH("|",DadosBrutos[[#This Row],[cidade]])),TRIM(LEFT(DadosBrutos[[#This Row],[cidade]],SEARCH("|",DadosBrutos[[#This Row],[cidade]])-1)),TRIM(DadosBrutos[[#This Row],[cidade]]))</f>
        <v>Meereen</v>
      </c>
      <c r="G10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108" s="37">
        <f>IF(DadosBrutos[[#This Row],[renda_mensal]]="","-",IF(ISNUMBER(DadosBrutos[[#This Row],[renda_mensal]]),DadosBrutos[[#This Row],[renda_mensal]],IFERROR(VALUE(SUBSTITUTE(DadosBrutos[[#This Row],[renda_mensal]]," moedas","")),"-")))</f>
        <v>28400</v>
      </c>
      <c r="I108" s="37">
        <f>IF(DadosBrutos[[#This Row],[credito_tomado]]="","-",IF(ISNUMBER(DadosBrutos[[#This Row],[credito_tomado]]),DadosBrutos[[#This Row],[credito_tomado]],IFERROR(VALUE(SUBSTITUTE(DadosBrutos[[#This Row],[credito_tomado]]," moedas","")),"-")))</f>
        <v>78000</v>
      </c>
      <c r="J10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08" s="1">
        <f>IF(DadosBrutos[[#This Row],[qtde_batalhas]]="","-",IF(ISNUMBER(DadosBrutos[[#This Row],[qtde_batalhas]]),DadosBrutos[[#This Row],[qtde_batalhas]],IFERROR(VALUE(SUBSTITUTE(DadosBrutos[[#This Row],[qtde_batalhas]]," batalhas","")),"-")))</f>
        <v>37</v>
      </c>
      <c r="L108" s="1" t="str">
        <f>IF(DadosL[[#This Row],[qtde_batalhas]]="-","-",IF(DadosL[[#This Row],[qtde_batalhas]]&lt;=10,"Baixo",IF(DadosL[[#This Row],[qtde_batalhas]]&lt;=25,"Médio","Alto")))</f>
        <v>Alto</v>
      </c>
      <c r="M10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99000</v>
      </c>
      <c r="N108" s="1" t="str">
        <f>IF(AND(DadosL[[#This Row],[nivel_risco]]="Alto",DadosL[[#This Row],[flag_inadimplente]]="Sim"),"Negado","Aprovado")</f>
        <v>Aprovado</v>
      </c>
      <c r="O108" s="1" t="str">
        <f>IF(AND(ISNUMBER(DadosL[[#This Row],[credito_tomado]]),DadosL[[#This Row],[credito_tomado]]&gt;50000,DadosL[[#This Row],[flag_inadimplente]]="Sim"),"Negado","Aprovado")</f>
        <v>Aprovado</v>
      </c>
      <c r="P108" s="46">
        <f>IF(OR(DadosL[[#This Row],[Analise_Risco]]="Negado",DadosL[[#This Row],[Analise_Credito]]="Negado"),0,IF(DadosL[[#This Row],[status]]="Ativo",DadosL[[#This Row],[valor_solicitado]]*1.08,0))</f>
        <v>106920</v>
      </c>
    </row>
    <row r="109" spans="1:16">
      <c r="A10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09" s="1" t="str">
        <f>PROPER(TRIM(DadosBrutos[[#This Row],[nome]]))</f>
        <v>Melisandre Targaryen</v>
      </c>
      <c r="C109" s="1" t="str">
        <f>IF(LEN(SUBSTITUTE(SUBSTITUTE(SUBSTITUTE(DadosBrutos[[#This Row],[cpf]],".",""),"-","")," ",""))=11,DadosBrutos[[#This Row],[cpf]],"-")</f>
        <v>000.000.170-00</v>
      </c>
      <c r="D10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31</v>
      </c>
      <c r="E109" s="45">
        <f>IF(DadosBrutos[[#This Row],[data_nascimento]]="","-",DadosBrutos[[#This Row],[data_nascimento]])</f>
        <v>34852</v>
      </c>
      <c r="F109" s="1" t="str">
        <f>IF(ISNUMBER(SEARCH("|",DadosBrutos[[#This Row],[cidade]])),TRIM(LEFT(DadosBrutos[[#This Row],[cidade]],SEARCH("|",DadosBrutos[[#This Row],[cidade]])-1)),TRIM(DadosBrutos[[#This Row],[cidade]]))</f>
        <v>Fosso Cailin</v>
      </c>
      <c r="G10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09" s="37">
        <f>IF(DadosBrutos[[#This Row],[renda_mensal]]="","-",IF(ISNUMBER(DadosBrutos[[#This Row],[renda_mensal]]),DadosBrutos[[#This Row],[renda_mensal]],IFERROR(VALUE(SUBSTITUTE(DadosBrutos[[#This Row],[renda_mensal]]," moedas","")),"-")))</f>
        <v>20500</v>
      </c>
      <c r="I109" s="37">
        <f>IF(DadosBrutos[[#This Row],[credito_tomado]]="","-",IF(ISNUMBER(DadosBrutos[[#This Row],[credito_tomado]]),DadosBrutos[[#This Row],[credito_tomado]],IFERROR(VALUE(SUBSTITUTE(DadosBrutos[[#This Row],[credito_tomado]]," moedas","")),"-")))</f>
        <v>47500</v>
      </c>
      <c r="J10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09" s="1">
        <f>IF(DadosBrutos[[#This Row],[qtde_batalhas]]="","-",IF(ISNUMBER(DadosBrutos[[#This Row],[qtde_batalhas]]),DadosBrutos[[#This Row],[qtde_batalhas]],IFERROR(VALUE(SUBSTITUTE(DadosBrutos[[#This Row],[qtde_batalhas]]," batalhas","")),"-")))</f>
        <v>11</v>
      </c>
      <c r="L109" s="1" t="str">
        <f>IF(DadosL[[#This Row],[qtde_batalhas]]="-","-",IF(DadosL[[#This Row],[qtde_batalhas]]&lt;=10,"Baixo",IF(DadosL[[#This Row],[qtde_batalhas]]&lt;=25,"Médio","Alto")))</f>
        <v>Médio</v>
      </c>
      <c r="M10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18500</v>
      </c>
      <c r="N109" s="1" t="str">
        <f>IF(AND(DadosL[[#This Row],[nivel_risco]]="Alto",DadosL[[#This Row],[flag_inadimplente]]="Sim"),"Negado","Aprovado")</f>
        <v>Aprovado</v>
      </c>
      <c r="O109" s="1" t="str">
        <f>IF(AND(ISNUMBER(DadosL[[#This Row],[credito_tomado]]),DadosL[[#This Row],[credito_tomado]]&gt;50000,DadosL[[#This Row],[flag_inadimplente]]="Sim"),"Negado","Aprovado")</f>
        <v>Aprovado</v>
      </c>
      <c r="P109" s="46">
        <f>IF(OR(DadosL[[#This Row],[Analise_Risco]]="Negado",DadosL[[#This Row],[Analise_Credito]]="Negado"),0,IF(DadosL[[#This Row],[status]]="Ativo",DadosL[[#This Row],[valor_solicitado]]*1.08,0))</f>
        <v>19980</v>
      </c>
    </row>
    <row r="110" spans="1:16">
      <c r="A11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Bloqueado</v>
      </c>
      <c r="B110" s="1" t="str">
        <f>PROPER(TRIM(DadosBrutos[[#This Row],[nome]]))</f>
        <v>Roose Cerwyn</v>
      </c>
      <c r="C110" s="1" t="str">
        <f>IF(LEN(SUBSTITUTE(SUBSTITUTE(SUBSTITUTE(DadosBrutos[[#This Row],[cpf]],".",""),"-","")," ",""))=11,DadosBrutos[[#This Row],[cpf]],"-")</f>
        <v>000.000.047-00</v>
      </c>
      <c r="D11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63</v>
      </c>
      <c r="E110" s="45">
        <f>IF(DadosBrutos[[#This Row],[data_nascimento]]="","-",DadosBrutos[[#This Row],[data_nascimento]])</f>
        <v>23084</v>
      </c>
      <c r="F110" s="1" t="str">
        <f>IF(ISNUMBER(SEARCH("|",DadosBrutos[[#This Row],[cidade]])),TRIM(LEFT(DadosBrutos[[#This Row],[cidade]],SEARCH("|",DadosBrutos[[#This Row],[cidade]])-1)),TRIM(DadosBrutos[[#This Row],[cidade]]))</f>
        <v>Vilavelha</v>
      </c>
      <c r="G11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110" s="37">
        <f>IF(DadosBrutos[[#This Row],[renda_mensal]]="","-",IF(ISNUMBER(DadosBrutos[[#This Row],[renda_mensal]]),DadosBrutos[[#This Row],[renda_mensal]],IFERROR(VALUE(SUBSTITUTE(DadosBrutos[[#This Row],[renda_mensal]]," moedas","")),"-")))</f>
        <v>17300</v>
      </c>
      <c r="I110" s="37">
        <f>IF(DadosBrutos[[#This Row],[credito_tomado]]="","-",IF(ISNUMBER(DadosBrutos[[#This Row],[credito_tomado]]),DadosBrutos[[#This Row],[credito_tomado]],IFERROR(VALUE(SUBSTITUTE(DadosBrutos[[#This Row],[credito_tomado]]," moedas","")),"-")))</f>
        <v>22000</v>
      </c>
      <c r="J11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10" s="1">
        <f>IF(DadosBrutos[[#This Row],[qtde_batalhas]]="","-",IF(ISNUMBER(DadosBrutos[[#This Row],[qtde_batalhas]]),DadosBrutos[[#This Row],[qtde_batalhas]],IFERROR(VALUE(SUBSTITUTE(DadosBrutos[[#This Row],[qtde_batalhas]]," batalhas","")),"-")))</f>
        <v>10</v>
      </c>
      <c r="L110" s="1" t="str">
        <f>IF(DadosL[[#This Row],[qtde_batalhas]]="-","-",IF(DadosL[[#This Row],[qtde_batalhas]]&lt;=10,"Baixo",IF(DadosL[[#This Row],[qtde_batalhas]]&lt;=25,"Médio","Alto")))</f>
        <v>Baixo</v>
      </c>
      <c r="M11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97000</v>
      </c>
      <c r="N110" s="1" t="str">
        <f>IF(AND(DadosL[[#This Row],[nivel_risco]]="Alto",DadosL[[#This Row],[flag_inadimplente]]="Sim"),"Negado","Aprovado")</f>
        <v>Aprovado</v>
      </c>
      <c r="O110" s="1" t="str">
        <f>IF(AND(ISNUMBER(DadosL[[#This Row],[credito_tomado]]),DadosL[[#This Row],[credito_tomado]]&gt;50000,DadosL[[#This Row],[flag_inadimplente]]="Sim"),"Negado","Aprovado")</f>
        <v>Aprovado</v>
      </c>
      <c r="P110" s="46">
        <f>IF(OR(DadosL[[#This Row],[Analise_Risco]]="Negado",DadosL[[#This Row],[Analise_Credito]]="Negado"),0,IF(DadosL[[#This Row],[status]]="Ativo",DadosL[[#This Row],[valor_solicitado]]*1.08,0))</f>
        <v>0</v>
      </c>
    </row>
    <row r="111" spans="1:16">
      <c r="A11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11" s="1" t="str">
        <f>PROPER(TRIM(DadosBrutos[[#This Row],[nome]]))</f>
        <v>Shae Frey</v>
      </c>
      <c r="C111" s="1" t="str">
        <f>IF(LEN(SUBSTITUTE(SUBSTITUTE(SUBSTITUTE(DadosBrutos[[#This Row],[cpf]],".",""),"-","")," ",""))=11,DadosBrutos[[#This Row],[cpf]],"-")</f>
        <v>-</v>
      </c>
      <c r="D11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26</v>
      </c>
      <c r="E111" s="45">
        <f>IF(DadosBrutos[[#This Row],[data_nascimento]]="","-",DadosBrutos[[#This Row],[data_nascimento]])</f>
        <v>36518</v>
      </c>
      <c r="F111" s="1" t="str">
        <f>IF(ISNUMBER(SEARCH("|",DadosBrutos[[#This Row],[cidade]])),TRIM(LEFT(DadosBrutos[[#This Row],[cidade]],SEARCH("|",DadosBrutos[[#This Row],[cidade]])-1)),TRIM(DadosBrutos[[#This Row],[cidade]]))</f>
        <v>Ilha dos Ursos</v>
      </c>
      <c r="G11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11" s="37">
        <f>IF(DadosBrutos[[#This Row],[renda_mensal]]="","-",IF(ISNUMBER(DadosBrutos[[#This Row],[renda_mensal]]),DadosBrutos[[#This Row],[renda_mensal]],IFERROR(VALUE(SUBSTITUTE(DadosBrutos[[#This Row],[renda_mensal]]," moedas","")),"-")))</f>
        <v>5000</v>
      </c>
      <c r="I111" s="37">
        <f>IF(DadosBrutos[[#This Row],[credito_tomado]]="","-",IF(ISNUMBER(DadosBrutos[[#This Row],[credito_tomado]]),DadosBrutos[[#This Row],[credito_tomado]],IFERROR(VALUE(SUBSTITUTE(DadosBrutos[[#This Row],[credito_tomado]]," moedas","")),"-")))</f>
        <v>61500</v>
      </c>
      <c r="J11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11" s="1">
        <f>IF(DadosBrutos[[#This Row],[qtde_batalhas]]="","-",IF(ISNUMBER(DadosBrutos[[#This Row],[qtde_batalhas]]),DadosBrutos[[#This Row],[qtde_batalhas]],IFERROR(VALUE(SUBSTITUTE(DadosBrutos[[#This Row],[qtde_batalhas]]," batalhas","")),"-")))</f>
        <v>35</v>
      </c>
      <c r="L111" s="1" t="str">
        <f>IF(DadosL[[#This Row],[qtde_batalhas]]="-","-",IF(DadosL[[#This Row],[qtde_batalhas]]&lt;=10,"Baixo",IF(DadosL[[#This Row],[qtde_batalhas]]&lt;=25,"Médio","Alto")))</f>
        <v>Alto</v>
      </c>
      <c r="M11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18500</v>
      </c>
      <c r="N111" s="1" t="str">
        <f>IF(AND(DadosL[[#This Row],[nivel_risco]]="Alto",DadosL[[#This Row],[flag_inadimplente]]="Sim"),"Negado","Aprovado")</f>
        <v>Aprovado</v>
      </c>
      <c r="O111" s="1" t="str">
        <f>IF(AND(ISNUMBER(DadosL[[#This Row],[credito_tomado]]),DadosL[[#This Row],[credito_tomado]]&gt;50000,DadosL[[#This Row],[flag_inadimplente]]="Sim"),"Negado","Aprovado")</f>
        <v>Aprovado</v>
      </c>
      <c r="P111" s="46">
        <f>IF(OR(DadosL[[#This Row],[Analise_Risco]]="Negado",DadosL[[#This Row],[Analise_Credito]]="Negado"),0,IF(DadosL[[#This Row],[status]]="Ativo",DadosL[[#This Row],[valor_solicitado]]*1.08,0))</f>
        <v>19980</v>
      </c>
    </row>
    <row r="112" spans="1:16">
      <c r="A11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12" s="1" t="str">
        <f>PROPER(TRIM(DadosBrutos[[#This Row],[nome]]))</f>
        <v>Lyanna Swyft</v>
      </c>
      <c r="C112" s="1" t="str">
        <f>IF(LEN(SUBSTITUTE(SUBSTITUTE(SUBSTITUTE(DadosBrutos[[#This Row],[cpf]],".",""),"-","")," ",""))=11,DadosBrutos[[#This Row],[cpf]],"-")</f>
        <v>-</v>
      </c>
      <c r="D11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29</v>
      </c>
      <c r="E112" s="45">
        <f>IF(DadosBrutos[[#This Row],[data_nascimento]]="","-",DadosBrutos[[#This Row],[data_nascimento]])</f>
        <v>35344</v>
      </c>
      <c r="F112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11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112" s="37">
        <f>IF(DadosBrutos[[#This Row],[renda_mensal]]="","-",IF(ISNUMBER(DadosBrutos[[#This Row],[renda_mensal]]),DadosBrutos[[#This Row],[renda_mensal]],IFERROR(VALUE(SUBSTITUTE(DadosBrutos[[#This Row],[renda_mensal]]," moedas","")),"-")))</f>
        <v>19900</v>
      </c>
      <c r="I112" s="37">
        <f>IF(DadosBrutos[[#This Row],[credito_tomado]]="","-",IF(ISNUMBER(DadosBrutos[[#This Row],[credito_tomado]]),DadosBrutos[[#This Row],[credito_tomado]],IFERROR(VALUE(SUBSTITUTE(DadosBrutos[[#This Row],[credito_tomado]]," moedas","")),"-")))</f>
        <v>49500</v>
      </c>
      <c r="J11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12" s="1">
        <f>IF(DadosBrutos[[#This Row],[qtde_batalhas]]="","-",IF(ISNUMBER(DadosBrutos[[#This Row],[qtde_batalhas]]),DadosBrutos[[#This Row],[qtde_batalhas]],IFERROR(VALUE(SUBSTITUTE(DadosBrutos[[#This Row],[qtde_batalhas]]," batalhas","")),"-")))</f>
        <v>27</v>
      </c>
      <c r="L112" s="1" t="str">
        <f>IF(DadosL[[#This Row],[qtde_batalhas]]="-","-",IF(DadosL[[#This Row],[qtde_batalhas]]&lt;=10,"Baixo",IF(DadosL[[#This Row],[qtde_batalhas]]&lt;=25,"Médio","Alto")))</f>
        <v>Alto</v>
      </c>
      <c r="M11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23000</v>
      </c>
      <c r="N112" s="1" t="str">
        <f>IF(AND(DadosL[[#This Row],[nivel_risco]]="Alto",DadosL[[#This Row],[flag_inadimplente]]="Sim"),"Negado","Aprovado")</f>
        <v>Negado</v>
      </c>
      <c r="O112" s="1" t="str">
        <f>IF(AND(ISNUMBER(DadosL[[#This Row],[credito_tomado]]),DadosL[[#This Row],[credito_tomado]]&gt;50000,DadosL[[#This Row],[flag_inadimplente]]="Sim"),"Negado","Aprovado")</f>
        <v>Aprovado</v>
      </c>
      <c r="P112" s="46">
        <f>IF(OR(DadosL[[#This Row],[Analise_Risco]]="Negado",DadosL[[#This Row],[Analise_Credito]]="Negado"),0,IF(DadosL[[#This Row],[status]]="Ativo",DadosL[[#This Row],[valor_solicitado]]*1.08,0))</f>
        <v>0</v>
      </c>
    </row>
    <row r="113" spans="1:16">
      <c r="A11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13" s="1" t="str">
        <f>PROPER(TRIM(DadosBrutos[[#This Row],[nome]]))</f>
        <v>Rhaegar Targaryen</v>
      </c>
      <c r="C113" s="1" t="str">
        <f>IF(LEN(SUBSTITUTE(SUBSTITUTE(SUBSTITUTE(DadosBrutos[[#This Row],[cpf]],".",""),"-","")," ",""))=11,DadosBrutos[[#This Row],[cpf]],"-")</f>
        <v>000.000.342-00</v>
      </c>
      <c r="D11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51</v>
      </c>
      <c r="E113" s="45">
        <f>IF(DadosBrutos[[#This Row],[data_nascimento]]="","-",DadosBrutos[[#This Row],[data_nascimento]])</f>
        <v>27413</v>
      </c>
      <c r="F113" s="1" t="str">
        <f>IF(ISNUMBER(SEARCH("|",DadosBrutos[[#This Row],[cidade]])),TRIM(LEFT(DadosBrutos[[#This Row],[cidade]],SEARCH("|",DadosBrutos[[#This Row],[cidade]])-1)),TRIM(DadosBrutos[[#This Row],[cidade]]))</f>
        <v>Fosso Cailin</v>
      </c>
      <c r="G11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13" s="37">
        <f>IF(DadosBrutos[[#This Row],[renda_mensal]]="","-",IF(ISNUMBER(DadosBrutos[[#This Row],[renda_mensal]]),DadosBrutos[[#This Row],[renda_mensal]],IFERROR(VALUE(SUBSTITUTE(DadosBrutos[[#This Row],[renda_mensal]]," moedas","")),"-")))</f>
        <v>18500</v>
      </c>
      <c r="I113" s="37">
        <f>IF(DadosBrutos[[#This Row],[credito_tomado]]="","-",IF(ISNUMBER(DadosBrutos[[#This Row],[credito_tomado]]),DadosBrutos[[#This Row],[credito_tomado]],IFERROR(VALUE(SUBSTITUTE(DadosBrutos[[#This Row],[credito_tomado]]," moedas","")),"-")))</f>
        <v>69500</v>
      </c>
      <c r="J11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13" s="1">
        <f>IF(DadosBrutos[[#This Row],[qtde_batalhas]]="","-",IF(ISNUMBER(DadosBrutos[[#This Row],[qtde_batalhas]]),DadosBrutos[[#This Row],[qtde_batalhas]],IFERROR(VALUE(SUBSTITUTE(DadosBrutos[[#This Row],[qtde_batalhas]]," batalhas","")),"-")))</f>
        <v>31</v>
      </c>
      <c r="L113" s="1" t="str">
        <f>IF(DadosL[[#This Row],[qtde_batalhas]]="-","-",IF(DadosL[[#This Row],[qtde_batalhas]]&lt;=10,"Baixo",IF(DadosL[[#This Row],[qtde_batalhas]]&lt;=25,"Médio","Alto")))</f>
        <v>Alto</v>
      </c>
      <c r="M11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18000</v>
      </c>
      <c r="N113" s="1" t="str">
        <f>IF(AND(DadosL[[#This Row],[nivel_risco]]="Alto",DadosL[[#This Row],[flag_inadimplente]]="Sim"),"Negado","Aprovado")</f>
        <v>Aprovado</v>
      </c>
      <c r="O113" s="1" t="str">
        <f>IF(AND(ISNUMBER(DadosL[[#This Row],[credito_tomado]]),DadosL[[#This Row],[credito_tomado]]&gt;50000,DadosL[[#This Row],[flag_inadimplente]]="Sim"),"Negado","Aprovado")</f>
        <v>Aprovado</v>
      </c>
      <c r="P113" s="46">
        <f>IF(OR(DadosL[[#This Row],[Analise_Risco]]="Negado",DadosL[[#This Row],[Analise_Credito]]="Negado"),0,IF(DadosL[[#This Row],[status]]="Ativo",DadosL[[#This Row],[valor_solicitado]]*1.08,0))</f>
        <v>19440</v>
      </c>
    </row>
    <row r="114" spans="1:16">
      <c r="A11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14" s="1" t="str">
        <f>PROPER(TRIM(DadosBrutos[[#This Row],[nome]]))</f>
        <v>Varys Targaryen</v>
      </c>
      <c r="C114" s="1" t="str">
        <f>IF(LEN(SUBSTITUTE(SUBSTITUTE(SUBSTITUTE(DadosBrutos[[#This Row],[cpf]],".",""),"-","")," ",""))=11,DadosBrutos[[#This Row],[cpf]],"-")</f>
        <v>000.000.234-00</v>
      </c>
      <c r="D11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46</v>
      </c>
      <c r="E114" s="45">
        <f>IF(DadosBrutos[[#This Row],[data_nascimento]]="","-",DadosBrutos[[#This Row],[data_nascimento]])</f>
        <v>29197</v>
      </c>
      <c r="F114" s="1" t="str">
        <f>IF(ISNUMBER(SEARCH("|",DadosBrutos[[#This Row],[cidade]])),TRIM(LEFT(DadosBrutos[[#This Row],[cidade]],SEARCH("|",DadosBrutos[[#This Row],[cidade]])-1)),TRIM(DadosBrutos[[#This Row],[cidade]]))</f>
        <v>Meereen</v>
      </c>
      <c r="G11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114" s="37">
        <f>IF(DadosBrutos[[#This Row],[renda_mensal]]="","-",IF(ISNUMBER(DadosBrutos[[#This Row],[renda_mensal]]),DadosBrutos[[#This Row],[renda_mensal]],IFERROR(VALUE(SUBSTITUTE(DadosBrutos[[#This Row],[renda_mensal]]," moedas","")),"-")))</f>
        <v>3200</v>
      </c>
      <c r="I114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11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14" s="1">
        <f>IF(DadosBrutos[[#This Row],[qtde_batalhas]]="","-",IF(ISNUMBER(DadosBrutos[[#This Row],[qtde_batalhas]]),DadosBrutos[[#This Row],[qtde_batalhas]],IFERROR(VALUE(SUBSTITUTE(DadosBrutos[[#This Row],[qtde_batalhas]]," batalhas","")),"-")))</f>
        <v>16</v>
      </c>
      <c r="L114" s="1" t="str">
        <f>IF(DadosL[[#This Row],[qtde_batalhas]]="-","-",IF(DadosL[[#This Row],[qtde_batalhas]]&lt;=10,"Baixo",IF(DadosL[[#This Row],[qtde_batalhas]]&lt;=25,"Médio","Alto")))</f>
        <v>Médio</v>
      </c>
      <c r="M11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61500</v>
      </c>
      <c r="N114" s="1" t="str">
        <f>IF(AND(DadosL[[#This Row],[nivel_risco]]="Alto",DadosL[[#This Row],[flag_inadimplente]]="Sim"),"Negado","Aprovado")</f>
        <v>Aprovado</v>
      </c>
      <c r="O114" s="1" t="str">
        <f>IF(AND(ISNUMBER(DadosL[[#This Row],[credito_tomado]]),DadosL[[#This Row],[credito_tomado]]&gt;50000,DadosL[[#This Row],[flag_inadimplente]]="Sim"),"Negado","Aprovado")</f>
        <v>Aprovado</v>
      </c>
      <c r="P114" s="46">
        <f>IF(OR(DadosL[[#This Row],[Analise_Risco]]="Negado",DadosL[[#This Row],[Analise_Credito]]="Negado"),0,IF(DadosL[[#This Row],[status]]="Ativo",DadosL[[#This Row],[valor_solicitado]]*1.08,0))</f>
        <v>66420</v>
      </c>
    </row>
    <row r="115" spans="1:16">
      <c r="A11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15" s="1" t="str">
        <f>PROPER(TRIM(DadosBrutos[[#This Row],[nome]]))</f>
        <v>Robb Stark</v>
      </c>
      <c r="C115" s="1" t="str">
        <f>IF(LEN(SUBSTITUTE(SUBSTITUTE(SUBSTITUTE(DadosBrutos[[#This Row],[cpf]],".",""),"-","")," ",""))=11,DadosBrutos[[#This Row],[cpf]],"-")</f>
        <v>000.000.228-00</v>
      </c>
      <c r="D11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65</v>
      </c>
      <c r="E115" s="45">
        <f>IF(DadosBrutos[[#This Row],[data_nascimento]]="","-",DadosBrutos[[#This Row],[data_nascimento]])</f>
        <v>22505</v>
      </c>
      <c r="F115" s="1" t="str">
        <f>IF(ISNUMBER(SEARCH("|",DadosBrutos[[#This Row],[cidade]])),TRIM(LEFT(DadosBrutos[[#This Row],[cidade]],SEARCH("|",DadosBrutos[[#This Row],[cidade]])-1)),TRIM(DadosBrutos[[#This Row],[cidade]]))</f>
        <v>Ilha dos Ursos</v>
      </c>
      <c r="G11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15" s="37">
        <f>IF(DadosBrutos[[#This Row],[renda_mensal]]="","-",IF(ISNUMBER(DadosBrutos[[#This Row],[renda_mensal]]),DadosBrutos[[#This Row],[renda_mensal]],IFERROR(VALUE(SUBSTITUTE(DadosBrutos[[#This Row],[renda_mensal]]," moedas","")),"-")))</f>
        <v>29000</v>
      </c>
      <c r="I115" s="37">
        <f>IF(DadosBrutos[[#This Row],[credito_tomado]]="","-",IF(ISNUMBER(DadosBrutos[[#This Row],[credito_tomado]]),DadosBrutos[[#This Row],[credito_tomado]],IFERROR(VALUE(SUBSTITUTE(DadosBrutos[[#This Row],[credito_tomado]]," moedas","")),"-")))</f>
        <v>28500</v>
      </c>
      <c r="J11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15" s="1">
        <f>IF(DadosBrutos[[#This Row],[qtde_batalhas]]="","-",IF(ISNUMBER(DadosBrutos[[#This Row],[qtde_batalhas]]),DadosBrutos[[#This Row],[qtde_batalhas]],IFERROR(VALUE(SUBSTITUTE(DadosBrutos[[#This Row],[qtde_batalhas]]," batalhas","")),"-")))</f>
        <v>28</v>
      </c>
      <c r="L115" s="1" t="str">
        <f>IF(DadosL[[#This Row],[qtde_batalhas]]="-","-",IF(DadosL[[#This Row],[qtde_batalhas]]&lt;=10,"Baixo",IF(DadosL[[#This Row],[qtde_batalhas]]&lt;=25,"Médio","Alto")))</f>
        <v>Alto</v>
      </c>
      <c r="M11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57500</v>
      </c>
      <c r="N115" s="1" t="str">
        <f>IF(AND(DadosL[[#This Row],[nivel_risco]]="Alto",DadosL[[#This Row],[flag_inadimplente]]="Sim"),"Negado","Aprovado")</f>
        <v>Aprovado</v>
      </c>
      <c r="O115" s="1" t="str">
        <f>IF(AND(ISNUMBER(DadosL[[#This Row],[credito_tomado]]),DadosL[[#This Row],[credito_tomado]]&gt;50000,DadosL[[#This Row],[flag_inadimplente]]="Sim"),"Negado","Aprovado")</f>
        <v>Aprovado</v>
      </c>
      <c r="P115" s="46">
        <f>IF(OR(DadosL[[#This Row],[Analise_Risco]]="Negado",DadosL[[#This Row],[Analise_Credito]]="Negado"),0,IF(DadosL[[#This Row],[status]]="Ativo",DadosL[[#This Row],[valor_solicitado]]*1.08,0))</f>
        <v>62100.000000000007</v>
      </c>
    </row>
    <row r="116" spans="1:16">
      <c r="A11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16" s="1" t="str">
        <f>PROPER(TRIM(DadosBrutos[[#This Row],[nome]]))</f>
        <v>Gendry Hightower</v>
      </c>
      <c r="C116" s="1" t="str">
        <f>IF(LEN(SUBSTITUTE(SUBSTITUTE(SUBSTITUTE(DadosBrutos[[#This Row],[cpf]],".",""),"-","")," ",""))=11,DadosBrutos[[#This Row],[cpf]],"-")</f>
        <v>000.000.167-00</v>
      </c>
      <c r="D11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26</v>
      </c>
      <c r="E116" s="45">
        <f>IF(DadosBrutos[[#This Row],[data_nascimento]]="","-",DadosBrutos[[#This Row],[data_nascimento]])</f>
        <v>36475</v>
      </c>
      <c r="F116" s="1" t="str">
        <f>IF(ISNUMBER(SEARCH("|",DadosBrutos[[#This Row],[cidade]])),TRIM(LEFT(DadosBrutos[[#This Row],[cidade]],SEARCH("|",DadosBrutos[[#This Row],[cidade]])-1)),TRIM(DadosBrutos[[#This Row],[cidade]]))</f>
        <v>Harrenhal</v>
      </c>
      <c r="G11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116" s="37">
        <f>IF(DadosBrutos[[#This Row],[renda_mensal]]="","-",IF(ISNUMBER(DadosBrutos[[#This Row],[renda_mensal]]),DadosBrutos[[#This Row],[renda_mensal]],IFERROR(VALUE(SUBSTITUTE(DadosBrutos[[#This Row],[renda_mensal]]," moedas","")),"-")))</f>
        <v>13900</v>
      </c>
      <c r="I116" s="37">
        <f>IF(DadosBrutos[[#This Row],[credito_tomado]]="","-",IF(ISNUMBER(DadosBrutos[[#This Row],[credito_tomado]]),DadosBrutos[[#This Row],[credito_tomado]],IFERROR(VALUE(SUBSTITUTE(DadosBrutos[[#This Row],[credito_tomado]]," moedas","")),"-")))</f>
        <v>53500</v>
      </c>
      <c r="J11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16" s="1">
        <f>IF(DadosBrutos[[#This Row],[qtde_batalhas]]="","-",IF(ISNUMBER(DadosBrutos[[#This Row],[qtde_batalhas]]),DadosBrutos[[#This Row],[qtde_batalhas]],IFERROR(VALUE(SUBSTITUTE(DadosBrutos[[#This Row],[qtde_batalhas]]," batalhas","")),"-")))</f>
        <v>12</v>
      </c>
      <c r="L116" s="1" t="str">
        <f>IF(DadosL[[#This Row],[qtde_batalhas]]="-","-",IF(DadosL[[#This Row],[qtde_batalhas]]&lt;=10,"Baixo",IF(DadosL[[#This Row],[qtde_batalhas]]&lt;=25,"Médio","Alto")))</f>
        <v>Médio</v>
      </c>
      <c r="M11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85000</v>
      </c>
      <c r="N116" s="1" t="str">
        <f>IF(AND(DadosL[[#This Row],[nivel_risco]]="Alto",DadosL[[#This Row],[flag_inadimplente]]="Sim"),"Negado","Aprovado")</f>
        <v>Aprovado</v>
      </c>
      <c r="O116" s="1" t="str">
        <f>IF(AND(ISNUMBER(DadosL[[#This Row],[credito_tomado]]),DadosL[[#This Row],[credito_tomado]]&gt;50000,DadosL[[#This Row],[flag_inadimplente]]="Sim"),"Negado","Aprovado")</f>
        <v>Aprovado</v>
      </c>
      <c r="P116" s="46">
        <f>IF(OR(DadosL[[#This Row],[Analise_Risco]]="Negado",DadosL[[#This Row],[Analise_Credito]]="Negado"),0,IF(DadosL[[#This Row],[status]]="Ativo",DadosL[[#This Row],[valor_solicitado]]*1.08,0))</f>
        <v>91800</v>
      </c>
    </row>
    <row r="117" spans="1:16">
      <c r="A11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17" s="1" t="str">
        <f>PROPER(TRIM(DadosBrutos[[#This Row],[nome]]))</f>
        <v>Tormund Glover</v>
      </c>
      <c r="C117" s="1" t="str">
        <f>IF(LEN(SUBSTITUTE(SUBSTITUTE(SUBSTITUTE(DadosBrutos[[#This Row],[cpf]],".",""),"-","")," ",""))=11,DadosBrutos[[#This Row],[cpf]],"-")</f>
        <v>000.000.087-00</v>
      </c>
      <c r="D11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63</v>
      </c>
      <c r="E117" s="45">
        <f>IF(DadosBrutos[[#This Row],[data_nascimento]]="","-",DadosBrutos[[#This Row],[data_nascimento]])</f>
        <v>22994</v>
      </c>
      <c r="F117" s="1" t="str">
        <f>IF(ISNUMBER(SEARCH("|",DadosBrutos[[#This Row],[cidade]])),TRIM(LEFT(DadosBrutos[[#This Row],[cidade]],SEARCH("|",DadosBrutos[[#This Row],[cidade]])-1)),TRIM(DadosBrutos[[#This Row],[cidade]]))</f>
        <v>Pyke</v>
      </c>
      <c r="G11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117" s="37">
        <f>IF(DadosBrutos[[#This Row],[renda_mensal]]="","-",IF(ISNUMBER(DadosBrutos[[#This Row],[renda_mensal]]),DadosBrutos[[#This Row],[renda_mensal]],IFERROR(VALUE(SUBSTITUTE(DadosBrutos[[#This Row],[renda_mensal]]," moedas","")),"-")))</f>
        <v>20000</v>
      </c>
      <c r="I117" s="37">
        <f>IF(DadosBrutos[[#This Row],[credito_tomado]]="","-",IF(ISNUMBER(DadosBrutos[[#This Row],[credito_tomado]]),DadosBrutos[[#This Row],[credito_tomado]],IFERROR(VALUE(SUBSTITUTE(DadosBrutos[[#This Row],[credito_tomado]]," moedas","")),"-")))</f>
        <v>29500</v>
      </c>
      <c r="J11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17" s="1">
        <f>IF(DadosBrutos[[#This Row],[qtde_batalhas]]="","-",IF(ISNUMBER(DadosBrutos[[#This Row],[qtde_batalhas]]),DadosBrutos[[#This Row],[qtde_batalhas]],IFERROR(VALUE(SUBSTITUTE(DadosBrutos[[#This Row],[qtde_batalhas]]," batalhas","")),"-")))</f>
        <v>42</v>
      </c>
      <c r="L117" s="1" t="str">
        <f>IF(DadosL[[#This Row],[qtde_batalhas]]="-","-",IF(DadosL[[#This Row],[qtde_batalhas]]&lt;=10,"Baixo",IF(DadosL[[#This Row],[qtde_batalhas]]&lt;=25,"Médio","Alto")))</f>
        <v>Alto</v>
      </c>
      <c r="M11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5000</v>
      </c>
      <c r="N117" s="1" t="str">
        <f>IF(AND(DadosL[[#This Row],[nivel_risco]]="Alto",DadosL[[#This Row],[flag_inadimplente]]="Sim"),"Negado","Aprovado")</f>
        <v>Aprovado</v>
      </c>
      <c r="O117" s="1" t="str">
        <f>IF(AND(ISNUMBER(DadosL[[#This Row],[credito_tomado]]),DadosL[[#This Row],[credito_tomado]]&gt;50000,DadosL[[#This Row],[flag_inadimplente]]="Sim"),"Negado","Aprovado")</f>
        <v>Aprovado</v>
      </c>
      <c r="P117" s="46">
        <f>IF(OR(DadosL[[#This Row],[Analise_Risco]]="Negado",DadosL[[#This Row],[Analise_Credito]]="Negado"),0,IF(DadosL[[#This Row],[status]]="Ativo",DadosL[[#This Row],[valor_solicitado]]*1.08,0))</f>
        <v>0</v>
      </c>
    </row>
    <row r="118" spans="1:16">
      <c r="A11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18" s="1" t="str">
        <f>PROPER(TRIM(DadosBrutos[[#This Row],[nome]]))</f>
        <v>Tyrion Snow</v>
      </c>
      <c r="C118" s="1" t="str">
        <f>IF(LEN(SUBSTITUTE(SUBSTITUTE(SUBSTITUTE(DadosBrutos[[#This Row],[cpf]],".",""),"-","")," ",""))=11,DadosBrutos[[#This Row],[cpf]],"-")</f>
        <v>-</v>
      </c>
      <c r="D11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71</v>
      </c>
      <c r="E118" s="45">
        <f>IF(DadosBrutos[[#This Row],[data_nascimento]]="","-",DadosBrutos[[#This Row],[data_nascimento]])</f>
        <v>20094</v>
      </c>
      <c r="F118" s="1" t="str">
        <f>IF(ISNUMBER(SEARCH("|",DadosBrutos[[#This Row],[cidade]])),TRIM(LEFT(DadosBrutos[[#This Row],[cidade]],SEARCH("|",DadosBrutos[[#This Row],[cidade]])-1)),TRIM(DadosBrutos[[#This Row],[cidade]]))</f>
        <v>Monte Chifre</v>
      </c>
      <c r="G11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118" s="37">
        <f>IF(DadosBrutos[[#This Row],[renda_mensal]]="","-",IF(ISNUMBER(DadosBrutos[[#This Row],[renda_mensal]]),DadosBrutos[[#This Row],[renda_mensal]],IFERROR(VALUE(SUBSTITUTE(DadosBrutos[[#This Row],[renda_mensal]]," moedas","")),"-")))</f>
        <v>24100</v>
      </c>
      <c r="I118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11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18" s="1">
        <f>IF(DadosBrutos[[#This Row],[qtde_batalhas]]="","-",IF(ISNUMBER(DadosBrutos[[#This Row],[qtde_batalhas]]),DadosBrutos[[#This Row],[qtde_batalhas]],IFERROR(VALUE(SUBSTITUTE(DadosBrutos[[#This Row],[qtde_batalhas]]," batalhas","")),"-")))</f>
        <v>10</v>
      </c>
      <c r="L118" s="1" t="str">
        <f>IF(DadosL[[#This Row],[qtde_batalhas]]="-","-",IF(DadosL[[#This Row],[qtde_batalhas]]&lt;=10,"Baixo",IF(DadosL[[#This Row],[qtde_batalhas]]&lt;=25,"Médio","Alto")))</f>
        <v>Baixo</v>
      </c>
      <c r="M11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87000</v>
      </c>
      <c r="N118" s="1" t="str">
        <f>IF(AND(DadosL[[#This Row],[nivel_risco]]="Alto",DadosL[[#This Row],[flag_inadimplente]]="Sim"),"Negado","Aprovado")</f>
        <v>Aprovado</v>
      </c>
      <c r="O118" s="1" t="str">
        <f>IF(AND(ISNUMBER(DadosL[[#This Row],[credito_tomado]]),DadosL[[#This Row],[credito_tomado]]&gt;50000,DadosL[[#This Row],[flag_inadimplente]]="Sim"),"Negado","Aprovado")</f>
        <v>Aprovado</v>
      </c>
      <c r="P118" s="46">
        <f>IF(OR(DadosL[[#This Row],[Analise_Risco]]="Negado",DadosL[[#This Row],[Analise_Credito]]="Negado"),0,IF(DadosL[[#This Row],[status]]="Ativo",DadosL[[#This Row],[valor_solicitado]]*1.08,0))</f>
        <v>93960</v>
      </c>
    </row>
    <row r="119" spans="1:16">
      <c r="A11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19" s="1" t="str">
        <f>PROPER(TRIM(DadosBrutos[[#This Row],[nome]]))</f>
        <v>Beric  Umber</v>
      </c>
      <c r="C119" s="1" t="str">
        <f>IF(LEN(SUBSTITUTE(SUBSTITUTE(SUBSTITUTE(DadosBrutos[[#This Row],[cpf]],".",""),"-","")," ",""))=11,DadosBrutos[[#This Row],[cpf]],"-")</f>
        <v>-</v>
      </c>
      <c r="D11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73</v>
      </c>
      <c r="E119" s="45">
        <f>IF(DadosBrutos[[#This Row],[data_nascimento]]="","-",DadosBrutos[[#This Row],[data_nascimento]])</f>
        <v>19538</v>
      </c>
      <c r="F119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11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119" s="37">
        <f>IF(DadosBrutos[[#This Row],[renda_mensal]]="","-",IF(ISNUMBER(DadosBrutos[[#This Row],[renda_mensal]]),DadosBrutos[[#This Row],[renda_mensal]],IFERROR(VALUE(SUBSTITUTE(DadosBrutos[[#This Row],[renda_mensal]]," moedas","")),"-")))</f>
        <v>12700</v>
      </c>
      <c r="I119" s="37">
        <f>IF(DadosBrutos[[#This Row],[credito_tomado]]="","-",IF(ISNUMBER(DadosBrutos[[#This Row],[credito_tomado]]),DadosBrutos[[#This Row],[credito_tomado]],IFERROR(VALUE(SUBSTITUTE(DadosBrutos[[#This Row],[credito_tomado]]," moedas","")),"-")))</f>
        <v>79500</v>
      </c>
      <c r="J11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19" s="1">
        <f>IF(DadosBrutos[[#This Row],[qtde_batalhas]]="","-",IF(ISNUMBER(DadosBrutos[[#This Row],[qtde_batalhas]]),DadosBrutos[[#This Row],[qtde_batalhas]],IFERROR(VALUE(SUBSTITUTE(DadosBrutos[[#This Row],[qtde_batalhas]]," batalhas","")),"-")))</f>
        <v>35</v>
      </c>
      <c r="L119" s="1" t="str">
        <f>IF(DadosL[[#This Row],[qtde_batalhas]]="-","-",IF(DadosL[[#This Row],[qtde_batalhas]]&lt;=10,"Baixo",IF(DadosL[[#This Row],[qtde_batalhas]]&lt;=25,"Médio","Alto")))</f>
        <v>Alto</v>
      </c>
      <c r="M11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39000</v>
      </c>
      <c r="N119" s="1" t="str">
        <f>IF(AND(DadosL[[#This Row],[nivel_risco]]="Alto",DadosL[[#This Row],[flag_inadimplente]]="Sim"),"Negado","Aprovado")</f>
        <v>Aprovado</v>
      </c>
      <c r="O119" s="1" t="str">
        <f>IF(AND(ISNUMBER(DadosL[[#This Row],[credito_tomado]]),DadosL[[#This Row],[credito_tomado]]&gt;50000,DadosL[[#This Row],[flag_inadimplente]]="Sim"),"Negado","Aprovado")</f>
        <v>Aprovado</v>
      </c>
      <c r="P119" s="46">
        <f>IF(OR(DadosL[[#This Row],[Analise_Risco]]="Negado",DadosL[[#This Row],[Analise_Credito]]="Negado"),0,IF(DadosL[[#This Row],[status]]="Ativo",DadosL[[#This Row],[valor_solicitado]]*1.08,0))</f>
        <v>42120</v>
      </c>
    </row>
    <row r="120" spans="1:16">
      <c r="A12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20" s="1" t="str">
        <f>PROPER(TRIM(DadosBrutos[[#This Row],[nome]]))</f>
        <v>Varys Florent</v>
      </c>
      <c r="C120" s="1" t="str">
        <f>IF(LEN(SUBSTITUTE(SUBSTITUTE(SUBSTITUTE(DadosBrutos[[#This Row],[cpf]],".",""),"-","")," ",""))=11,DadosBrutos[[#This Row],[cpf]],"-")</f>
        <v>-</v>
      </c>
      <c r="D12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57</v>
      </c>
      <c r="E120" s="45">
        <f>IF(DadosBrutos[[#This Row],[data_nascimento]]="","-",DadosBrutos[[#This Row],[data_nascimento]])</f>
        <v>25238</v>
      </c>
      <c r="F120" s="1" t="str">
        <f>IF(ISNUMBER(SEARCH("|",DadosBrutos[[#This Row],[cidade]])),TRIM(LEFT(DadosBrutos[[#This Row],[cidade]],SEARCH("|",DadosBrutos[[#This Row],[cidade]])-1)),TRIM(DadosBrutos[[#This Row],[cidade]]))</f>
        <v>Harrenhal</v>
      </c>
      <c r="G12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120" s="37">
        <f>IF(DadosBrutos[[#This Row],[renda_mensal]]="","-",IF(ISNUMBER(DadosBrutos[[#This Row],[renda_mensal]]),DadosBrutos[[#This Row],[renda_mensal]],IFERROR(VALUE(SUBSTITUTE(DadosBrutos[[#This Row],[renda_mensal]]," moedas","")),"-")))</f>
        <v>3200</v>
      </c>
      <c r="I120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12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20" s="1">
        <f>IF(DadosBrutos[[#This Row],[qtde_batalhas]]="","-",IF(ISNUMBER(DadosBrutos[[#This Row],[qtde_batalhas]]),DadosBrutos[[#This Row],[qtde_batalhas]],IFERROR(VALUE(SUBSTITUTE(DadosBrutos[[#This Row],[qtde_batalhas]]," batalhas","")),"-")))</f>
        <v>18</v>
      </c>
      <c r="L120" s="1" t="str">
        <f>IF(DadosL[[#This Row],[qtde_batalhas]]="-","-",IF(DadosL[[#This Row],[qtde_batalhas]]&lt;=10,"Baixo",IF(DadosL[[#This Row],[qtde_batalhas]]&lt;=25,"Médio","Alto")))</f>
        <v>Médio</v>
      </c>
      <c r="M12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64000</v>
      </c>
      <c r="N120" s="1" t="str">
        <f>IF(AND(DadosL[[#This Row],[nivel_risco]]="Alto",DadosL[[#This Row],[flag_inadimplente]]="Sim"),"Negado","Aprovado")</f>
        <v>Aprovado</v>
      </c>
      <c r="O120" s="1" t="str">
        <f>IF(AND(ISNUMBER(DadosL[[#This Row],[credito_tomado]]),DadosL[[#This Row],[credito_tomado]]&gt;50000,DadosL[[#This Row],[flag_inadimplente]]="Sim"),"Negado","Aprovado")</f>
        <v>Aprovado</v>
      </c>
      <c r="P120" s="46">
        <f>IF(OR(DadosL[[#This Row],[Analise_Risco]]="Negado",DadosL[[#This Row],[Analise_Credito]]="Negado"),0,IF(DadosL[[#This Row],[status]]="Ativo",DadosL[[#This Row],[valor_solicitado]]*1.08,0))</f>
        <v>69120</v>
      </c>
    </row>
    <row r="121" spans="1:16">
      <c r="A12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21" s="1" t="str">
        <f>PROPER(TRIM(DadosBrutos[[#This Row],[nome]]))</f>
        <v>Catelyn Umber</v>
      </c>
      <c r="C121" s="1" t="str">
        <f>IF(LEN(SUBSTITUTE(SUBSTITUTE(SUBSTITUTE(DadosBrutos[[#This Row],[cpf]],".",""),"-","")," ",""))=11,DadosBrutos[[#This Row],[cpf]],"-")</f>
        <v>-</v>
      </c>
      <c r="D12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64</v>
      </c>
      <c r="E121" s="45">
        <f>IF(DadosBrutos[[#This Row],[data_nascimento]]="","-",DadosBrutos[[#This Row],[data_nascimento]])</f>
        <v>22828</v>
      </c>
      <c r="F121" s="1" t="str">
        <f>IF(ISNUMBER(SEARCH("|",DadosBrutos[[#This Row],[cidade]])),TRIM(LEFT(DadosBrutos[[#This Row],[cidade]],SEARCH("|",DadosBrutos[[#This Row],[cidade]])-1)),TRIM(DadosBrutos[[#This Row],[cidade]]))</f>
        <v>Harrenhal</v>
      </c>
      <c r="G12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121" s="37">
        <f>IF(DadosBrutos[[#This Row],[renda_mensal]]="","-",IF(ISNUMBER(DadosBrutos[[#This Row],[renda_mensal]]),DadosBrutos[[#This Row],[renda_mensal]],IFERROR(VALUE(SUBSTITUTE(DadosBrutos[[#This Row],[renda_mensal]]," moedas","")),"-")))</f>
        <v>2900</v>
      </c>
      <c r="I121" s="37">
        <f>IF(DadosBrutos[[#This Row],[credito_tomado]]="","-",IF(ISNUMBER(DadosBrutos[[#This Row],[credito_tomado]]),DadosBrutos[[#This Row],[credito_tomado]],IFERROR(VALUE(SUBSTITUTE(DadosBrutos[[#This Row],[credito_tomado]]," moedas","")),"-")))</f>
        <v>76000</v>
      </c>
      <c r="J12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21" s="1">
        <f>IF(DadosBrutos[[#This Row],[qtde_batalhas]]="","-",IF(ISNUMBER(DadosBrutos[[#This Row],[qtde_batalhas]]),DadosBrutos[[#This Row],[qtde_batalhas]],IFERROR(VALUE(SUBSTITUTE(DadosBrutos[[#This Row],[qtde_batalhas]]," batalhas","")),"-")))</f>
        <v>32</v>
      </c>
      <c r="L121" s="1" t="str">
        <f>IF(DadosL[[#This Row],[qtde_batalhas]]="-","-",IF(DadosL[[#This Row],[qtde_batalhas]]&lt;=10,"Baixo",IF(DadosL[[#This Row],[qtde_batalhas]]&lt;=25,"Médio","Alto")))</f>
        <v>Alto</v>
      </c>
      <c r="M12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72500</v>
      </c>
      <c r="N121" s="1" t="str">
        <f>IF(AND(DadosL[[#This Row],[nivel_risco]]="Alto",DadosL[[#This Row],[flag_inadimplente]]="Sim"),"Negado","Aprovado")</f>
        <v>Aprovado</v>
      </c>
      <c r="O121" s="1" t="str">
        <f>IF(AND(ISNUMBER(DadosL[[#This Row],[credito_tomado]]),DadosL[[#This Row],[credito_tomado]]&gt;50000,DadosL[[#This Row],[flag_inadimplente]]="Sim"),"Negado","Aprovado")</f>
        <v>Aprovado</v>
      </c>
      <c r="P121" s="46">
        <f>IF(OR(DadosL[[#This Row],[Analise_Risco]]="Negado",DadosL[[#This Row],[Analise_Credito]]="Negado"),0,IF(DadosL[[#This Row],[status]]="Ativo",DadosL[[#This Row],[valor_solicitado]]*1.08,0))</f>
        <v>78300</v>
      </c>
    </row>
    <row r="122" spans="1:16">
      <c r="A12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22" s="1" t="str">
        <f>PROPER(TRIM(DadosBrutos[[#This Row],[nome]]))</f>
        <v>Samwell Glover</v>
      </c>
      <c r="C122" s="1" t="str">
        <f>IF(LEN(SUBSTITUTE(SUBSTITUTE(SUBSTITUTE(DadosBrutos[[#This Row],[cpf]],".",""),"-","")," ",""))=11,DadosBrutos[[#This Row],[cpf]],"-")</f>
        <v>-</v>
      </c>
      <c r="D12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73</v>
      </c>
      <c r="E122" s="45">
        <f>IF(DadosBrutos[[#This Row],[data_nascimento]]="","-",DadosBrutos[[#This Row],[data_nascimento]])</f>
        <v>19299</v>
      </c>
      <c r="F122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12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122" s="37">
        <f>IF(DadosBrutos[[#This Row],[renda_mensal]]="","-",IF(ISNUMBER(DadosBrutos[[#This Row],[renda_mensal]]),DadosBrutos[[#This Row],[renda_mensal]],IFERROR(VALUE(SUBSTITUTE(DadosBrutos[[#This Row],[renda_mensal]]," moedas","")),"-")))</f>
        <v>7100</v>
      </c>
      <c r="I122" s="37">
        <f>IF(DadosBrutos[[#This Row],[credito_tomado]]="","-",IF(ISNUMBER(DadosBrutos[[#This Row],[credito_tomado]]),DadosBrutos[[#This Row],[credito_tomado]],IFERROR(VALUE(SUBSTITUTE(DadosBrutos[[#This Row],[credito_tomado]]," moedas","")),"-")))</f>
        <v>58000</v>
      </c>
      <c r="J12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22" s="1">
        <f>IF(DadosBrutos[[#This Row],[qtde_batalhas]]="","-",IF(ISNUMBER(DadosBrutos[[#This Row],[qtde_batalhas]]),DadosBrutos[[#This Row],[qtde_batalhas]],IFERROR(VALUE(SUBSTITUTE(DadosBrutos[[#This Row],[qtde_batalhas]]," batalhas","")),"-")))</f>
        <v>22</v>
      </c>
      <c r="L122" s="1" t="str">
        <f>IF(DadosL[[#This Row],[qtde_batalhas]]="-","-",IF(DadosL[[#This Row],[qtde_batalhas]]&lt;=10,"Baixo",IF(DadosL[[#This Row],[qtde_batalhas]]&lt;=25,"Médio","Alto")))</f>
        <v>Médio</v>
      </c>
      <c r="M12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46500</v>
      </c>
      <c r="N122" s="1" t="str">
        <f>IF(AND(DadosL[[#This Row],[nivel_risco]]="Alto",DadosL[[#This Row],[flag_inadimplente]]="Sim"),"Negado","Aprovado")</f>
        <v>Aprovado</v>
      </c>
      <c r="O122" s="1" t="str">
        <f>IF(AND(ISNUMBER(DadosL[[#This Row],[credito_tomado]]),DadosL[[#This Row],[credito_tomado]]&gt;50000,DadosL[[#This Row],[flag_inadimplente]]="Sim"),"Negado","Aprovado")</f>
        <v>Negado</v>
      </c>
      <c r="P122" s="46">
        <f>IF(OR(DadosL[[#This Row],[Analise_Risco]]="Negado",DadosL[[#This Row],[Analise_Credito]]="Negado"),0,IF(DadosL[[#This Row],[status]]="Ativo",DadosL[[#This Row],[valor_solicitado]]*1.08,0))</f>
        <v>0</v>
      </c>
    </row>
    <row r="123" spans="1:16">
      <c r="A12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23" s="1" t="str">
        <f>PROPER(TRIM(DadosBrutos[[#This Row],[nome]]))</f>
        <v>Thoros Clegane</v>
      </c>
      <c r="C123" s="1" t="str">
        <f>IF(LEN(SUBSTITUTE(SUBSTITUTE(SUBSTITUTE(DadosBrutos[[#This Row],[cpf]],".",""),"-","")," ",""))=11,DadosBrutos[[#This Row],[cpf]],"-")</f>
        <v>000.000.141-00</v>
      </c>
      <c r="D12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28</v>
      </c>
      <c r="E123" s="45">
        <f>IF(DadosBrutos[[#This Row],[data_nascimento]]="","-",DadosBrutos[[#This Row],[data_nascimento]])</f>
        <v>35993</v>
      </c>
      <c r="F123" s="1" t="str">
        <f>IF(ISNUMBER(SEARCH("|",DadosBrutos[[#This Row],[cidade]])),TRIM(LEFT(DadosBrutos[[#This Row],[cidade]],SEARCH("|",DadosBrutos[[#This Row],[cidade]])-1)),TRIM(DadosBrutos[[#This Row],[cidade]]))</f>
        <v>Lannisporto</v>
      </c>
      <c r="G12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123" s="37">
        <f>IF(DadosBrutos[[#This Row],[renda_mensal]]="","-",IF(ISNUMBER(DadosBrutos[[#This Row],[renda_mensal]]),DadosBrutos[[#This Row],[renda_mensal]],IFERROR(VALUE(SUBSTITUTE(DadosBrutos[[#This Row],[renda_mensal]]," moedas","")),"-")))</f>
        <v>13400</v>
      </c>
      <c r="I123" s="37">
        <f>IF(DadosBrutos[[#This Row],[credito_tomado]]="","-",IF(ISNUMBER(DadosBrutos[[#This Row],[credito_tomado]]),DadosBrutos[[#This Row],[credito_tomado]],IFERROR(VALUE(SUBSTITUTE(DadosBrutos[[#This Row],[credito_tomado]]," moedas","")),"-")))</f>
        <v>54000</v>
      </c>
      <c r="J12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23" s="1">
        <f>IF(DadosBrutos[[#This Row],[qtde_batalhas]]="","-",IF(ISNUMBER(DadosBrutos[[#This Row],[qtde_batalhas]]),DadosBrutos[[#This Row],[qtde_batalhas]],IFERROR(VALUE(SUBSTITUTE(DadosBrutos[[#This Row],[qtde_batalhas]]," batalhas","")),"-")))</f>
        <v>15</v>
      </c>
      <c r="L123" s="1" t="str">
        <f>IF(DadosL[[#This Row],[qtde_batalhas]]="-","-",IF(DadosL[[#This Row],[qtde_batalhas]]&lt;=10,"Baixo",IF(DadosL[[#This Row],[qtde_batalhas]]&lt;=25,"Médio","Alto")))</f>
        <v>Médio</v>
      </c>
      <c r="M12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99000</v>
      </c>
      <c r="N123" s="1" t="str">
        <f>IF(AND(DadosL[[#This Row],[nivel_risco]]="Alto",DadosL[[#This Row],[flag_inadimplente]]="Sim"),"Negado","Aprovado")</f>
        <v>Aprovado</v>
      </c>
      <c r="O123" s="1" t="str">
        <f>IF(AND(ISNUMBER(DadosL[[#This Row],[credito_tomado]]),DadosL[[#This Row],[credito_tomado]]&gt;50000,DadosL[[#This Row],[flag_inadimplente]]="Sim"),"Negado","Aprovado")</f>
        <v>Aprovado</v>
      </c>
      <c r="P123" s="46">
        <f>IF(OR(DadosL[[#This Row],[Analise_Risco]]="Negado",DadosL[[#This Row],[Analise_Credito]]="Negado"),0,IF(DadosL[[#This Row],[status]]="Ativo",DadosL[[#This Row],[valor_solicitado]]*1.08,0))</f>
        <v>106920</v>
      </c>
    </row>
    <row r="124" spans="1:16">
      <c r="A12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24" s="1" t="str">
        <f>PROPER(TRIM(DadosBrutos[[#This Row],[nome]]))</f>
        <v>Theon Baratheon</v>
      </c>
      <c r="C124" s="1" t="str">
        <f>IF(LEN(SUBSTITUTE(SUBSTITUTE(SUBSTITUTE(DadosBrutos[[#This Row],[cpf]],".",""),"-","")," ",""))=11,DadosBrutos[[#This Row],[cpf]],"-")</f>
        <v>000.000.375-00</v>
      </c>
      <c r="D12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26</v>
      </c>
      <c r="E124" s="45">
        <f>IF(DadosBrutos[[#This Row],[data_nascimento]]="","-",DadosBrutos[[#This Row],[data_nascimento]])</f>
        <v>36622</v>
      </c>
      <c r="F124" s="1" t="str">
        <f>IF(ISNUMBER(SEARCH("|",DadosBrutos[[#This Row],[cidade]])),TRIM(LEFT(DadosBrutos[[#This Row],[cidade]],SEARCH("|",DadosBrutos[[#This Row],[cidade]])-1)),TRIM(DadosBrutos[[#This Row],[cidade]]))</f>
        <v>Dorne</v>
      </c>
      <c r="G12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124" s="37">
        <f>IF(DadosBrutos[[#This Row],[renda_mensal]]="","-",IF(ISNUMBER(DadosBrutos[[#This Row],[renda_mensal]]),DadosBrutos[[#This Row],[renda_mensal]],IFERROR(VALUE(SUBSTITUTE(DadosBrutos[[#This Row],[renda_mensal]]," moedas","")),"-")))</f>
        <v>22900</v>
      </c>
      <c r="I124" s="37">
        <f>IF(DadosBrutos[[#This Row],[credito_tomado]]="","-",IF(ISNUMBER(DadosBrutos[[#This Row],[credito_tomado]]),DadosBrutos[[#This Row],[credito_tomado]],IFERROR(VALUE(SUBSTITUTE(DadosBrutos[[#This Row],[credito_tomado]]," moedas","")),"-")))</f>
        <v>65500</v>
      </c>
      <c r="J12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24" s="1">
        <f>IF(DadosBrutos[[#This Row],[qtde_batalhas]]="","-",IF(ISNUMBER(DadosBrutos[[#This Row],[qtde_batalhas]]),DadosBrutos[[#This Row],[qtde_batalhas]],IFERROR(VALUE(SUBSTITUTE(DadosBrutos[[#This Row],[qtde_batalhas]]," batalhas","")),"-")))</f>
        <v>40</v>
      </c>
      <c r="L124" s="1" t="str">
        <f>IF(DadosL[[#This Row],[qtde_batalhas]]="-","-",IF(DadosL[[#This Row],[qtde_batalhas]]&lt;=10,"Baixo",IF(DadosL[[#This Row],[qtde_batalhas]]&lt;=25,"Médio","Alto")))</f>
        <v>Alto</v>
      </c>
      <c r="M12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95500</v>
      </c>
      <c r="N124" s="1" t="str">
        <f>IF(AND(DadosL[[#This Row],[nivel_risco]]="Alto",DadosL[[#This Row],[flag_inadimplente]]="Sim"),"Negado","Aprovado")</f>
        <v>Negado</v>
      </c>
      <c r="O124" s="1" t="str">
        <f>IF(AND(ISNUMBER(DadosL[[#This Row],[credito_tomado]]),DadosL[[#This Row],[credito_tomado]]&gt;50000,DadosL[[#This Row],[flag_inadimplente]]="Sim"),"Negado","Aprovado")</f>
        <v>Negado</v>
      </c>
      <c r="P124" s="46">
        <f>IF(OR(DadosL[[#This Row],[Analise_Risco]]="Negado",DadosL[[#This Row],[Analise_Credito]]="Negado"),0,IF(DadosL[[#This Row],[status]]="Ativo",DadosL[[#This Row],[valor_solicitado]]*1.08,0))</f>
        <v>0</v>
      </c>
    </row>
    <row r="125" spans="1:16">
      <c r="A12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25" s="1" t="str">
        <f>PROPER(TRIM(DadosBrutos[[#This Row],[nome]]))</f>
        <v>Melisandre  Baelish</v>
      </c>
      <c r="C125" s="1" t="str">
        <f>IF(LEN(SUBSTITUTE(SUBSTITUTE(SUBSTITUTE(DadosBrutos[[#This Row],[cpf]],".",""),"-","")," ",""))=11,DadosBrutos[[#This Row],[cpf]],"-")</f>
        <v>000.000.152-00</v>
      </c>
      <c r="D12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69</v>
      </c>
      <c r="E125" s="45">
        <f>IF(DadosBrutos[[#This Row],[data_nascimento]]="","-",DadosBrutos[[#This Row],[data_nascimento]])</f>
        <v>21051</v>
      </c>
      <c r="F125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12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125" s="37">
        <f>IF(DadosBrutos[[#This Row],[renda_mensal]]="","-",IF(ISNUMBER(DadosBrutos[[#This Row],[renda_mensal]]),DadosBrutos[[#This Row],[renda_mensal]],IFERROR(VALUE(SUBSTITUTE(DadosBrutos[[#This Row],[renda_mensal]]," moedas","")),"-")))</f>
        <v>25100</v>
      </c>
      <c r="I125" s="37">
        <f>IF(DadosBrutos[[#This Row],[credito_tomado]]="","-",IF(ISNUMBER(DadosBrutos[[#This Row],[credito_tomado]]),DadosBrutos[[#This Row],[credito_tomado]],IFERROR(VALUE(SUBSTITUTE(DadosBrutos[[#This Row],[credito_tomado]]," moedas","")),"-")))</f>
        <v>40500</v>
      </c>
      <c r="J12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25" s="1">
        <f>IF(DadosBrutos[[#This Row],[qtde_batalhas]]="","-",IF(ISNUMBER(DadosBrutos[[#This Row],[qtde_batalhas]]),DadosBrutos[[#This Row],[qtde_batalhas]],IFERROR(VALUE(SUBSTITUTE(DadosBrutos[[#This Row],[qtde_batalhas]]," batalhas","")),"-")))</f>
        <v>43</v>
      </c>
      <c r="L125" s="1" t="str">
        <f>IF(DadosL[[#This Row],[qtde_batalhas]]="-","-",IF(DadosL[[#This Row],[qtde_batalhas]]&lt;=10,"Baixo",IF(DadosL[[#This Row],[qtde_batalhas]]&lt;=25,"Médio","Alto")))</f>
        <v>Alto</v>
      </c>
      <c r="M12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24500</v>
      </c>
      <c r="N125" s="1" t="str">
        <f>IF(AND(DadosL[[#This Row],[nivel_risco]]="Alto",DadosL[[#This Row],[flag_inadimplente]]="Sim"),"Negado","Aprovado")</f>
        <v>Aprovado</v>
      </c>
      <c r="O125" s="1" t="str">
        <f>IF(AND(ISNUMBER(DadosL[[#This Row],[credito_tomado]]),DadosL[[#This Row],[credito_tomado]]&gt;50000,DadosL[[#This Row],[flag_inadimplente]]="Sim"),"Negado","Aprovado")</f>
        <v>Aprovado</v>
      </c>
      <c r="P125" s="46">
        <f>IF(OR(DadosL[[#This Row],[Analise_Risco]]="Negado",DadosL[[#This Row],[Analise_Credito]]="Negado"),0,IF(DadosL[[#This Row],[status]]="Ativo",DadosL[[#This Row],[valor_solicitado]]*1.08,0))</f>
        <v>26460</v>
      </c>
    </row>
    <row r="126" spans="1:16">
      <c r="A12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26" s="1" t="str">
        <f>PROPER(TRIM(DadosBrutos[[#This Row],[nome]]))</f>
        <v>Robert Yronwood</v>
      </c>
      <c r="C126" s="1" t="str">
        <f>IF(LEN(SUBSTITUTE(SUBSTITUTE(SUBSTITUTE(DadosBrutos[[#This Row],[cpf]],".",""),"-","")," ",""))=11,DadosBrutos[[#This Row],[cpf]],"-")</f>
        <v>000.000.075-00</v>
      </c>
      <c r="D12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67</v>
      </c>
      <c r="E126" s="45">
        <f>IF(DadosBrutos[[#This Row],[data_nascimento]]="","-",DadosBrutos[[#This Row],[data_nascimento]])</f>
        <v>21624</v>
      </c>
      <c r="F126" s="1" t="str">
        <f>IF(ISNUMBER(SEARCH("|",DadosBrutos[[#This Row],[cidade]])),TRIM(LEFT(DadosBrutos[[#This Row],[cidade]],SEARCH("|",DadosBrutos[[#This Row],[cidade]])-1)),TRIM(DadosBrutos[[#This Row],[cidade]]))</f>
        <v>Winterfell</v>
      </c>
      <c r="G12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26" s="37">
        <f>IF(DadosBrutos[[#This Row],[renda_mensal]]="","-",IF(ISNUMBER(DadosBrutos[[#This Row],[renda_mensal]]),DadosBrutos[[#This Row],[renda_mensal]],IFERROR(VALUE(SUBSTITUTE(DadosBrutos[[#This Row],[renda_mensal]]," moedas","")),"-")))</f>
        <v>8500</v>
      </c>
      <c r="I126" s="37">
        <f>IF(DadosBrutos[[#This Row],[credito_tomado]]="","-",IF(ISNUMBER(DadosBrutos[[#This Row],[credito_tomado]]),DadosBrutos[[#This Row],[credito_tomado]],IFERROR(VALUE(SUBSTITUTE(DadosBrutos[[#This Row],[credito_tomado]]," moedas","")),"-")))</f>
        <v>39500</v>
      </c>
      <c r="J12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26" s="1" t="str">
        <f>IF(DadosBrutos[[#This Row],[qtde_batalhas]]="","-",IF(ISNUMBER(DadosBrutos[[#This Row],[qtde_batalhas]]),DadosBrutos[[#This Row],[qtde_batalhas]],IFERROR(VALUE(SUBSTITUTE(DadosBrutos[[#This Row],[qtde_batalhas]]," batalhas","")),"-")))</f>
        <v>-</v>
      </c>
      <c r="L126" s="1" t="str">
        <f>IF(DadosL[[#This Row],[qtde_batalhas]]="-","-",IF(DadosL[[#This Row],[qtde_batalhas]]&lt;=10,"Baixo",IF(DadosL[[#This Row],[qtde_batalhas]]&lt;=25,"Médio","Alto")))</f>
        <v>-</v>
      </c>
      <c r="M12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42000</v>
      </c>
      <c r="N126" s="1" t="str">
        <f>IF(AND(DadosL[[#This Row],[nivel_risco]]="Alto",DadosL[[#This Row],[flag_inadimplente]]="Sim"),"Negado","Aprovado")</f>
        <v>Aprovado</v>
      </c>
      <c r="O126" s="1" t="str">
        <f>IF(AND(ISNUMBER(DadosL[[#This Row],[credito_tomado]]),DadosL[[#This Row],[credito_tomado]]&gt;50000,DadosL[[#This Row],[flag_inadimplente]]="Sim"),"Negado","Aprovado")</f>
        <v>Aprovado</v>
      </c>
      <c r="P126" s="46">
        <f>IF(OR(DadosL[[#This Row],[Analise_Risco]]="Negado",DadosL[[#This Row],[Analise_Credito]]="Negado"),0,IF(DadosL[[#This Row],[status]]="Ativo",DadosL[[#This Row],[valor_solicitado]]*1.08,0))</f>
        <v>45360</v>
      </c>
    </row>
    <row r="127" spans="1:16">
      <c r="A12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27" s="1" t="str">
        <f>PROPER(TRIM(DadosBrutos[[#This Row],[nome]]))</f>
        <v>Meera Reed</v>
      </c>
      <c r="C127" s="1" t="str">
        <f>IF(LEN(SUBSTITUTE(SUBSTITUTE(SUBSTITUTE(DadosBrutos[[#This Row],[cpf]],".",""),"-","")," ",""))=11,DadosBrutos[[#This Row],[cpf]],"-")</f>
        <v>000.000.314-00</v>
      </c>
      <c r="D12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53</v>
      </c>
      <c r="E127" s="45">
        <f>IF(DadosBrutos[[#This Row],[data_nascimento]]="","-",DadosBrutos[[#This Row],[data_nascimento]])</f>
        <v>26584</v>
      </c>
      <c r="F127" s="1" t="str">
        <f>IF(ISNUMBER(SEARCH("|",DadosBrutos[[#This Row],[cidade]])),TRIM(LEFT(DadosBrutos[[#This Row],[cidade]],SEARCH("|",DadosBrutos[[#This Row],[cidade]])-1)),TRIM(DadosBrutos[[#This Row],[cidade]]))</f>
        <v>Fosso Cailin</v>
      </c>
      <c r="G12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27" s="37">
        <f>IF(DadosBrutos[[#This Row],[renda_mensal]]="","-",IF(ISNUMBER(DadosBrutos[[#This Row],[renda_mensal]]),DadosBrutos[[#This Row],[renda_mensal]],IFERROR(VALUE(SUBSTITUTE(DadosBrutos[[#This Row],[renda_mensal]]," moedas","")),"-")))</f>
        <v>12200</v>
      </c>
      <c r="I127" s="37">
        <f>IF(DadosBrutos[[#This Row],[credito_tomado]]="","-",IF(ISNUMBER(DadosBrutos[[#This Row],[credito_tomado]]),DadosBrutos[[#This Row],[credito_tomado]],IFERROR(VALUE(SUBSTITUTE(DadosBrutos[[#This Row],[credito_tomado]]," moedas","")),"-")))</f>
        <v>79500</v>
      </c>
      <c r="J12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27" s="1">
        <f>IF(DadosBrutos[[#This Row],[qtde_batalhas]]="","-",IF(ISNUMBER(DadosBrutos[[#This Row],[qtde_batalhas]]),DadosBrutos[[#This Row],[qtde_batalhas]],IFERROR(VALUE(SUBSTITUTE(DadosBrutos[[#This Row],[qtde_batalhas]]," batalhas","")),"-")))</f>
        <v>45</v>
      </c>
      <c r="L127" s="1" t="str">
        <f>IF(DadosL[[#This Row],[qtde_batalhas]]="-","-",IF(DadosL[[#This Row],[qtde_batalhas]]&lt;=10,"Baixo",IF(DadosL[[#This Row],[qtde_batalhas]]&lt;=25,"Médio","Alto")))</f>
        <v>Alto</v>
      </c>
      <c r="M12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57000</v>
      </c>
      <c r="N127" s="1" t="str">
        <f>IF(AND(DadosL[[#This Row],[nivel_risco]]="Alto",DadosL[[#This Row],[flag_inadimplente]]="Sim"),"Negado","Aprovado")</f>
        <v>Aprovado</v>
      </c>
      <c r="O127" s="1" t="str">
        <f>IF(AND(ISNUMBER(DadosL[[#This Row],[credito_tomado]]),DadosL[[#This Row],[credito_tomado]]&gt;50000,DadosL[[#This Row],[flag_inadimplente]]="Sim"),"Negado","Aprovado")</f>
        <v>Aprovado</v>
      </c>
      <c r="P127" s="46">
        <f>IF(OR(DadosL[[#This Row],[Analise_Risco]]="Negado",DadosL[[#This Row],[Analise_Credito]]="Negado"),0,IF(DadosL[[#This Row],[status]]="Ativo",DadosL[[#This Row],[valor_solicitado]]*1.08,0))</f>
        <v>61560.000000000007</v>
      </c>
    </row>
    <row r="128" spans="1:16">
      <c r="A12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28" s="1" t="str">
        <f>PROPER(TRIM(DadosBrutos[[#This Row],[nome]]))</f>
        <v>Tormund Royce</v>
      </c>
      <c r="C128" s="1" t="str">
        <f>IF(LEN(SUBSTITUTE(SUBSTITUTE(SUBSTITUTE(DadosBrutos[[#This Row],[cpf]],".",""),"-","")," ",""))=11,DadosBrutos[[#This Row],[cpf]],"-")</f>
        <v>000.000.297-00</v>
      </c>
      <c r="D12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55</v>
      </c>
      <c r="E128" s="45">
        <f>IF(DadosBrutos[[#This Row],[data_nascimento]]="","-",DadosBrutos[[#This Row],[data_nascimento]])</f>
        <v>25880</v>
      </c>
      <c r="F128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12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128" s="37">
        <f>IF(DadosBrutos[[#This Row],[renda_mensal]]="","-",IF(ISNUMBER(DadosBrutos[[#This Row],[renda_mensal]]),DadosBrutos[[#This Row],[renda_mensal]],IFERROR(VALUE(SUBSTITUTE(DadosBrutos[[#This Row],[renda_mensal]]," moedas","")),"-")))</f>
        <v>27500</v>
      </c>
      <c r="I128" s="37">
        <f>IF(DadosBrutos[[#This Row],[credito_tomado]]="","-",IF(ISNUMBER(DadosBrutos[[#This Row],[credito_tomado]]),DadosBrutos[[#This Row],[credito_tomado]],IFERROR(VALUE(SUBSTITUTE(DadosBrutos[[#This Row],[credito_tomado]]," moedas","")),"-")))</f>
        <v>14000</v>
      </c>
      <c r="J12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28" s="1">
        <f>IF(DadosBrutos[[#This Row],[qtde_batalhas]]="","-",IF(ISNUMBER(DadosBrutos[[#This Row],[qtde_batalhas]]),DadosBrutos[[#This Row],[qtde_batalhas]],IFERROR(VALUE(SUBSTITUTE(DadosBrutos[[#This Row],[qtde_batalhas]]," batalhas","")),"-")))</f>
        <v>3</v>
      </c>
      <c r="L128" s="1" t="str">
        <f>IF(DadosL[[#This Row],[qtde_batalhas]]="-","-",IF(DadosL[[#This Row],[qtde_batalhas]]&lt;=10,"Baixo",IF(DadosL[[#This Row],[qtde_batalhas]]&lt;=25,"Médio","Alto")))</f>
        <v>Baixo</v>
      </c>
      <c r="M12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11500</v>
      </c>
      <c r="N128" s="1" t="str">
        <f>IF(AND(DadosL[[#This Row],[nivel_risco]]="Alto",DadosL[[#This Row],[flag_inadimplente]]="Sim"),"Negado","Aprovado")</f>
        <v>Aprovado</v>
      </c>
      <c r="O128" s="1" t="str">
        <f>IF(AND(ISNUMBER(DadosL[[#This Row],[credito_tomado]]),DadosL[[#This Row],[credito_tomado]]&gt;50000,DadosL[[#This Row],[flag_inadimplente]]="Sim"),"Negado","Aprovado")</f>
        <v>Aprovado</v>
      </c>
      <c r="P128" s="46">
        <f>IF(OR(DadosL[[#This Row],[Analise_Risco]]="Negado",DadosL[[#This Row],[Analise_Credito]]="Negado"),0,IF(DadosL[[#This Row],[status]]="Ativo",DadosL[[#This Row],[valor_solicitado]]*1.08,0))</f>
        <v>12420</v>
      </c>
    </row>
    <row r="129" spans="1:16">
      <c r="A12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29" s="1" t="str">
        <f>PROPER(TRIM(DadosBrutos[[#This Row],[nome]]))</f>
        <v>Rickon Karstark</v>
      </c>
      <c r="C129" s="1" t="str">
        <f>IF(LEN(SUBSTITUTE(SUBSTITUTE(SUBSTITUTE(DadosBrutos[[#This Row],[cpf]],".",""),"-","")," ",""))=11,DadosBrutos[[#This Row],[cpf]],"-")</f>
        <v>-</v>
      </c>
      <c r="D12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35</v>
      </c>
      <c r="E129" s="45">
        <f>IF(DadosBrutos[[#This Row],[data_nascimento]]="","-",DadosBrutos[[#This Row],[data_nascimento]])</f>
        <v>33473</v>
      </c>
      <c r="F129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12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129" s="37">
        <f>IF(DadosBrutos[[#This Row],[renda_mensal]]="","-",IF(ISNUMBER(DadosBrutos[[#This Row],[renda_mensal]]),DadosBrutos[[#This Row],[renda_mensal]],IFERROR(VALUE(SUBSTITUTE(DadosBrutos[[#This Row],[renda_mensal]]," moedas","")),"-")))</f>
        <v>24000</v>
      </c>
      <c r="I129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12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29" s="1">
        <f>IF(DadosBrutos[[#This Row],[qtde_batalhas]]="","-",IF(ISNUMBER(DadosBrutos[[#This Row],[qtde_batalhas]]),DadosBrutos[[#This Row],[qtde_batalhas]],IFERROR(VALUE(SUBSTITUTE(DadosBrutos[[#This Row],[qtde_batalhas]]," batalhas","")),"-")))</f>
        <v>3</v>
      </c>
      <c r="L129" s="1" t="str">
        <f>IF(DadosL[[#This Row],[qtde_batalhas]]="-","-",IF(DadosL[[#This Row],[qtde_batalhas]]&lt;=10,"Baixo",IF(DadosL[[#This Row],[qtde_batalhas]]&lt;=25,"Médio","Alto")))</f>
        <v>Baixo</v>
      </c>
      <c r="M12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60000</v>
      </c>
      <c r="N129" s="1" t="str">
        <f>IF(AND(DadosL[[#This Row],[nivel_risco]]="Alto",DadosL[[#This Row],[flag_inadimplente]]="Sim"),"Negado","Aprovado")</f>
        <v>Aprovado</v>
      </c>
      <c r="O129" s="1" t="str">
        <f>IF(AND(ISNUMBER(DadosL[[#This Row],[credito_tomado]]),DadosL[[#This Row],[credito_tomado]]&gt;50000,DadosL[[#This Row],[flag_inadimplente]]="Sim"),"Negado","Aprovado")</f>
        <v>Aprovado</v>
      </c>
      <c r="P129" s="46">
        <f>IF(OR(DadosL[[#This Row],[Analise_Risco]]="Negado",DadosL[[#This Row],[Analise_Credito]]="Negado"),0,IF(DadosL[[#This Row],[status]]="Ativo",DadosL[[#This Row],[valor_solicitado]]*1.08,0))</f>
        <v>64800.000000000007</v>
      </c>
    </row>
    <row r="130" spans="1:16">
      <c r="A13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30" s="1" t="str">
        <f>PROPER(TRIM(DadosBrutos[[#This Row],[nome]]))</f>
        <v>Podrick Blackwood</v>
      </c>
      <c r="C130" s="1" t="str">
        <f>IF(LEN(SUBSTITUTE(SUBSTITUTE(SUBSTITUTE(DadosBrutos[[#This Row],[cpf]],".",""),"-","")," ",""))=11,DadosBrutos[[#This Row],[cpf]],"-")</f>
        <v>-</v>
      </c>
      <c r="D13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31</v>
      </c>
      <c r="E130" s="45">
        <f>IF(DadosBrutos[[#This Row],[data_nascimento]]="","-",DadosBrutos[[#This Row],[data_nascimento]])</f>
        <v>34828</v>
      </c>
      <c r="F130" s="1" t="str">
        <f>IF(ISNUMBER(SEARCH("|",DadosBrutos[[#This Row],[cidade]])),TRIM(LEFT(DadosBrutos[[#This Row],[cidade]],SEARCH("|",DadosBrutos[[#This Row],[cidade]])-1)),TRIM(DadosBrutos[[#This Row],[cidade]]))</f>
        <v>Porto Real</v>
      </c>
      <c r="G13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130" s="37">
        <f>IF(DadosBrutos[[#This Row],[renda_mensal]]="","-",IF(ISNUMBER(DadosBrutos[[#This Row],[renda_mensal]]),DadosBrutos[[#This Row],[renda_mensal]],IFERROR(VALUE(SUBSTITUTE(DadosBrutos[[#This Row],[renda_mensal]]," moedas","")),"-")))</f>
        <v>24900</v>
      </c>
      <c r="I130" s="37">
        <f>IF(DadosBrutos[[#This Row],[credito_tomado]]="","-",IF(ISNUMBER(DadosBrutos[[#This Row],[credito_tomado]]),DadosBrutos[[#This Row],[credito_tomado]],IFERROR(VALUE(SUBSTITUTE(DadosBrutos[[#This Row],[credito_tomado]]," moedas","")),"-")))</f>
        <v>72000</v>
      </c>
      <c r="J13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30" s="1">
        <f>IF(DadosBrutos[[#This Row],[qtde_batalhas]]="","-",IF(ISNUMBER(DadosBrutos[[#This Row],[qtde_batalhas]]),DadosBrutos[[#This Row],[qtde_batalhas]],IFERROR(VALUE(SUBSTITUTE(DadosBrutos[[#This Row],[qtde_batalhas]]," batalhas","")),"-")))</f>
        <v>35</v>
      </c>
      <c r="L130" s="1" t="str">
        <f>IF(DadosL[[#This Row],[qtde_batalhas]]="-","-",IF(DadosL[[#This Row],[qtde_batalhas]]&lt;=10,"Baixo",IF(DadosL[[#This Row],[qtde_batalhas]]&lt;=25,"Médio","Alto")))</f>
        <v>Alto</v>
      </c>
      <c r="M13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79000</v>
      </c>
      <c r="N130" s="1" t="str">
        <f>IF(AND(DadosL[[#This Row],[nivel_risco]]="Alto",DadosL[[#This Row],[flag_inadimplente]]="Sim"),"Negado","Aprovado")</f>
        <v>Aprovado</v>
      </c>
      <c r="O130" s="1" t="str">
        <f>IF(AND(ISNUMBER(DadosL[[#This Row],[credito_tomado]]),DadosL[[#This Row],[credito_tomado]]&gt;50000,DadosL[[#This Row],[flag_inadimplente]]="Sim"),"Negado","Aprovado")</f>
        <v>Aprovado</v>
      </c>
      <c r="P130" s="46">
        <f>IF(OR(DadosL[[#This Row],[Analise_Risco]]="Negado",DadosL[[#This Row],[Analise_Credito]]="Negado"),0,IF(DadosL[[#This Row],[status]]="Ativo",DadosL[[#This Row],[valor_solicitado]]*1.08,0))</f>
        <v>0</v>
      </c>
    </row>
    <row r="131" spans="1:16">
      <c r="A13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31" s="1" t="str">
        <f>PROPER(TRIM(DadosBrutos[[#This Row],[nome]]))</f>
        <v>Tyrion Karstark</v>
      </c>
      <c r="C131" s="1" t="str">
        <f>IF(LEN(SUBSTITUTE(SUBSTITUTE(SUBSTITUTE(DadosBrutos[[#This Row],[cpf]],".",""),"-","")," ",""))=11,DadosBrutos[[#This Row],[cpf]],"-")</f>
        <v>-</v>
      </c>
      <c r="D13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41</v>
      </c>
      <c r="E131" s="45">
        <f>IF(DadosBrutos[[#This Row],[data_nascimento]]="","-",DadosBrutos[[#This Row],[data_nascimento]])</f>
        <v>30992</v>
      </c>
      <c r="F131" s="1" t="str">
        <f>IF(ISNUMBER(SEARCH("|",DadosBrutos[[#This Row],[cidade]])),TRIM(LEFT(DadosBrutos[[#This Row],[cidade]],SEARCH("|",DadosBrutos[[#This Row],[cidade]])-1)),TRIM(DadosBrutos[[#This Row],[cidade]]))</f>
        <v>Lannisporto</v>
      </c>
      <c r="G13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131" s="37">
        <f>IF(DadosBrutos[[#This Row],[renda_mensal]]="","-",IF(ISNUMBER(DadosBrutos[[#This Row],[renda_mensal]]),DadosBrutos[[#This Row],[renda_mensal]],IFERROR(VALUE(SUBSTITUTE(DadosBrutos[[#This Row],[renda_mensal]]," moedas","")),"-")))</f>
        <v>28600</v>
      </c>
      <c r="I131" s="37">
        <f>IF(DadosBrutos[[#This Row],[credito_tomado]]="","-",IF(ISNUMBER(DadosBrutos[[#This Row],[credito_tomado]]),DadosBrutos[[#This Row],[credito_tomado]],IFERROR(VALUE(SUBSTITUTE(DadosBrutos[[#This Row],[credito_tomado]]," moedas","")),"-")))</f>
        <v>67500</v>
      </c>
      <c r="J13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31" s="1">
        <f>IF(DadosBrutos[[#This Row],[qtde_batalhas]]="","-",IF(ISNUMBER(DadosBrutos[[#This Row],[qtde_batalhas]]),DadosBrutos[[#This Row],[qtde_batalhas]],IFERROR(VALUE(SUBSTITUTE(DadosBrutos[[#This Row],[qtde_batalhas]]," batalhas","")),"-")))</f>
        <v>39</v>
      </c>
      <c r="L131" s="1" t="str">
        <f>IF(DadosL[[#This Row],[qtde_batalhas]]="-","-",IF(DadosL[[#This Row],[qtde_batalhas]]&lt;=10,"Baixo",IF(DadosL[[#This Row],[qtde_batalhas]]&lt;=25,"Médio","Alto")))</f>
        <v>Alto</v>
      </c>
      <c r="M13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22000</v>
      </c>
      <c r="N131" s="1" t="str">
        <f>IF(AND(DadosL[[#This Row],[nivel_risco]]="Alto",DadosL[[#This Row],[flag_inadimplente]]="Sim"),"Negado","Aprovado")</f>
        <v>Aprovado</v>
      </c>
      <c r="O131" s="1" t="str">
        <f>IF(AND(ISNUMBER(DadosL[[#This Row],[credito_tomado]]),DadosL[[#This Row],[credito_tomado]]&gt;50000,DadosL[[#This Row],[flag_inadimplente]]="Sim"),"Negado","Aprovado")</f>
        <v>Aprovado</v>
      </c>
      <c r="P131" s="46">
        <f>IF(OR(DadosL[[#This Row],[Analise_Risco]]="Negado",DadosL[[#This Row],[Analise_Credito]]="Negado"),0,IF(DadosL[[#This Row],[status]]="Ativo",DadosL[[#This Row],[valor_solicitado]]*1.08,0))</f>
        <v>23760</v>
      </c>
    </row>
    <row r="132" spans="1:16">
      <c r="A13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32" s="1" t="str">
        <f>PROPER(TRIM(DadosBrutos[[#This Row],[nome]]))</f>
        <v>Missandei Florent</v>
      </c>
      <c r="C132" s="1" t="str">
        <f>IF(LEN(SUBSTITUTE(SUBSTITUTE(SUBSTITUTE(DadosBrutos[[#This Row],[cpf]],".",""),"-","")," ",""))=11,DadosBrutos[[#This Row],[cpf]],"-")</f>
        <v>000.000.282-00</v>
      </c>
      <c r="D13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56</v>
      </c>
      <c r="E132" s="45">
        <f>IF(DadosBrutos[[#This Row],[data_nascimento]]="","-",DadosBrutos[[#This Row],[data_nascimento]])</f>
        <v>25671</v>
      </c>
      <c r="F132" s="1" t="str">
        <f>IF(ISNUMBER(SEARCH("|",DadosBrutos[[#This Row],[cidade]])),TRIM(LEFT(DadosBrutos[[#This Row],[cidade]],SEARCH("|",DadosBrutos[[#This Row],[cidade]])-1)),TRIM(DadosBrutos[[#This Row],[cidade]]))</f>
        <v>Harrenhal</v>
      </c>
      <c r="G13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132" s="37">
        <f>IF(DadosBrutos[[#This Row],[renda_mensal]]="","-",IF(ISNUMBER(DadosBrutos[[#This Row],[renda_mensal]]),DadosBrutos[[#This Row],[renda_mensal]],IFERROR(VALUE(SUBSTITUTE(DadosBrutos[[#This Row],[renda_mensal]]," moedas","")),"-")))</f>
        <v>28300</v>
      </c>
      <c r="I132" s="37">
        <f>IF(DadosBrutos[[#This Row],[credito_tomado]]="","-",IF(ISNUMBER(DadosBrutos[[#This Row],[credito_tomado]]),DadosBrutos[[#This Row],[credito_tomado]],IFERROR(VALUE(SUBSTITUTE(DadosBrutos[[#This Row],[credito_tomado]]," moedas","")),"-")))</f>
        <v>56000</v>
      </c>
      <c r="J13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32" s="1">
        <f>IF(DadosBrutos[[#This Row],[qtde_batalhas]]="","-",IF(ISNUMBER(DadosBrutos[[#This Row],[qtde_batalhas]]),DadosBrutos[[#This Row],[qtde_batalhas]],IFERROR(VALUE(SUBSTITUTE(DadosBrutos[[#This Row],[qtde_batalhas]]," batalhas","")),"-")))</f>
        <v>6</v>
      </c>
      <c r="L132" s="1" t="str">
        <f>IF(DadosL[[#This Row],[qtde_batalhas]]="-","-",IF(DadosL[[#This Row],[qtde_batalhas]]&lt;=10,"Baixo",IF(DadosL[[#This Row],[qtde_batalhas]]&lt;=25,"Médio","Alto")))</f>
        <v>Baixo</v>
      </c>
      <c r="M13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77000</v>
      </c>
      <c r="N132" s="1" t="str">
        <f>IF(AND(DadosL[[#This Row],[nivel_risco]]="Alto",DadosL[[#This Row],[flag_inadimplente]]="Sim"),"Negado","Aprovado")</f>
        <v>Aprovado</v>
      </c>
      <c r="O132" s="1" t="str">
        <f>IF(AND(ISNUMBER(DadosL[[#This Row],[credito_tomado]]),DadosL[[#This Row],[credito_tomado]]&gt;50000,DadosL[[#This Row],[flag_inadimplente]]="Sim"),"Negado","Aprovado")</f>
        <v>Aprovado</v>
      </c>
      <c r="P132" s="46">
        <f>IF(OR(DadosL[[#This Row],[Analise_Risco]]="Negado",DadosL[[#This Row],[Analise_Credito]]="Negado"),0,IF(DadosL[[#This Row],[status]]="Ativo",DadosL[[#This Row],[valor_solicitado]]*1.08,0))</f>
        <v>83160</v>
      </c>
    </row>
    <row r="133" spans="1:16">
      <c r="A13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33" s="1" t="str">
        <f>PROPER(TRIM(DadosBrutos[[#This Row],[nome]]))</f>
        <v>Varys  Stark</v>
      </c>
      <c r="C133" s="1" t="str">
        <f>IF(LEN(SUBSTITUTE(SUBSTITUTE(SUBSTITUTE(DadosBrutos[[#This Row],[cpf]],".",""),"-","")," ",""))=11,DadosBrutos[[#This Row],[cpf]],"-")</f>
        <v>-</v>
      </c>
      <c r="D13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23</v>
      </c>
      <c r="E133" s="45">
        <f>IF(DadosBrutos[[#This Row],[data_nascimento]]="","-",DadosBrutos[[#This Row],[data_nascimento]])</f>
        <v>37566</v>
      </c>
      <c r="F133" s="1" t="str">
        <f>IF(ISNUMBER(SEARCH("|",DadosBrutos[[#This Row],[cidade]])),TRIM(LEFT(DadosBrutos[[#This Row],[cidade]],SEARCH("|",DadosBrutos[[#This Row],[cidade]])-1)),TRIM(DadosBrutos[[#This Row],[cidade]]))</f>
        <v>Braavos</v>
      </c>
      <c r="G13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133" s="37">
        <f>IF(DadosBrutos[[#This Row],[renda_mensal]]="","-",IF(ISNUMBER(DadosBrutos[[#This Row],[renda_mensal]]),DadosBrutos[[#This Row],[renda_mensal]],IFERROR(VALUE(SUBSTITUTE(DadosBrutos[[#This Row],[renda_mensal]]," moedas","")),"-")))</f>
        <v>2600</v>
      </c>
      <c r="I133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13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33" s="1">
        <f>IF(DadosBrutos[[#This Row],[qtde_batalhas]]="","-",IF(ISNUMBER(DadosBrutos[[#This Row],[qtde_batalhas]]),DadosBrutos[[#This Row],[qtde_batalhas]],IFERROR(VALUE(SUBSTITUTE(DadosBrutos[[#This Row],[qtde_batalhas]]," batalhas","")),"-")))</f>
        <v>30</v>
      </c>
      <c r="L133" s="1" t="str">
        <f>IF(DadosL[[#This Row],[qtde_batalhas]]="-","-",IF(DadosL[[#This Row],[qtde_batalhas]]&lt;=10,"Baixo",IF(DadosL[[#This Row],[qtde_batalhas]]&lt;=25,"Médio","Alto")))</f>
        <v>Alto</v>
      </c>
      <c r="M13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11000</v>
      </c>
      <c r="N133" s="1" t="str">
        <f>IF(AND(DadosL[[#This Row],[nivel_risco]]="Alto",DadosL[[#This Row],[flag_inadimplente]]="Sim"),"Negado","Aprovado")</f>
        <v>Negado</v>
      </c>
      <c r="O133" s="1" t="str">
        <f>IF(AND(ISNUMBER(DadosL[[#This Row],[credito_tomado]]),DadosL[[#This Row],[credito_tomado]]&gt;50000,DadosL[[#This Row],[flag_inadimplente]]="Sim"),"Negado","Aprovado")</f>
        <v>Aprovado</v>
      </c>
      <c r="P133" s="46">
        <f>IF(OR(DadosL[[#This Row],[Analise_Risco]]="Negado",DadosL[[#This Row],[Analise_Credito]]="Negado"),0,IF(DadosL[[#This Row],[status]]="Ativo",DadosL[[#This Row],[valor_solicitado]]*1.08,0))</f>
        <v>0</v>
      </c>
    </row>
    <row r="134" spans="1:16">
      <c r="A13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34" s="1" t="str">
        <f>PROPER(TRIM(DadosBrutos[[#This Row],[nome]]))</f>
        <v>Jeor Karstark</v>
      </c>
      <c r="C134" s="1" t="str">
        <f>IF(LEN(SUBSTITUTE(SUBSTITUTE(SUBSTITUTE(DadosBrutos[[#This Row],[cpf]],".",""),"-","")," ",""))=11,DadosBrutos[[#This Row],[cpf]],"-")</f>
        <v>000.000.310-00</v>
      </c>
      <c r="D13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25</v>
      </c>
      <c r="E134" s="45">
        <f>IF(DadosBrutos[[#This Row],[data_nascimento]]="","-",DadosBrutos[[#This Row],[data_nascimento]])</f>
        <v>37137</v>
      </c>
      <c r="F134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13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134" s="37" t="str">
        <f>IF(DadosBrutos[[#This Row],[renda_mensal]]="","-",IF(ISNUMBER(DadosBrutos[[#This Row],[renda_mensal]]),DadosBrutos[[#This Row],[renda_mensal]],IFERROR(VALUE(SUBSTITUTE(DadosBrutos[[#This Row],[renda_mensal]]," moedas","")),"-")))</f>
        <v>-</v>
      </c>
      <c r="I134" s="37">
        <f>IF(DadosBrutos[[#This Row],[credito_tomado]]="","-",IF(ISNUMBER(DadosBrutos[[#This Row],[credito_tomado]]),DadosBrutos[[#This Row],[credito_tomado]],IFERROR(VALUE(SUBSTITUTE(DadosBrutos[[#This Row],[credito_tomado]]," moedas","")),"-")))</f>
        <v>21000</v>
      </c>
      <c r="J13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34" s="1">
        <f>IF(DadosBrutos[[#This Row],[qtde_batalhas]]="","-",IF(ISNUMBER(DadosBrutos[[#This Row],[qtde_batalhas]]),DadosBrutos[[#This Row],[qtde_batalhas]],IFERROR(VALUE(SUBSTITUTE(DadosBrutos[[#This Row],[qtde_batalhas]]," batalhas","")),"-")))</f>
        <v>34</v>
      </c>
      <c r="L134" s="1" t="str">
        <f>IF(DadosL[[#This Row],[qtde_batalhas]]="-","-",IF(DadosL[[#This Row],[qtde_batalhas]]&lt;=10,"Baixo",IF(DadosL[[#This Row],[qtde_batalhas]]&lt;=25,"Médio","Alto")))</f>
        <v>Alto</v>
      </c>
      <c r="M13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7500</v>
      </c>
      <c r="N134" s="1" t="str">
        <f>IF(AND(DadosL[[#This Row],[nivel_risco]]="Alto",DadosL[[#This Row],[flag_inadimplente]]="Sim"),"Negado","Aprovado")</f>
        <v>Aprovado</v>
      </c>
      <c r="O134" s="1" t="str">
        <f>IF(AND(ISNUMBER(DadosL[[#This Row],[credito_tomado]]),DadosL[[#This Row],[credito_tomado]]&gt;50000,DadosL[[#This Row],[flag_inadimplente]]="Sim"),"Negado","Aprovado")</f>
        <v>Aprovado</v>
      </c>
      <c r="P134" s="46">
        <f>IF(OR(DadosL[[#This Row],[Analise_Risco]]="Negado",DadosL[[#This Row],[Analise_Credito]]="Negado"),0,IF(DadosL[[#This Row],[status]]="Ativo",DadosL[[#This Row],[valor_solicitado]]*1.08,0))</f>
        <v>8100.0000000000009</v>
      </c>
    </row>
    <row r="135" spans="1:16">
      <c r="A13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35" s="1" t="str">
        <f>PROPER(TRIM(DadosBrutos[[#This Row],[nome]]))</f>
        <v>Renly Mormont</v>
      </c>
      <c r="C135" s="1" t="str">
        <f>IF(LEN(SUBSTITUTE(SUBSTITUTE(SUBSTITUTE(DadosBrutos[[#This Row],[cpf]],".",""),"-","")," ",""))=11,DadosBrutos[[#This Row],[cpf]],"-")</f>
        <v>000.000.376-00</v>
      </c>
      <c r="D13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57</v>
      </c>
      <c r="E135" s="45">
        <f>IF(DadosBrutos[[#This Row],[data_nascimento]]="","-",DadosBrutos[[#This Row],[data_nascimento]])</f>
        <v>25199</v>
      </c>
      <c r="F135" s="1" t="str">
        <f>IF(ISNUMBER(SEARCH("|",DadosBrutos[[#This Row],[cidade]])),TRIM(LEFT(DadosBrutos[[#This Row],[cidade]],SEARCH("|",DadosBrutos[[#This Row],[cidade]])-1)),TRIM(DadosBrutos[[#This Row],[cidade]]))</f>
        <v>Vilavelha</v>
      </c>
      <c r="G13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135" s="37">
        <f>IF(DadosBrutos[[#This Row],[renda_mensal]]="","-",IF(ISNUMBER(DadosBrutos[[#This Row],[renda_mensal]]),DadosBrutos[[#This Row],[renda_mensal]],IFERROR(VALUE(SUBSTITUTE(DadosBrutos[[#This Row],[renda_mensal]]," moedas","")),"-")))</f>
        <v>20700</v>
      </c>
      <c r="I135" s="37">
        <f>IF(DadosBrutos[[#This Row],[credito_tomado]]="","-",IF(ISNUMBER(DadosBrutos[[#This Row],[credito_tomado]]),DadosBrutos[[#This Row],[credito_tomado]],IFERROR(VALUE(SUBSTITUTE(DadosBrutos[[#This Row],[credito_tomado]]," moedas","")),"-")))</f>
        <v>64500</v>
      </c>
      <c r="J13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35" s="1">
        <f>IF(DadosBrutos[[#This Row],[qtde_batalhas]]="","-",IF(ISNUMBER(DadosBrutos[[#This Row],[qtde_batalhas]]),DadosBrutos[[#This Row],[qtde_batalhas]],IFERROR(VALUE(SUBSTITUTE(DadosBrutos[[#This Row],[qtde_batalhas]]," batalhas","")),"-")))</f>
        <v>19</v>
      </c>
      <c r="L135" s="1" t="str">
        <f>IF(DadosL[[#This Row],[qtde_batalhas]]="-","-",IF(DadosL[[#This Row],[qtde_batalhas]]&lt;=10,"Baixo",IF(DadosL[[#This Row],[qtde_batalhas]]&lt;=25,"Médio","Alto")))</f>
        <v>Médio</v>
      </c>
      <c r="M13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54500</v>
      </c>
      <c r="N135" s="1" t="str">
        <f>IF(AND(DadosL[[#This Row],[nivel_risco]]="Alto",DadosL[[#This Row],[flag_inadimplente]]="Sim"),"Negado","Aprovado")</f>
        <v>Aprovado</v>
      </c>
      <c r="O135" s="1" t="str">
        <f>IF(AND(ISNUMBER(DadosL[[#This Row],[credito_tomado]]),DadosL[[#This Row],[credito_tomado]]&gt;50000,DadosL[[#This Row],[flag_inadimplente]]="Sim"),"Negado","Aprovado")</f>
        <v>Aprovado</v>
      </c>
      <c r="P135" s="46">
        <f>IF(OR(DadosL[[#This Row],[Analise_Risco]]="Negado",DadosL[[#This Row],[Analise_Credito]]="Negado"),0,IF(DadosL[[#This Row],[status]]="Ativo",DadosL[[#This Row],[valor_solicitado]]*1.08,0))</f>
        <v>58860.000000000007</v>
      </c>
    </row>
    <row r="136" spans="1:16">
      <c r="A13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36" s="1" t="str">
        <f>PROPER(TRIM(DadosBrutos[[#This Row],[nome]]))</f>
        <v>Eddard Royce</v>
      </c>
      <c r="C136" s="1" t="str">
        <f>IF(LEN(SUBSTITUTE(SUBSTITUTE(SUBSTITUTE(DadosBrutos[[#This Row],[cpf]],".",""),"-","")," ",""))=11,DadosBrutos[[#This Row],[cpf]],"-")</f>
        <v>000.000.181-00</v>
      </c>
      <c r="D13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73</v>
      </c>
      <c r="E136" s="45">
        <f>IF(DadosBrutos[[#This Row],[data_nascimento]]="","-",DadosBrutos[[#This Row],[data_nascimento]])</f>
        <v>19314</v>
      </c>
      <c r="F136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13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136" s="37">
        <f>IF(DadosBrutos[[#This Row],[renda_mensal]]="","-",IF(ISNUMBER(DadosBrutos[[#This Row],[renda_mensal]]),DadosBrutos[[#This Row],[renda_mensal]],IFERROR(VALUE(SUBSTITUTE(DadosBrutos[[#This Row],[renda_mensal]]," moedas","")),"-")))</f>
        <v>6100</v>
      </c>
      <c r="I136" s="37">
        <f>IF(DadosBrutos[[#This Row],[credito_tomado]]="","-",IF(ISNUMBER(DadosBrutos[[#This Row],[credito_tomado]]),DadosBrutos[[#This Row],[credito_tomado]],IFERROR(VALUE(SUBSTITUTE(DadosBrutos[[#This Row],[credito_tomado]]," moedas","")),"-")))</f>
        <v>16000</v>
      </c>
      <c r="J13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36" s="1">
        <f>IF(DadosBrutos[[#This Row],[qtde_batalhas]]="","-",IF(ISNUMBER(DadosBrutos[[#This Row],[qtde_batalhas]]),DadosBrutos[[#This Row],[qtde_batalhas]],IFERROR(VALUE(SUBSTITUTE(DadosBrutos[[#This Row],[qtde_batalhas]]," batalhas","")),"-")))</f>
        <v>9</v>
      </c>
      <c r="L136" s="1" t="str">
        <f>IF(DadosL[[#This Row],[qtde_batalhas]]="-","-",IF(DadosL[[#This Row],[qtde_batalhas]]&lt;=10,"Baixo",IF(DadosL[[#This Row],[qtde_batalhas]]&lt;=25,"Médio","Alto")))</f>
        <v>Baixo</v>
      </c>
      <c r="M13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24500</v>
      </c>
      <c r="N136" s="1" t="str">
        <f>IF(AND(DadosL[[#This Row],[nivel_risco]]="Alto",DadosL[[#This Row],[flag_inadimplente]]="Sim"),"Negado","Aprovado")</f>
        <v>Aprovado</v>
      </c>
      <c r="O136" s="1" t="str">
        <f>IF(AND(ISNUMBER(DadosL[[#This Row],[credito_tomado]]),DadosL[[#This Row],[credito_tomado]]&gt;50000,DadosL[[#This Row],[flag_inadimplente]]="Sim"),"Negado","Aprovado")</f>
        <v>Aprovado</v>
      </c>
      <c r="P136" s="46">
        <f>IF(OR(DadosL[[#This Row],[Analise_Risco]]="Negado",DadosL[[#This Row],[Analise_Credito]]="Negado"),0,IF(DadosL[[#This Row],[status]]="Ativo",DadosL[[#This Row],[valor_solicitado]]*1.08,0))</f>
        <v>26460</v>
      </c>
    </row>
    <row r="137" spans="1:16">
      <c r="A13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37" s="1" t="str">
        <f>PROPER(TRIM(DadosBrutos[[#This Row],[nome]]))</f>
        <v>Rhaegar Lannister</v>
      </c>
      <c r="C137" s="1" t="str">
        <f>IF(LEN(SUBSTITUTE(SUBSTITUTE(SUBSTITUTE(DadosBrutos[[#This Row],[cpf]],".",""),"-","")," ",""))=11,DadosBrutos[[#This Row],[cpf]],"-")</f>
        <v>-</v>
      </c>
      <c r="D13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24</v>
      </c>
      <c r="E137" s="45">
        <f>IF(DadosBrutos[[#This Row],[data_nascimento]]="","-",DadosBrutos[[#This Row],[data_nascimento]])</f>
        <v>37290</v>
      </c>
      <c r="F137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13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137" s="37">
        <f>IF(DadosBrutos[[#This Row],[renda_mensal]]="","-",IF(ISNUMBER(DadosBrutos[[#This Row],[renda_mensal]]),DadosBrutos[[#This Row],[renda_mensal]],IFERROR(VALUE(SUBSTITUTE(DadosBrutos[[#This Row],[renda_mensal]]," moedas","")),"-")))</f>
        <v>6400</v>
      </c>
      <c r="I137" s="37">
        <f>IF(DadosBrutos[[#This Row],[credito_tomado]]="","-",IF(ISNUMBER(DadosBrutos[[#This Row],[credito_tomado]]),DadosBrutos[[#This Row],[credito_tomado]],IFERROR(VALUE(SUBSTITUTE(DadosBrutos[[#This Row],[credito_tomado]]," moedas","")),"-")))</f>
        <v>41000</v>
      </c>
      <c r="J13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37" s="1">
        <f>IF(DadosBrutos[[#This Row],[qtde_batalhas]]="","-",IF(ISNUMBER(DadosBrutos[[#This Row],[qtde_batalhas]]),DadosBrutos[[#This Row],[qtde_batalhas]],IFERROR(VALUE(SUBSTITUTE(DadosBrutos[[#This Row],[qtde_batalhas]]," batalhas","")),"-")))</f>
        <v>22</v>
      </c>
      <c r="L137" s="1" t="str">
        <f>IF(DadosL[[#This Row],[qtde_batalhas]]="-","-",IF(DadosL[[#This Row],[qtde_batalhas]]&lt;=10,"Baixo",IF(DadosL[[#This Row],[qtde_batalhas]]&lt;=25,"Médio","Alto")))</f>
        <v>Médio</v>
      </c>
      <c r="M13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74500</v>
      </c>
      <c r="N137" s="1" t="str">
        <f>IF(AND(DadosL[[#This Row],[nivel_risco]]="Alto",DadosL[[#This Row],[flag_inadimplente]]="Sim"),"Negado","Aprovado")</f>
        <v>Aprovado</v>
      </c>
      <c r="O137" s="1" t="str">
        <f>IF(AND(ISNUMBER(DadosL[[#This Row],[credito_tomado]]),DadosL[[#This Row],[credito_tomado]]&gt;50000,DadosL[[#This Row],[flag_inadimplente]]="Sim"),"Negado","Aprovado")</f>
        <v>Aprovado</v>
      </c>
      <c r="P137" s="46">
        <f>IF(OR(DadosL[[#This Row],[Analise_Risco]]="Negado",DadosL[[#This Row],[Analise_Credito]]="Negado"),0,IF(DadosL[[#This Row],[status]]="Ativo",DadosL[[#This Row],[valor_solicitado]]*1.08,0))</f>
        <v>80460</v>
      </c>
    </row>
    <row r="138" spans="1:16">
      <c r="A13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38" s="1" t="str">
        <f>PROPER(TRIM(DadosBrutos[[#This Row],[nome]]))</f>
        <v>Varys Blackwood</v>
      </c>
      <c r="C138" s="1" t="str">
        <f>IF(LEN(SUBSTITUTE(SUBSTITUTE(SUBSTITUTE(DadosBrutos[[#This Row],[cpf]],".",""),"-","")," ",""))=11,DadosBrutos[[#This Row],[cpf]],"-")</f>
        <v>000.000.373-00</v>
      </c>
      <c r="D13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47</v>
      </c>
      <c r="E138" s="45" t="str">
        <f>IF(DadosBrutos[[#This Row],[data_nascimento]]="","-",DadosBrutos[[#This Row],[data_nascimento]])</f>
        <v>-</v>
      </c>
      <c r="F138" s="1" t="str">
        <f>IF(ISNUMBER(SEARCH("|",DadosBrutos[[#This Row],[cidade]])),TRIM(LEFT(DadosBrutos[[#This Row],[cidade]],SEARCH("|",DadosBrutos[[#This Row],[cidade]])-1)),TRIM(DadosBrutos[[#This Row],[cidade]]))</f>
        <v>Braavos</v>
      </c>
      <c r="G13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138" s="37">
        <f>IF(DadosBrutos[[#This Row],[renda_mensal]]="","-",IF(ISNUMBER(DadosBrutos[[#This Row],[renda_mensal]]),DadosBrutos[[#This Row],[renda_mensal]],IFERROR(VALUE(SUBSTITUTE(DadosBrutos[[#This Row],[renda_mensal]]," moedas","")),"-")))</f>
        <v>11600</v>
      </c>
      <c r="I138" s="37">
        <f>IF(DadosBrutos[[#This Row],[credito_tomado]]="","-",IF(ISNUMBER(DadosBrutos[[#This Row],[credito_tomado]]),DadosBrutos[[#This Row],[credito_tomado]],IFERROR(VALUE(SUBSTITUTE(DadosBrutos[[#This Row],[credito_tomado]]," moedas","")),"-")))</f>
        <v>63500</v>
      </c>
      <c r="J13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38" s="1">
        <f>IF(DadosBrutos[[#This Row],[qtde_batalhas]]="","-",IF(ISNUMBER(DadosBrutos[[#This Row],[qtde_batalhas]]),DadosBrutos[[#This Row],[qtde_batalhas]],IFERROR(VALUE(SUBSTITUTE(DadosBrutos[[#This Row],[qtde_batalhas]]," batalhas","")),"-")))</f>
        <v>18</v>
      </c>
      <c r="L138" s="1" t="str">
        <f>IF(DadosL[[#This Row],[qtde_batalhas]]="-","-",IF(DadosL[[#This Row],[qtde_batalhas]]&lt;=10,"Baixo",IF(DadosL[[#This Row],[qtde_batalhas]]&lt;=25,"Médio","Alto")))</f>
        <v>Médio</v>
      </c>
      <c r="M13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3000</v>
      </c>
      <c r="N138" s="1" t="str">
        <f>IF(AND(DadosL[[#This Row],[nivel_risco]]="Alto",DadosL[[#This Row],[flag_inadimplente]]="Sim"),"Negado","Aprovado")</f>
        <v>Aprovado</v>
      </c>
      <c r="O138" s="1" t="str">
        <f>IF(AND(ISNUMBER(DadosL[[#This Row],[credito_tomado]]),DadosL[[#This Row],[credito_tomado]]&gt;50000,DadosL[[#This Row],[flag_inadimplente]]="Sim"),"Negado","Aprovado")</f>
        <v>Aprovado</v>
      </c>
      <c r="P138" s="46">
        <f>IF(OR(DadosL[[#This Row],[Analise_Risco]]="Negado",DadosL[[#This Row],[Analise_Credito]]="Negado"),0,IF(DadosL[[#This Row],[status]]="Ativo",DadosL[[#This Row],[valor_solicitado]]*1.08,0))</f>
        <v>3240</v>
      </c>
    </row>
    <row r="139" spans="1:16">
      <c r="A13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39" s="1" t="str">
        <f>PROPER(TRIM(DadosBrutos[[#This Row],[nome]]))</f>
        <v>Eddard Westerling</v>
      </c>
      <c r="C139" s="1" t="str">
        <f>IF(LEN(SUBSTITUTE(SUBSTITUTE(SUBSTITUTE(DadosBrutos[[#This Row],[cpf]],".",""),"-","")," ",""))=11,DadosBrutos[[#This Row],[cpf]],"-")</f>
        <v>000.000.094-00</v>
      </c>
      <c r="D13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52</v>
      </c>
      <c r="E139" s="45">
        <f>IF(DadosBrutos[[#This Row],[data_nascimento]]="","-",DadosBrutos[[#This Row],[data_nascimento]])</f>
        <v>27186</v>
      </c>
      <c r="F139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13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139" s="37">
        <f>IF(DadosBrutos[[#This Row],[renda_mensal]]="","-",IF(ISNUMBER(DadosBrutos[[#This Row],[renda_mensal]]),DadosBrutos[[#This Row],[renda_mensal]],IFERROR(VALUE(SUBSTITUTE(DadosBrutos[[#This Row],[renda_mensal]]," moedas","")),"-")))</f>
        <v>6400</v>
      </c>
      <c r="I139" s="37">
        <f>IF(DadosBrutos[[#This Row],[credito_tomado]]="","-",IF(ISNUMBER(DadosBrutos[[#This Row],[credito_tomado]]),DadosBrutos[[#This Row],[credito_tomado]],IFERROR(VALUE(SUBSTITUTE(DadosBrutos[[#This Row],[credito_tomado]]," moedas","")),"-")))</f>
        <v>37000</v>
      </c>
      <c r="J13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39" s="1">
        <f>IF(DadosBrutos[[#This Row],[qtde_batalhas]]="","-",IF(ISNUMBER(DadosBrutos[[#This Row],[qtde_batalhas]]),DadosBrutos[[#This Row],[qtde_batalhas]],IFERROR(VALUE(SUBSTITUTE(DadosBrutos[[#This Row],[qtde_batalhas]]," batalhas","")),"-")))</f>
        <v>1</v>
      </c>
      <c r="L139" s="1" t="str">
        <f>IF(DadosL[[#This Row],[qtde_batalhas]]="-","-",IF(DadosL[[#This Row],[qtde_batalhas]]&lt;=10,"Baixo",IF(DadosL[[#This Row],[qtde_batalhas]]&lt;=25,"Médio","Alto")))</f>
        <v>Baixo</v>
      </c>
      <c r="M13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87000</v>
      </c>
      <c r="N139" s="1" t="str">
        <f>IF(AND(DadosL[[#This Row],[nivel_risco]]="Alto",DadosL[[#This Row],[flag_inadimplente]]="Sim"),"Negado","Aprovado")</f>
        <v>Aprovado</v>
      </c>
      <c r="O139" s="1" t="str">
        <f>IF(AND(ISNUMBER(DadosL[[#This Row],[credito_tomado]]),DadosL[[#This Row],[credito_tomado]]&gt;50000,DadosL[[#This Row],[flag_inadimplente]]="Sim"),"Negado","Aprovado")</f>
        <v>Aprovado</v>
      </c>
      <c r="P139" s="46">
        <f>IF(OR(DadosL[[#This Row],[Analise_Risco]]="Negado",DadosL[[#This Row],[Analise_Credito]]="Negado"),0,IF(DadosL[[#This Row],[status]]="Ativo",DadosL[[#This Row],[valor_solicitado]]*1.08,0))</f>
        <v>0</v>
      </c>
    </row>
    <row r="140" spans="1:16">
      <c r="A14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40" s="1" t="str">
        <f>PROPER(TRIM(DadosBrutos[[#This Row],[nome]]))</f>
        <v>Varys  Blackwood</v>
      </c>
      <c r="C140" s="1" t="str">
        <f>IF(LEN(SUBSTITUTE(SUBSTITUTE(SUBSTITUTE(DadosBrutos[[#This Row],[cpf]],".",""),"-","")," ",""))=11,DadosBrutos[[#This Row],[cpf]],"-")</f>
        <v>-</v>
      </c>
      <c r="D14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54</v>
      </c>
      <c r="E140" s="45">
        <f>IF(DadosBrutos[[#This Row],[data_nascimento]]="","-",DadosBrutos[[#This Row],[data_nascimento]])</f>
        <v>26453</v>
      </c>
      <c r="F140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14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140" s="37">
        <f>IF(DadosBrutos[[#This Row],[renda_mensal]]="","-",IF(ISNUMBER(DadosBrutos[[#This Row],[renda_mensal]]),DadosBrutos[[#This Row],[renda_mensal]],IFERROR(VALUE(SUBSTITUTE(DadosBrutos[[#This Row],[renda_mensal]]," moedas","")),"-")))</f>
        <v>3900</v>
      </c>
      <c r="I140" s="37">
        <f>IF(DadosBrutos[[#This Row],[credito_tomado]]="","-",IF(ISNUMBER(DadosBrutos[[#This Row],[credito_tomado]]),DadosBrutos[[#This Row],[credito_tomado]],IFERROR(VALUE(SUBSTITUTE(DadosBrutos[[#This Row],[credito_tomado]]," moedas","")),"-")))</f>
        <v>80000</v>
      </c>
      <c r="J14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40" s="1">
        <f>IF(DadosBrutos[[#This Row],[qtde_batalhas]]="","-",IF(ISNUMBER(DadosBrutos[[#This Row],[qtde_batalhas]]),DadosBrutos[[#This Row],[qtde_batalhas]],IFERROR(VALUE(SUBSTITUTE(DadosBrutos[[#This Row],[qtde_batalhas]]," batalhas","")),"-")))</f>
        <v>41</v>
      </c>
      <c r="L140" s="1" t="str">
        <f>IF(DadosL[[#This Row],[qtde_batalhas]]="-","-",IF(DadosL[[#This Row],[qtde_batalhas]]&lt;=10,"Baixo",IF(DadosL[[#This Row],[qtde_batalhas]]&lt;=25,"Médio","Alto")))</f>
        <v>Alto</v>
      </c>
      <c r="M14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30000</v>
      </c>
      <c r="N140" s="1" t="str">
        <f>IF(AND(DadosL[[#This Row],[nivel_risco]]="Alto",DadosL[[#This Row],[flag_inadimplente]]="Sim"),"Negado","Aprovado")</f>
        <v>Aprovado</v>
      </c>
      <c r="O140" s="1" t="str">
        <f>IF(AND(ISNUMBER(DadosL[[#This Row],[credito_tomado]]),DadosL[[#This Row],[credito_tomado]]&gt;50000,DadosL[[#This Row],[flag_inadimplente]]="Sim"),"Negado","Aprovado")</f>
        <v>Aprovado</v>
      </c>
      <c r="P140" s="46">
        <f>IF(OR(DadosL[[#This Row],[Analise_Risco]]="Negado",DadosL[[#This Row],[Analise_Credito]]="Negado"),0,IF(DadosL[[#This Row],[status]]="Ativo",DadosL[[#This Row],[valor_solicitado]]*1.08,0))</f>
        <v>0</v>
      </c>
    </row>
    <row r="141" spans="1:16">
      <c r="A14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41" s="1" t="str">
        <f>PROPER(TRIM(DadosBrutos[[#This Row],[nome]]))</f>
        <v>Olenna Bracken</v>
      </c>
      <c r="C141" s="1" t="str">
        <f>IF(LEN(SUBSTITUTE(SUBSTITUTE(SUBSTITUTE(DadosBrutos[[#This Row],[cpf]],".",""),"-","")," ",""))=11,DadosBrutos[[#This Row],[cpf]],"-")</f>
        <v>000.000.225-00</v>
      </c>
      <c r="D14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45</v>
      </c>
      <c r="E141" s="45">
        <f>IF(DadosBrutos[[#This Row],[data_nascimento]]="","-",DadosBrutos[[#This Row],[data_nascimento]])</f>
        <v>29598</v>
      </c>
      <c r="F141" s="1" t="str">
        <f>IF(ISNUMBER(SEARCH("|",DadosBrutos[[#This Row],[cidade]])),TRIM(LEFT(DadosBrutos[[#This Row],[cidade]],SEARCH("|",DadosBrutos[[#This Row],[cidade]])-1)),TRIM(DadosBrutos[[#This Row],[cidade]]))</f>
        <v>Lannisporto</v>
      </c>
      <c r="G14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141" s="37">
        <f>IF(DadosBrutos[[#This Row],[renda_mensal]]="","-",IF(ISNUMBER(DadosBrutos[[#This Row],[renda_mensal]]),DadosBrutos[[#This Row],[renda_mensal]],IFERROR(VALUE(SUBSTITUTE(DadosBrutos[[#This Row],[renda_mensal]]," moedas","")),"-")))</f>
        <v>22800</v>
      </c>
      <c r="I141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14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41" s="1">
        <f>IF(DadosBrutos[[#This Row],[qtde_batalhas]]="","-",IF(ISNUMBER(DadosBrutos[[#This Row],[qtde_batalhas]]),DadosBrutos[[#This Row],[qtde_batalhas]],IFERROR(VALUE(SUBSTITUTE(DadosBrutos[[#This Row],[qtde_batalhas]]," batalhas","")),"-")))</f>
        <v>10</v>
      </c>
      <c r="L141" s="1" t="str">
        <f>IF(DadosL[[#This Row],[qtde_batalhas]]="-","-",IF(DadosL[[#This Row],[qtde_batalhas]]&lt;=10,"Baixo",IF(DadosL[[#This Row],[qtde_batalhas]]&lt;=25,"Médio","Alto")))</f>
        <v>Baixo</v>
      </c>
      <c r="M14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31000</v>
      </c>
      <c r="N141" s="1" t="str">
        <f>IF(AND(DadosL[[#This Row],[nivel_risco]]="Alto",DadosL[[#This Row],[flag_inadimplente]]="Sim"),"Negado","Aprovado")</f>
        <v>Aprovado</v>
      </c>
      <c r="O141" s="1" t="str">
        <f>IF(AND(ISNUMBER(DadosL[[#This Row],[credito_tomado]]),DadosL[[#This Row],[credito_tomado]]&gt;50000,DadosL[[#This Row],[flag_inadimplente]]="Sim"),"Negado","Aprovado")</f>
        <v>Aprovado</v>
      </c>
      <c r="P141" s="46">
        <f>IF(OR(DadosL[[#This Row],[Analise_Risco]]="Negado",DadosL[[#This Row],[Analise_Credito]]="Negado"),0,IF(DadosL[[#This Row],[status]]="Ativo",DadosL[[#This Row],[valor_solicitado]]*1.08,0))</f>
        <v>33480</v>
      </c>
    </row>
    <row r="142" spans="1:16">
      <c r="A14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42" s="1" t="str">
        <f>PROPER(TRIM(DadosBrutos[[#This Row],[nome]]))</f>
        <v>Aegon Marbrand</v>
      </c>
      <c r="C142" s="1" t="str">
        <f>IF(LEN(SUBSTITUTE(SUBSTITUTE(SUBSTITUTE(DadosBrutos[[#This Row],[cpf]],".",""),"-","")," ",""))=11,DadosBrutos[[#This Row],[cpf]],"-")</f>
        <v>-</v>
      </c>
      <c r="D14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65</v>
      </c>
      <c r="E142" s="45">
        <f>IF(DadosBrutos[[#This Row],[data_nascimento]]="","-",DadosBrutos[[#This Row],[data_nascimento]])</f>
        <v>22337</v>
      </c>
      <c r="F142" s="1" t="str">
        <f>IF(ISNUMBER(SEARCH("|",DadosBrutos[[#This Row],[cidade]])),TRIM(LEFT(DadosBrutos[[#This Row],[cidade]],SEARCH("|",DadosBrutos[[#This Row],[cidade]])-1)),TRIM(DadosBrutos[[#This Row],[cidade]]))</f>
        <v>Castelo Negro</v>
      </c>
      <c r="G14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42" s="37">
        <f>IF(DadosBrutos[[#This Row],[renda_mensal]]="","-",IF(ISNUMBER(DadosBrutos[[#This Row],[renda_mensal]]),DadosBrutos[[#This Row],[renda_mensal]],IFERROR(VALUE(SUBSTITUTE(DadosBrutos[[#This Row],[renda_mensal]]," moedas","")),"-")))</f>
        <v>3800</v>
      </c>
      <c r="I142" s="37">
        <f>IF(DadosBrutos[[#This Row],[credito_tomado]]="","-",IF(ISNUMBER(DadosBrutos[[#This Row],[credito_tomado]]),DadosBrutos[[#This Row],[credito_tomado]],IFERROR(VALUE(SUBSTITUTE(DadosBrutos[[#This Row],[credito_tomado]]," moedas","")),"-")))</f>
        <v>49500</v>
      </c>
      <c r="J14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42" s="1">
        <f>IF(DadosBrutos[[#This Row],[qtde_batalhas]]="","-",IF(ISNUMBER(DadosBrutos[[#This Row],[qtde_batalhas]]),DadosBrutos[[#This Row],[qtde_batalhas]],IFERROR(VALUE(SUBSTITUTE(DadosBrutos[[#This Row],[qtde_batalhas]]," batalhas","")),"-")))</f>
        <v>16</v>
      </c>
      <c r="L142" s="1" t="str">
        <f>IF(DadosL[[#This Row],[qtde_batalhas]]="-","-",IF(DadosL[[#This Row],[qtde_batalhas]]&lt;=10,"Baixo",IF(DadosL[[#This Row],[qtde_batalhas]]&lt;=25,"Médio","Alto")))</f>
        <v>Médio</v>
      </c>
      <c r="M14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15500</v>
      </c>
      <c r="N142" s="1" t="str">
        <f>IF(AND(DadosL[[#This Row],[nivel_risco]]="Alto",DadosL[[#This Row],[flag_inadimplente]]="Sim"),"Negado","Aprovado")</f>
        <v>Aprovado</v>
      </c>
      <c r="O142" s="1" t="str">
        <f>IF(AND(ISNUMBER(DadosL[[#This Row],[credito_tomado]]),DadosL[[#This Row],[credito_tomado]]&gt;50000,DadosL[[#This Row],[flag_inadimplente]]="Sim"),"Negado","Aprovado")</f>
        <v>Aprovado</v>
      </c>
      <c r="P142" s="46">
        <f>IF(OR(DadosL[[#This Row],[Analise_Risco]]="Negado",DadosL[[#This Row],[Analise_Credito]]="Negado"),0,IF(DadosL[[#This Row],[status]]="Ativo",DadosL[[#This Row],[valor_solicitado]]*1.08,0))</f>
        <v>16740</v>
      </c>
    </row>
    <row r="143" spans="1:16">
      <c r="A14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43" s="1" t="str">
        <f>PROPER(TRIM(DadosBrutos[[#This Row],[nome]]))</f>
        <v>Beric Tyrell</v>
      </c>
      <c r="C143" s="1" t="str">
        <f>IF(LEN(SUBSTITUTE(SUBSTITUTE(SUBSTITUTE(DadosBrutos[[#This Row],[cpf]],".",""),"-","")," ",""))=11,DadosBrutos[[#This Row],[cpf]],"-")</f>
        <v>000.000.242-00</v>
      </c>
      <c r="D14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66</v>
      </c>
      <c r="E143" s="45">
        <f>IF(DadosBrutos[[#This Row],[data_nascimento]]="","-",DadosBrutos[[#This Row],[data_nascimento]])</f>
        <v>22151</v>
      </c>
      <c r="F143" s="1" t="str">
        <f>IF(ISNUMBER(SEARCH("|",DadosBrutos[[#This Row],[cidade]])),TRIM(LEFT(DadosBrutos[[#This Row],[cidade]],SEARCH("|",DadosBrutos[[#This Row],[cidade]])-1)),TRIM(DadosBrutos[[#This Row],[cidade]]))</f>
        <v>Vilavelha</v>
      </c>
      <c r="G14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143" s="37">
        <f>IF(DadosBrutos[[#This Row],[renda_mensal]]="","-",IF(ISNUMBER(DadosBrutos[[#This Row],[renda_mensal]]),DadosBrutos[[#This Row],[renda_mensal]],IFERROR(VALUE(SUBSTITUTE(DadosBrutos[[#This Row],[renda_mensal]]," moedas","")),"-")))</f>
        <v>11800</v>
      </c>
      <c r="I143" s="37">
        <f>IF(DadosBrutos[[#This Row],[credito_tomado]]="","-",IF(ISNUMBER(DadosBrutos[[#This Row],[credito_tomado]]),DadosBrutos[[#This Row],[credito_tomado]],IFERROR(VALUE(SUBSTITUTE(DadosBrutos[[#This Row],[credito_tomado]]," moedas","")),"-")))</f>
        <v>2000</v>
      </c>
      <c r="J14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43" s="1">
        <f>IF(DadosBrutos[[#This Row],[qtde_batalhas]]="","-",IF(ISNUMBER(DadosBrutos[[#This Row],[qtde_batalhas]]),DadosBrutos[[#This Row],[qtde_batalhas]],IFERROR(VALUE(SUBSTITUTE(DadosBrutos[[#This Row],[qtde_batalhas]]," batalhas","")),"-")))</f>
        <v>23</v>
      </c>
      <c r="L143" s="1" t="str">
        <f>IF(DadosL[[#This Row],[qtde_batalhas]]="-","-",IF(DadosL[[#This Row],[qtde_batalhas]]&lt;=10,"Baixo",IF(DadosL[[#This Row],[qtde_batalhas]]&lt;=25,"Médio","Alto")))</f>
        <v>Médio</v>
      </c>
      <c r="M14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72500</v>
      </c>
      <c r="N143" s="1" t="str">
        <f>IF(AND(DadosL[[#This Row],[nivel_risco]]="Alto",DadosL[[#This Row],[flag_inadimplente]]="Sim"),"Negado","Aprovado")</f>
        <v>Aprovado</v>
      </c>
      <c r="O143" s="1" t="str">
        <f>IF(AND(ISNUMBER(DadosL[[#This Row],[credito_tomado]]),DadosL[[#This Row],[credito_tomado]]&gt;50000,DadosL[[#This Row],[flag_inadimplente]]="Sim"),"Negado","Aprovado")</f>
        <v>Aprovado</v>
      </c>
      <c r="P143" s="46">
        <f>IF(OR(DadosL[[#This Row],[Analise_Risco]]="Negado",DadosL[[#This Row],[Analise_Credito]]="Negado"),0,IF(DadosL[[#This Row],[status]]="Ativo",DadosL[[#This Row],[valor_solicitado]]*1.08,0))</f>
        <v>78300</v>
      </c>
    </row>
    <row r="144" spans="1:16">
      <c r="A14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44" s="1" t="str">
        <f>PROPER(TRIM(DadosBrutos[[#This Row],[nome]]))</f>
        <v>Asha Manderly</v>
      </c>
      <c r="C144" s="1" t="str">
        <f>IF(LEN(SUBSTITUTE(SUBSTITUTE(SUBSTITUTE(DadosBrutos[[#This Row],[cpf]],".",""),"-","")," ",""))=11,DadosBrutos[[#This Row],[cpf]],"-")</f>
        <v>000.000.357-00</v>
      </c>
      <c r="D14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29</v>
      </c>
      <c r="E144" s="45">
        <f>IF(DadosBrutos[[#This Row],[data_nascimento]]="","-",DadosBrutos[[#This Row],[data_nascimento]])</f>
        <v>35607</v>
      </c>
      <c r="F144" s="1" t="str">
        <f>IF(ISNUMBER(SEARCH("|",DadosBrutos[[#This Row],[cidade]])),TRIM(LEFT(DadosBrutos[[#This Row],[cidade]],SEARCH("|",DadosBrutos[[#This Row],[cidade]])-1)),TRIM(DadosBrutos[[#This Row],[cidade]]))</f>
        <v>Ilha dos Ursos</v>
      </c>
      <c r="G14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44" s="37">
        <f>IF(DadosBrutos[[#This Row],[renda_mensal]]="","-",IF(ISNUMBER(DadosBrutos[[#This Row],[renda_mensal]]),DadosBrutos[[#This Row],[renda_mensal]],IFERROR(VALUE(SUBSTITUTE(DadosBrutos[[#This Row],[renda_mensal]]," moedas","")),"-")))</f>
        <v>13800</v>
      </c>
      <c r="I144" s="37">
        <f>IF(DadosBrutos[[#This Row],[credito_tomado]]="","-",IF(ISNUMBER(DadosBrutos[[#This Row],[credito_tomado]]),DadosBrutos[[#This Row],[credito_tomado]],IFERROR(VALUE(SUBSTITUTE(DadosBrutos[[#This Row],[credito_tomado]]," moedas","")),"-")))</f>
        <v>41500</v>
      </c>
      <c r="J14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44" s="1">
        <f>IF(DadosBrutos[[#This Row],[qtde_batalhas]]="","-",IF(ISNUMBER(DadosBrutos[[#This Row],[qtde_batalhas]]),DadosBrutos[[#This Row],[qtde_batalhas]],IFERROR(VALUE(SUBSTITUTE(DadosBrutos[[#This Row],[qtde_batalhas]]," batalhas","")),"-")))</f>
        <v>34</v>
      </c>
      <c r="L144" s="1" t="str">
        <f>IF(DadosL[[#This Row],[qtde_batalhas]]="-","-",IF(DadosL[[#This Row],[qtde_batalhas]]&lt;=10,"Baixo",IF(DadosL[[#This Row],[qtde_batalhas]]&lt;=25,"Médio","Alto")))</f>
        <v>Alto</v>
      </c>
      <c r="M14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66000</v>
      </c>
      <c r="N144" s="1" t="str">
        <f>IF(AND(DadosL[[#This Row],[nivel_risco]]="Alto",DadosL[[#This Row],[flag_inadimplente]]="Sim"),"Negado","Aprovado")</f>
        <v>Aprovado</v>
      </c>
      <c r="O144" s="1" t="str">
        <f>IF(AND(ISNUMBER(DadosL[[#This Row],[credito_tomado]]),DadosL[[#This Row],[credito_tomado]]&gt;50000,DadosL[[#This Row],[flag_inadimplente]]="Sim"),"Negado","Aprovado")</f>
        <v>Aprovado</v>
      </c>
      <c r="P144" s="46">
        <f>IF(OR(DadosL[[#This Row],[Analise_Risco]]="Negado",DadosL[[#This Row],[Analise_Credito]]="Negado"),0,IF(DadosL[[#This Row],[status]]="Ativo",DadosL[[#This Row],[valor_solicitado]]*1.08,0))</f>
        <v>0</v>
      </c>
    </row>
    <row r="145" spans="1:16">
      <c r="A14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45" s="1" t="str">
        <f>PROPER(TRIM(DadosBrutos[[#This Row],[nome]]))</f>
        <v>Ellaria Mormont</v>
      </c>
      <c r="C145" s="1" t="str">
        <f>IF(LEN(SUBSTITUTE(SUBSTITUTE(SUBSTITUTE(DadosBrutos[[#This Row],[cpf]],".",""),"-","")," ",""))=11,DadosBrutos[[#This Row],[cpf]],"-")</f>
        <v>000.000.157-00</v>
      </c>
      <c r="D14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22</v>
      </c>
      <c r="E145" s="45">
        <f>IF(DadosBrutos[[#This Row],[data_nascimento]]="","-",DadosBrutos[[#This Row],[data_nascimento]])</f>
        <v>37904</v>
      </c>
      <c r="F145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14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145" s="37">
        <f>IF(DadosBrutos[[#This Row],[renda_mensal]]="","-",IF(ISNUMBER(DadosBrutos[[#This Row],[renda_mensal]]),DadosBrutos[[#This Row],[renda_mensal]],IFERROR(VALUE(SUBSTITUTE(DadosBrutos[[#This Row],[renda_mensal]]," moedas","")),"-")))</f>
        <v>2300</v>
      </c>
      <c r="I145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14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45" s="1">
        <f>IF(DadosBrutos[[#This Row],[qtde_batalhas]]="","-",IF(ISNUMBER(DadosBrutos[[#This Row],[qtde_batalhas]]),DadosBrutos[[#This Row],[qtde_batalhas]],IFERROR(VALUE(SUBSTITUTE(DadosBrutos[[#This Row],[qtde_batalhas]]," batalhas","")),"-")))</f>
        <v>29</v>
      </c>
      <c r="L145" s="1" t="str">
        <f>IF(DadosL[[#This Row],[qtde_batalhas]]="-","-",IF(DadosL[[#This Row],[qtde_batalhas]]&lt;=10,"Baixo",IF(DadosL[[#This Row],[qtde_batalhas]]&lt;=25,"Médio","Alto")))</f>
        <v>Alto</v>
      </c>
      <c r="M14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51500</v>
      </c>
      <c r="N145" s="1" t="str">
        <f>IF(AND(DadosL[[#This Row],[nivel_risco]]="Alto",DadosL[[#This Row],[flag_inadimplente]]="Sim"),"Negado","Aprovado")</f>
        <v>Negado</v>
      </c>
      <c r="O145" s="1" t="str">
        <f>IF(AND(ISNUMBER(DadosL[[#This Row],[credito_tomado]]),DadosL[[#This Row],[credito_tomado]]&gt;50000,DadosL[[#This Row],[flag_inadimplente]]="Sim"),"Negado","Aprovado")</f>
        <v>Aprovado</v>
      </c>
      <c r="P145" s="46">
        <f>IF(OR(DadosL[[#This Row],[Analise_Risco]]="Negado",DadosL[[#This Row],[Analise_Credito]]="Negado"),0,IF(DadosL[[#This Row],[status]]="Ativo",DadosL[[#This Row],[valor_solicitado]]*1.08,0))</f>
        <v>0</v>
      </c>
    </row>
    <row r="146" spans="1:16">
      <c r="A14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46" s="1" t="str">
        <f>PROPER(TRIM(DadosBrutos[[#This Row],[nome]]))</f>
        <v>Grey Worm Baratheon</v>
      </c>
      <c r="C146" s="1" t="str">
        <f>IF(LEN(SUBSTITUTE(SUBSTITUTE(SUBSTITUTE(DadosBrutos[[#This Row],[cpf]],".",""),"-","")," ",""))=11,DadosBrutos[[#This Row],[cpf]],"-")</f>
        <v>000.000.221-00</v>
      </c>
      <c r="D14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29</v>
      </c>
      <c r="E146" s="45">
        <f>IF(DadosBrutos[[#This Row],[data_nascimento]]="","-",DadosBrutos[[#This Row],[data_nascimento]])</f>
        <v>35598</v>
      </c>
      <c r="F146" s="1" t="str">
        <f>IF(ISNUMBER(SEARCH("|",DadosBrutos[[#This Row],[cidade]])),TRIM(LEFT(DadosBrutos[[#This Row],[cidade]],SEARCH("|",DadosBrutos[[#This Row],[cidade]])-1)),TRIM(DadosBrutos[[#This Row],[cidade]]))</f>
        <v>Dorne</v>
      </c>
      <c r="G14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146" s="37">
        <f>IF(DadosBrutos[[#This Row],[renda_mensal]]="","-",IF(ISNUMBER(DadosBrutos[[#This Row],[renda_mensal]]),DadosBrutos[[#This Row],[renda_mensal]],IFERROR(VALUE(SUBSTITUTE(DadosBrutos[[#This Row],[renda_mensal]]," moedas","")),"-")))</f>
        <v>15500</v>
      </c>
      <c r="I146" s="37">
        <f>IF(DadosBrutos[[#This Row],[credito_tomado]]="","-",IF(ISNUMBER(DadosBrutos[[#This Row],[credito_tomado]]),DadosBrutos[[#This Row],[credito_tomado]],IFERROR(VALUE(SUBSTITUTE(DadosBrutos[[#This Row],[credito_tomado]]," moedas","")),"-")))</f>
        <v>75000</v>
      </c>
      <c r="J14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46" s="1">
        <f>IF(DadosBrutos[[#This Row],[qtde_batalhas]]="","-",IF(ISNUMBER(DadosBrutos[[#This Row],[qtde_batalhas]]),DadosBrutos[[#This Row],[qtde_batalhas]],IFERROR(VALUE(SUBSTITUTE(DadosBrutos[[#This Row],[qtde_batalhas]]," batalhas","")),"-")))</f>
        <v>25</v>
      </c>
      <c r="L146" s="1" t="str">
        <f>IF(DadosL[[#This Row],[qtde_batalhas]]="-","-",IF(DadosL[[#This Row],[qtde_batalhas]]&lt;=10,"Baixo",IF(DadosL[[#This Row],[qtde_batalhas]]&lt;=25,"Médio","Alto")))</f>
        <v>Médio</v>
      </c>
      <c r="M14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47000</v>
      </c>
      <c r="N146" s="1" t="str">
        <f>IF(AND(DadosL[[#This Row],[nivel_risco]]="Alto",DadosL[[#This Row],[flag_inadimplente]]="Sim"),"Negado","Aprovado")</f>
        <v>Aprovado</v>
      </c>
      <c r="O146" s="1" t="str">
        <f>IF(AND(ISNUMBER(DadosL[[#This Row],[credito_tomado]]),DadosL[[#This Row],[credito_tomado]]&gt;50000,DadosL[[#This Row],[flag_inadimplente]]="Sim"),"Negado","Aprovado")</f>
        <v>Aprovado</v>
      </c>
      <c r="P146" s="46">
        <f>IF(OR(DadosL[[#This Row],[Analise_Risco]]="Negado",DadosL[[#This Row],[Analise_Credito]]="Negado"),0,IF(DadosL[[#This Row],[status]]="Ativo",DadosL[[#This Row],[valor_solicitado]]*1.08,0))</f>
        <v>0</v>
      </c>
    </row>
    <row r="147" spans="1:16">
      <c r="A14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47" s="1" t="str">
        <f>PROPER(TRIM(DadosBrutos[[#This Row],[nome]]))</f>
        <v>Ellaria Swyft</v>
      </c>
      <c r="C147" s="1" t="str">
        <f>IF(LEN(SUBSTITUTE(SUBSTITUTE(SUBSTITUTE(DadosBrutos[[#This Row],[cpf]],".",""),"-","")," ",""))=11,DadosBrutos[[#This Row],[cpf]],"-")</f>
        <v>000.000.115-00</v>
      </c>
      <c r="D14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72</v>
      </c>
      <c r="E147" s="45">
        <f>IF(DadosBrutos[[#This Row],[data_nascimento]]="","-",DadosBrutos[[#This Row],[data_nascimento]])</f>
        <v>19839</v>
      </c>
      <c r="F147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14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147" s="37">
        <f>IF(DadosBrutos[[#This Row],[renda_mensal]]="","-",IF(ISNUMBER(DadosBrutos[[#This Row],[renda_mensal]]),DadosBrutos[[#This Row],[renda_mensal]],IFERROR(VALUE(SUBSTITUTE(DadosBrutos[[#This Row],[renda_mensal]]," moedas","")),"-")))</f>
        <v>3900</v>
      </c>
      <c r="I147" s="37">
        <f>IF(DadosBrutos[[#This Row],[credito_tomado]]="","-",IF(ISNUMBER(DadosBrutos[[#This Row],[credito_tomado]]),DadosBrutos[[#This Row],[credito_tomado]],IFERROR(VALUE(SUBSTITUTE(DadosBrutos[[#This Row],[credito_tomado]]," moedas","")),"-")))</f>
        <v>27000</v>
      </c>
      <c r="J14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47" s="1">
        <f>IF(DadosBrutos[[#This Row],[qtde_batalhas]]="","-",IF(ISNUMBER(DadosBrutos[[#This Row],[qtde_batalhas]]),DadosBrutos[[#This Row],[qtde_batalhas]],IFERROR(VALUE(SUBSTITUTE(DadosBrutos[[#This Row],[qtde_batalhas]]," batalhas","")),"-")))</f>
        <v>33</v>
      </c>
      <c r="L147" s="1" t="str">
        <f>IF(DadosL[[#This Row],[qtde_batalhas]]="-","-",IF(DadosL[[#This Row],[qtde_batalhas]]&lt;=10,"Baixo",IF(DadosL[[#This Row],[qtde_batalhas]]&lt;=25,"Médio","Alto")))</f>
        <v>Alto</v>
      </c>
      <c r="M14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2000</v>
      </c>
      <c r="N147" s="1" t="str">
        <f>IF(AND(DadosL[[#This Row],[nivel_risco]]="Alto",DadosL[[#This Row],[flag_inadimplente]]="Sim"),"Negado","Aprovado")</f>
        <v>Aprovado</v>
      </c>
      <c r="O147" s="1" t="str">
        <f>IF(AND(ISNUMBER(DadosL[[#This Row],[credito_tomado]]),DadosL[[#This Row],[credito_tomado]]&gt;50000,DadosL[[#This Row],[flag_inadimplente]]="Sim"),"Negado","Aprovado")</f>
        <v>Aprovado</v>
      </c>
      <c r="P147" s="46">
        <f>IF(OR(DadosL[[#This Row],[Analise_Risco]]="Negado",DadosL[[#This Row],[Analise_Credito]]="Negado"),0,IF(DadosL[[#This Row],[status]]="Ativo",DadosL[[#This Row],[valor_solicitado]]*1.08,0))</f>
        <v>2160</v>
      </c>
    </row>
    <row r="148" spans="1:16">
      <c r="A14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48" s="1" t="str">
        <f>PROPER(TRIM(DadosBrutos[[#This Row],[nome]]))</f>
        <v>Grey  Worm  Greyjoy</v>
      </c>
      <c r="C148" s="1" t="str">
        <f>IF(LEN(SUBSTITUTE(SUBSTITUTE(SUBSTITUTE(DadosBrutos[[#This Row],[cpf]],".",""),"-","")," ",""))=11,DadosBrutos[[#This Row],[cpf]],"-")</f>
        <v>000.000.182-00</v>
      </c>
      <c r="D14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58</v>
      </c>
      <c r="E148" s="45">
        <f>IF(DadosBrutos[[#This Row],[data_nascimento]]="","-",DadosBrutos[[#This Row],[data_nascimento]])</f>
        <v>25066</v>
      </c>
      <c r="F148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14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148" s="37">
        <f>IF(DadosBrutos[[#This Row],[renda_mensal]]="","-",IF(ISNUMBER(DadosBrutos[[#This Row],[renda_mensal]]),DadosBrutos[[#This Row],[renda_mensal]],IFERROR(VALUE(SUBSTITUTE(DadosBrutos[[#This Row],[renda_mensal]]," moedas","")),"-")))</f>
        <v>4500</v>
      </c>
      <c r="I148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14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48" s="1">
        <f>IF(DadosBrutos[[#This Row],[qtde_batalhas]]="","-",IF(ISNUMBER(DadosBrutos[[#This Row],[qtde_batalhas]]),DadosBrutos[[#This Row],[qtde_batalhas]],IFERROR(VALUE(SUBSTITUTE(DadosBrutos[[#This Row],[qtde_batalhas]]," batalhas","")),"-")))</f>
        <v>31</v>
      </c>
      <c r="L148" s="1" t="str">
        <f>IF(DadosL[[#This Row],[qtde_batalhas]]="-","-",IF(DadosL[[#This Row],[qtde_batalhas]]&lt;=10,"Baixo",IF(DadosL[[#This Row],[qtde_batalhas]]&lt;=25,"Médio","Alto")))</f>
        <v>Alto</v>
      </c>
      <c r="M14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97500</v>
      </c>
      <c r="N148" s="1" t="str">
        <f>IF(AND(DadosL[[#This Row],[nivel_risco]]="Alto",DadosL[[#This Row],[flag_inadimplente]]="Sim"),"Negado","Aprovado")</f>
        <v>Negado</v>
      </c>
      <c r="O148" s="1" t="str">
        <f>IF(AND(ISNUMBER(DadosL[[#This Row],[credito_tomado]]),DadosL[[#This Row],[credito_tomado]]&gt;50000,DadosL[[#This Row],[flag_inadimplente]]="Sim"),"Negado","Aprovado")</f>
        <v>Aprovado</v>
      </c>
      <c r="P148" s="46">
        <f>IF(OR(DadosL[[#This Row],[Analise_Risco]]="Negado",DadosL[[#This Row],[Analise_Credito]]="Negado"),0,IF(DadosL[[#This Row],[status]]="Ativo",DadosL[[#This Row],[valor_solicitado]]*1.08,0))</f>
        <v>0</v>
      </c>
    </row>
    <row r="149" spans="1:16">
      <c r="A14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-</v>
      </c>
      <c r="B149" s="1" t="str">
        <f>PROPER(TRIM(DadosBrutos[[#This Row],[nome]]))</f>
        <v>Jeor  Payne</v>
      </c>
      <c r="C149" s="1" t="str">
        <f>IF(LEN(SUBSTITUTE(SUBSTITUTE(SUBSTITUTE(DadosBrutos[[#This Row],[cpf]],".",""),"-","")," ",""))=11,DadosBrutos[[#This Row],[cpf]],"-")</f>
        <v>-</v>
      </c>
      <c r="D14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33</v>
      </c>
      <c r="E149" s="45">
        <f>IF(DadosBrutos[[#This Row],[data_nascimento]]="","-",DadosBrutos[[#This Row],[data_nascimento]])</f>
        <v>34021</v>
      </c>
      <c r="F149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14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149" s="37" t="str">
        <f>IF(DadosBrutos[[#This Row],[renda_mensal]]="","-",IF(ISNUMBER(DadosBrutos[[#This Row],[renda_mensal]]),DadosBrutos[[#This Row],[renda_mensal]],IFERROR(VALUE(SUBSTITUTE(DadosBrutos[[#This Row],[renda_mensal]]," moedas","")),"-")))</f>
        <v>-</v>
      </c>
      <c r="I149" s="37">
        <f>IF(DadosBrutos[[#This Row],[credito_tomado]]="","-",IF(ISNUMBER(DadosBrutos[[#This Row],[credito_tomado]]),DadosBrutos[[#This Row],[credito_tomado]],IFERROR(VALUE(SUBSTITUTE(DadosBrutos[[#This Row],[credito_tomado]]," moedas","")),"-")))</f>
        <v>73500</v>
      </c>
      <c r="J14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49" s="1">
        <f>IF(DadosBrutos[[#This Row],[qtde_batalhas]]="","-",IF(ISNUMBER(DadosBrutos[[#This Row],[qtde_batalhas]]),DadosBrutos[[#This Row],[qtde_batalhas]],IFERROR(VALUE(SUBSTITUTE(DadosBrutos[[#This Row],[qtde_batalhas]]," batalhas","")),"-")))</f>
        <v>33</v>
      </c>
      <c r="L149" s="1" t="str">
        <f>IF(DadosL[[#This Row],[qtde_batalhas]]="-","-",IF(DadosL[[#This Row],[qtde_batalhas]]&lt;=10,"Baixo",IF(DadosL[[#This Row],[qtde_batalhas]]&lt;=25,"Médio","Alto")))</f>
        <v>Alto</v>
      </c>
      <c r="M14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95000</v>
      </c>
      <c r="N149" s="1" t="str">
        <f>IF(AND(DadosL[[#This Row],[nivel_risco]]="Alto",DadosL[[#This Row],[flag_inadimplente]]="Sim"),"Negado","Aprovado")</f>
        <v>Aprovado</v>
      </c>
      <c r="O149" s="1" t="str">
        <f>IF(AND(ISNUMBER(DadosL[[#This Row],[credito_tomado]]),DadosL[[#This Row],[credito_tomado]]&gt;50000,DadosL[[#This Row],[flag_inadimplente]]="Sim"),"Negado","Aprovado")</f>
        <v>Aprovado</v>
      </c>
      <c r="P149" s="46">
        <f>IF(OR(DadosL[[#This Row],[Analise_Risco]]="Negado",DadosL[[#This Row],[Analise_Credito]]="Negado"),0,IF(DadosL[[#This Row],[status]]="Ativo",DadosL[[#This Row],[valor_solicitado]]*1.08,0))</f>
        <v>0</v>
      </c>
    </row>
    <row r="150" spans="1:16">
      <c r="A15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50" s="1" t="str">
        <f>PROPER(TRIM(DadosBrutos[[#This Row],[nome]]))</f>
        <v>Bronn Royce</v>
      </c>
      <c r="C150" s="1" t="str">
        <f>IF(LEN(SUBSTITUTE(SUBSTITUTE(SUBSTITUTE(DadosBrutos[[#This Row],[cpf]],".",""),"-","")," ",""))=11,DadosBrutos[[#This Row],[cpf]],"-")</f>
        <v>-</v>
      </c>
      <c r="D15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61</v>
      </c>
      <c r="E150" s="45">
        <f>IF(DadosBrutos[[#This Row],[data_nascimento]]="","-",DadosBrutos[[#This Row],[data_nascimento]])</f>
        <v>23928</v>
      </c>
      <c r="F150" s="1" t="str">
        <f>IF(ISNUMBER(SEARCH("|",DadosBrutos[[#This Row],[cidade]])),TRIM(LEFT(DadosBrutos[[#This Row],[cidade]],SEARCH("|",DadosBrutos[[#This Row],[cidade]])-1)),TRIM(DadosBrutos[[#This Row],[cidade]]))</f>
        <v>Solar do Entardecer</v>
      </c>
      <c r="G15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150" s="37">
        <f>IF(DadosBrutos[[#This Row],[renda_mensal]]="","-",IF(ISNUMBER(DadosBrutos[[#This Row],[renda_mensal]]),DadosBrutos[[#This Row],[renda_mensal]],IFERROR(VALUE(SUBSTITUTE(DadosBrutos[[#This Row],[renda_mensal]]," moedas","")),"-")))</f>
        <v>22900</v>
      </c>
      <c r="I150" s="37">
        <f>IF(DadosBrutos[[#This Row],[credito_tomado]]="","-",IF(ISNUMBER(DadosBrutos[[#This Row],[credito_tomado]]),DadosBrutos[[#This Row],[credito_tomado]],IFERROR(VALUE(SUBSTITUTE(DadosBrutos[[#This Row],[credito_tomado]]," moedas","")),"-")))</f>
        <v>7500</v>
      </c>
      <c r="J15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50" s="1">
        <f>IF(DadosBrutos[[#This Row],[qtde_batalhas]]="","-",IF(ISNUMBER(DadosBrutos[[#This Row],[qtde_batalhas]]),DadosBrutos[[#This Row],[qtde_batalhas]],IFERROR(VALUE(SUBSTITUTE(DadosBrutos[[#This Row],[qtde_batalhas]]," batalhas","")),"-")))</f>
        <v>12</v>
      </c>
      <c r="L150" s="1" t="str">
        <f>IF(DadosL[[#This Row],[qtde_batalhas]]="-","-",IF(DadosL[[#This Row],[qtde_batalhas]]&lt;=10,"Baixo",IF(DadosL[[#This Row],[qtde_batalhas]]&lt;=25,"Médio","Alto")))</f>
        <v>Médio</v>
      </c>
      <c r="M15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73000</v>
      </c>
      <c r="N150" s="1" t="str">
        <f>IF(AND(DadosL[[#This Row],[nivel_risco]]="Alto",DadosL[[#This Row],[flag_inadimplente]]="Sim"),"Negado","Aprovado")</f>
        <v>Aprovado</v>
      </c>
      <c r="O150" s="1" t="str">
        <f>IF(AND(ISNUMBER(DadosL[[#This Row],[credito_tomado]]),DadosL[[#This Row],[credito_tomado]]&gt;50000,DadosL[[#This Row],[flag_inadimplente]]="Sim"),"Negado","Aprovado")</f>
        <v>Aprovado</v>
      </c>
      <c r="P150" s="46">
        <f>IF(OR(DadosL[[#This Row],[Analise_Risco]]="Negado",DadosL[[#This Row],[Analise_Credito]]="Negado"),0,IF(DadosL[[#This Row],[status]]="Ativo",DadosL[[#This Row],[valor_solicitado]]*1.08,0))</f>
        <v>78840</v>
      </c>
    </row>
    <row r="151" spans="1:16">
      <c r="A15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51" s="1" t="str">
        <f>PROPER(TRIM(DadosBrutos[[#This Row],[nome]]))</f>
        <v>Robert Hornwood</v>
      </c>
      <c r="C151" s="1" t="str">
        <f>IF(LEN(SUBSTITUTE(SUBSTITUTE(SUBSTITUTE(DadosBrutos[[#This Row],[cpf]],".",""),"-","")," ",""))=11,DadosBrutos[[#This Row],[cpf]],"-")</f>
        <v>000.000.259-00</v>
      </c>
      <c r="D15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73</v>
      </c>
      <c r="E151" s="45">
        <f>IF(DadosBrutos[[#This Row],[data_nascimento]]="","-",DadosBrutos[[#This Row],[data_nascimento]])</f>
        <v>19363</v>
      </c>
      <c r="F151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15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151" s="37">
        <f>IF(DadosBrutos[[#This Row],[renda_mensal]]="","-",IF(ISNUMBER(DadosBrutos[[#This Row],[renda_mensal]]),DadosBrutos[[#This Row],[renda_mensal]],IFERROR(VALUE(SUBSTITUTE(DadosBrutos[[#This Row],[renda_mensal]]," moedas","")),"-")))</f>
        <v>23000</v>
      </c>
      <c r="I151" s="37">
        <f>IF(DadosBrutos[[#This Row],[credito_tomado]]="","-",IF(ISNUMBER(DadosBrutos[[#This Row],[credito_tomado]]),DadosBrutos[[#This Row],[credito_tomado]],IFERROR(VALUE(SUBSTITUTE(DadosBrutos[[#This Row],[credito_tomado]]," moedas","")),"-")))</f>
        <v>19000</v>
      </c>
      <c r="J15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51" s="1">
        <f>IF(DadosBrutos[[#This Row],[qtde_batalhas]]="","-",IF(ISNUMBER(DadosBrutos[[#This Row],[qtde_batalhas]]),DadosBrutos[[#This Row],[qtde_batalhas]],IFERROR(VALUE(SUBSTITUTE(DadosBrutos[[#This Row],[qtde_batalhas]]," batalhas","")),"-")))</f>
        <v>0</v>
      </c>
      <c r="L151" s="1" t="str">
        <f>IF(DadosL[[#This Row],[qtde_batalhas]]="-","-",IF(DadosL[[#This Row],[qtde_batalhas]]&lt;=10,"Baixo",IF(DadosL[[#This Row],[qtde_batalhas]]&lt;=25,"Médio","Alto")))</f>
        <v>Baixo</v>
      </c>
      <c r="M15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17000</v>
      </c>
      <c r="N151" s="1" t="str">
        <f>IF(AND(DadosL[[#This Row],[nivel_risco]]="Alto",DadosL[[#This Row],[flag_inadimplente]]="Sim"),"Negado","Aprovado")</f>
        <v>Aprovado</v>
      </c>
      <c r="O151" s="1" t="str">
        <f>IF(AND(ISNUMBER(DadosL[[#This Row],[credito_tomado]]),DadosL[[#This Row],[credito_tomado]]&gt;50000,DadosL[[#This Row],[flag_inadimplente]]="Sim"),"Negado","Aprovado")</f>
        <v>Aprovado</v>
      </c>
      <c r="P151" s="46">
        <f>IF(OR(DadosL[[#This Row],[Analise_Risco]]="Negado",DadosL[[#This Row],[Analise_Credito]]="Negado"),0,IF(DadosL[[#This Row],[status]]="Ativo",DadosL[[#This Row],[valor_solicitado]]*1.08,0))</f>
        <v>18360</v>
      </c>
    </row>
    <row r="152" spans="1:16">
      <c r="A15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52" s="1" t="str">
        <f>PROPER(TRIM(DadosBrutos[[#This Row],[nome]]))</f>
        <v>Asha Bolton</v>
      </c>
      <c r="C152" s="1" t="str">
        <f>IF(LEN(SUBSTITUTE(SUBSTITUTE(SUBSTITUTE(DadosBrutos[[#This Row],[cpf]],".",""),"-","")," ",""))=11,DadosBrutos[[#This Row],[cpf]],"-")</f>
        <v>-</v>
      </c>
      <c r="D15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51</v>
      </c>
      <c r="E152" s="45">
        <f>IF(DadosBrutos[[#This Row],[data_nascimento]]="","-",DadosBrutos[[#This Row],[data_nascimento]])</f>
        <v>27590</v>
      </c>
      <c r="F152" s="1" t="str">
        <f>IF(ISNUMBER(SEARCH("|",DadosBrutos[[#This Row],[cidade]])),TRIM(LEFT(DadosBrutos[[#This Row],[cidade]],SEARCH("|",DadosBrutos[[#This Row],[cidade]])-1)),TRIM(DadosBrutos[[#This Row],[cidade]]))</f>
        <v>Castelo Negro</v>
      </c>
      <c r="G15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52" s="37">
        <f>IF(DadosBrutos[[#This Row],[renda_mensal]]="","-",IF(ISNUMBER(DadosBrutos[[#This Row],[renda_mensal]]),DadosBrutos[[#This Row],[renda_mensal]],IFERROR(VALUE(SUBSTITUTE(DadosBrutos[[#This Row],[renda_mensal]]," moedas","")),"-")))</f>
        <v>19400</v>
      </c>
      <c r="I152" s="37">
        <f>IF(DadosBrutos[[#This Row],[credito_tomado]]="","-",IF(ISNUMBER(DadosBrutos[[#This Row],[credito_tomado]]),DadosBrutos[[#This Row],[credito_tomado]],IFERROR(VALUE(SUBSTITUTE(DadosBrutos[[#This Row],[credito_tomado]]," moedas","")),"-")))</f>
        <v>4000</v>
      </c>
      <c r="J15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52" s="1">
        <f>IF(DadosBrutos[[#This Row],[qtde_batalhas]]="","-",IF(ISNUMBER(DadosBrutos[[#This Row],[qtde_batalhas]]),DadosBrutos[[#This Row],[qtde_batalhas]],IFERROR(VALUE(SUBSTITUTE(DadosBrutos[[#This Row],[qtde_batalhas]]," batalhas","")),"-")))</f>
        <v>30</v>
      </c>
      <c r="L152" s="1" t="str">
        <f>IF(DadosL[[#This Row],[qtde_batalhas]]="-","-",IF(DadosL[[#This Row],[qtde_batalhas]]&lt;=10,"Baixo",IF(DadosL[[#This Row],[qtde_batalhas]]&lt;=25,"Médio","Alto")))</f>
        <v>Alto</v>
      </c>
      <c r="M15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38500</v>
      </c>
      <c r="N152" s="1" t="str">
        <f>IF(AND(DadosL[[#This Row],[nivel_risco]]="Alto",DadosL[[#This Row],[flag_inadimplente]]="Sim"),"Negado","Aprovado")</f>
        <v>Aprovado</v>
      </c>
      <c r="O152" s="1" t="str">
        <f>IF(AND(ISNUMBER(DadosL[[#This Row],[credito_tomado]]),DadosL[[#This Row],[credito_tomado]]&gt;50000,DadosL[[#This Row],[flag_inadimplente]]="Sim"),"Negado","Aprovado")</f>
        <v>Aprovado</v>
      </c>
      <c r="P152" s="46">
        <f>IF(OR(DadosL[[#This Row],[Analise_Risco]]="Negado",DadosL[[#This Row],[Analise_Credito]]="Negado"),0,IF(DadosL[[#This Row],[status]]="Ativo",DadosL[[#This Row],[valor_solicitado]]*1.08,0))</f>
        <v>0</v>
      </c>
    </row>
    <row r="153" spans="1:16">
      <c r="A15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53" s="1" t="str">
        <f>PROPER(TRIM(DadosBrutos[[#This Row],[nome]]))</f>
        <v>Bronn Blackwood</v>
      </c>
      <c r="C153" s="1" t="str">
        <f>IF(LEN(SUBSTITUTE(SUBSTITUTE(SUBSTITUTE(DadosBrutos[[#This Row],[cpf]],".",""),"-","")," ",""))=11,DadosBrutos[[#This Row],[cpf]],"-")</f>
        <v>000.000.052-00</v>
      </c>
      <c r="D15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43</v>
      </c>
      <c r="E153" s="45">
        <f>IF(DadosBrutos[[#This Row],[data_nascimento]]="","-",DadosBrutos[[#This Row],[data_nascimento]])</f>
        <v>30309</v>
      </c>
      <c r="F153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15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153" s="37">
        <f>IF(DadosBrutos[[#This Row],[renda_mensal]]="","-",IF(ISNUMBER(DadosBrutos[[#This Row],[renda_mensal]]),DadosBrutos[[#This Row],[renda_mensal]],IFERROR(VALUE(SUBSTITUTE(DadosBrutos[[#This Row],[renda_mensal]]," moedas","")),"-")))</f>
        <v>18400</v>
      </c>
      <c r="I153" s="37">
        <f>IF(DadosBrutos[[#This Row],[credito_tomado]]="","-",IF(ISNUMBER(DadosBrutos[[#This Row],[credito_tomado]]),DadosBrutos[[#This Row],[credito_tomado]],IFERROR(VALUE(SUBSTITUTE(DadosBrutos[[#This Row],[credito_tomado]]," moedas","")),"-")))</f>
        <v>62000</v>
      </c>
      <c r="J15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53" s="1">
        <f>IF(DadosBrutos[[#This Row],[qtde_batalhas]]="","-",IF(ISNUMBER(DadosBrutos[[#This Row],[qtde_batalhas]]),DadosBrutos[[#This Row],[qtde_batalhas]],IFERROR(VALUE(SUBSTITUTE(DadosBrutos[[#This Row],[qtde_batalhas]]," batalhas","")),"-")))</f>
        <v>33</v>
      </c>
      <c r="L153" s="1" t="str">
        <f>IF(DadosL[[#This Row],[qtde_batalhas]]="-","-",IF(DadosL[[#This Row],[qtde_batalhas]]&lt;=10,"Baixo",IF(DadosL[[#This Row],[qtde_batalhas]]&lt;=25,"Médio","Alto")))</f>
        <v>Alto</v>
      </c>
      <c r="M15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31000</v>
      </c>
      <c r="N153" s="1" t="str">
        <f>IF(AND(DadosL[[#This Row],[nivel_risco]]="Alto",DadosL[[#This Row],[flag_inadimplente]]="Sim"),"Negado","Aprovado")</f>
        <v>Aprovado</v>
      </c>
      <c r="O153" s="1" t="str">
        <f>IF(AND(ISNUMBER(DadosL[[#This Row],[credito_tomado]]),DadosL[[#This Row],[credito_tomado]]&gt;50000,DadosL[[#This Row],[flag_inadimplente]]="Sim"),"Negado","Aprovado")</f>
        <v>Aprovado</v>
      </c>
      <c r="P153" s="46">
        <f>IF(OR(DadosL[[#This Row],[Analise_Risco]]="Negado",DadosL[[#This Row],[Analise_Credito]]="Negado"),0,IF(DadosL[[#This Row],[status]]="Ativo",DadosL[[#This Row],[valor_solicitado]]*1.08,0))</f>
        <v>33480</v>
      </c>
    </row>
    <row r="154" spans="1:16">
      <c r="A15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54" s="1" t="str">
        <f>PROPER(TRIM(DadosBrutos[[#This Row],[nome]]))</f>
        <v>Daario Arryn</v>
      </c>
      <c r="C154" s="1" t="str">
        <f>IF(LEN(SUBSTITUTE(SUBSTITUTE(SUBSTITUTE(DadosBrutos[[#This Row],[cpf]],".",""),"-","")," ",""))=11,DadosBrutos[[#This Row],[cpf]],"-")</f>
        <v>000.000.173-00</v>
      </c>
      <c r="D15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63</v>
      </c>
      <c r="E154" s="45">
        <f>IF(DadosBrutos[[#This Row],[data_nascimento]]="","-",DadosBrutos[[#This Row],[data_nascimento]])</f>
        <v>23119</v>
      </c>
      <c r="F154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15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154" s="37">
        <f>IF(DadosBrutos[[#This Row],[renda_mensal]]="","-",IF(ISNUMBER(DadosBrutos[[#This Row],[renda_mensal]]),DadosBrutos[[#This Row],[renda_mensal]],IFERROR(VALUE(SUBSTITUTE(DadosBrutos[[#This Row],[renda_mensal]]," moedas","")),"-")))</f>
        <v>9300</v>
      </c>
      <c r="I154" s="37">
        <f>IF(DadosBrutos[[#This Row],[credito_tomado]]="","-",IF(ISNUMBER(DadosBrutos[[#This Row],[credito_tomado]]),DadosBrutos[[#This Row],[credito_tomado]],IFERROR(VALUE(SUBSTITUTE(DadosBrutos[[#This Row],[credito_tomado]]," moedas","")),"-")))</f>
        <v>48500</v>
      </c>
      <c r="J15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54" s="1">
        <f>IF(DadosBrutos[[#This Row],[qtde_batalhas]]="","-",IF(ISNUMBER(DadosBrutos[[#This Row],[qtde_batalhas]]),DadosBrutos[[#This Row],[qtde_batalhas]],IFERROR(VALUE(SUBSTITUTE(DadosBrutos[[#This Row],[qtde_batalhas]]," batalhas","")),"-")))</f>
        <v>28</v>
      </c>
      <c r="L154" s="1" t="str">
        <f>IF(DadosL[[#This Row],[qtde_batalhas]]="-","-",IF(DadosL[[#This Row],[qtde_batalhas]]&lt;=10,"Baixo",IF(DadosL[[#This Row],[qtde_batalhas]]&lt;=25,"Médio","Alto")))</f>
        <v>Alto</v>
      </c>
      <c r="M15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20000</v>
      </c>
      <c r="N154" s="1" t="str">
        <f>IF(AND(DadosL[[#This Row],[nivel_risco]]="Alto",DadosL[[#This Row],[flag_inadimplente]]="Sim"),"Negado","Aprovado")</f>
        <v>Aprovado</v>
      </c>
      <c r="O154" s="1" t="str">
        <f>IF(AND(ISNUMBER(DadosL[[#This Row],[credito_tomado]]),DadosL[[#This Row],[credito_tomado]]&gt;50000,DadosL[[#This Row],[flag_inadimplente]]="Sim"),"Negado","Aprovado")</f>
        <v>Aprovado</v>
      </c>
      <c r="P154" s="46">
        <f>IF(OR(DadosL[[#This Row],[Analise_Risco]]="Negado",DadosL[[#This Row],[Analise_Credito]]="Negado"),0,IF(DadosL[[#This Row],[status]]="Ativo",DadosL[[#This Row],[valor_solicitado]]*1.08,0))</f>
        <v>0</v>
      </c>
    </row>
    <row r="155" spans="1:16">
      <c r="A15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55" s="1" t="str">
        <f>PROPER(TRIM(DadosBrutos[[#This Row],[nome]]))</f>
        <v>Jeor Marbrand</v>
      </c>
      <c r="C155" s="1" t="str">
        <f>IF(LEN(SUBSTITUTE(SUBSTITUTE(SUBSTITUTE(DadosBrutos[[#This Row],[cpf]],".",""),"-","")," ",""))=11,DadosBrutos[[#This Row],[cpf]],"-")</f>
        <v>000.000.073-00</v>
      </c>
      <c r="D15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63</v>
      </c>
      <c r="E155" s="45">
        <f>IF(DadosBrutos[[#This Row],[data_nascimento]]="","-",DadosBrutos[[#This Row],[data_nascimento]])</f>
        <v>22924</v>
      </c>
      <c r="F155" s="1" t="str">
        <f>IF(ISNUMBER(SEARCH("|",DadosBrutos[[#This Row],[cidade]])),TRIM(LEFT(DadosBrutos[[#This Row],[cidade]],SEARCH("|",DadosBrutos[[#This Row],[cidade]])-1)),TRIM(DadosBrutos[[#This Row],[cidade]]))</f>
        <v>Braavos</v>
      </c>
      <c r="G15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155" s="37">
        <f>IF(DadosBrutos[[#This Row],[renda_mensal]]="","-",IF(ISNUMBER(DadosBrutos[[#This Row],[renda_mensal]]),DadosBrutos[[#This Row],[renda_mensal]],IFERROR(VALUE(SUBSTITUTE(DadosBrutos[[#This Row],[renda_mensal]]," moedas","")),"-")))</f>
        <v>29000</v>
      </c>
      <c r="I155" s="37">
        <f>IF(DadosBrutos[[#This Row],[credito_tomado]]="","-",IF(ISNUMBER(DadosBrutos[[#This Row],[credito_tomado]]),DadosBrutos[[#This Row],[credito_tomado]],IFERROR(VALUE(SUBSTITUTE(DadosBrutos[[#This Row],[credito_tomado]]," moedas","")),"-")))</f>
        <v>36500</v>
      </c>
      <c r="J15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55" s="1">
        <f>IF(DadosBrutos[[#This Row],[qtde_batalhas]]="","-",IF(ISNUMBER(DadosBrutos[[#This Row],[qtde_batalhas]]),DadosBrutos[[#This Row],[qtde_batalhas]],IFERROR(VALUE(SUBSTITUTE(DadosBrutos[[#This Row],[qtde_batalhas]]," batalhas","")),"-")))</f>
        <v>38</v>
      </c>
      <c r="L155" s="1" t="str">
        <f>IF(DadosL[[#This Row],[qtde_batalhas]]="-","-",IF(DadosL[[#This Row],[qtde_batalhas]]&lt;=10,"Baixo",IF(DadosL[[#This Row],[qtde_batalhas]]&lt;=25,"Médio","Alto")))</f>
        <v>Alto</v>
      </c>
      <c r="M15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47000</v>
      </c>
      <c r="N155" s="1" t="str">
        <f>IF(AND(DadosL[[#This Row],[nivel_risco]]="Alto",DadosL[[#This Row],[flag_inadimplente]]="Sim"),"Negado","Aprovado")</f>
        <v>Aprovado</v>
      </c>
      <c r="O155" s="1" t="str">
        <f>IF(AND(ISNUMBER(DadosL[[#This Row],[credito_tomado]]),DadosL[[#This Row],[credito_tomado]]&gt;50000,DadosL[[#This Row],[flag_inadimplente]]="Sim"),"Negado","Aprovado")</f>
        <v>Aprovado</v>
      </c>
      <c r="P155" s="46">
        <f>IF(OR(DadosL[[#This Row],[Analise_Risco]]="Negado",DadosL[[#This Row],[Analise_Credito]]="Negado"),0,IF(DadosL[[#This Row],[status]]="Ativo",DadosL[[#This Row],[valor_solicitado]]*1.08,0))</f>
        <v>0</v>
      </c>
    </row>
    <row r="156" spans="1:16">
      <c r="A15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56" s="1" t="str">
        <f>PROPER(TRIM(DadosBrutos[[#This Row],[nome]]))</f>
        <v>Petyr Karstark</v>
      </c>
      <c r="C156" s="1" t="str">
        <f>IF(LEN(SUBSTITUTE(SUBSTITUTE(SUBSTITUTE(DadosBrutos[[#This Row],[cpf]],".",""),"-","")," ",""))=11,DadosBrutos[[#This Row],[cpf]],"-")</f>
        <v>-</v>
      </c>
      <c r="D15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74</v>
      </c>
      <c r="E156" s="45">
        <f>IF(DadosBrutos[[#This Row],[data_nascimento]]="","-",DadosBrutos[[#This Row],[data_nascimento]])</f>
        <v>19234</v>
      </c>
      <c r="F156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15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156" s="37">
        <f>IF(DadosBrutos[[#This Row],[renda_mensal]]="","-",IF(ISNUMBER(DadosBrutos[[#This Row],[renda_mensal]]),DadosBrutos[[#This Row],[renda_mensal]],IFERROR(VALUE(SUBSTITUTE(DadosBrutos[[#This Row],[renda_mensal]]," moedas","")),"-")))</f>
        <v>8900</v>
      </c>
      <c r="I156" s="37">
        <f>IF(DadosBrutos[[#This Row],[credito_tomado]]="","-",IF(ISNUMBER(DadosBrutos[[#This Row],[credito_tomado]]),DadosBrutos[[#This Row],[credito_tomado]],IFERROR(VALUE(SUBSTITUTE(DadosBrutos[[#This Row],[credito_tomado]]," moedas","")),"-")))</f>
        <v>4000</v>
      </c>
      <c r="J15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56" s="1">
        <f>IF(DadosBrutos[[#This Row],[qtde_batalhas]]="","-",IF(ISNUMBER(DadosBrutos[[#This Row],[qtde_batalhas]]),DadosBrutos[[#This Row],[qtde_batalhas]],IFERROR(VALUE(SUBSTITUTE(DadosBrutos[[#This Row],[qtde_batalhas]]," batalhas","")),"-")))</f>
        <v>38</v>
      </c>
      <c r="L156" s="1" t="str">
        <f>IF(DadosL[[#This Row],[qtde_batalhas]]="-","-",IF(DadosL[[#This Row],[qtde_batalhas]]&lt;=10,"Baixo",IF(DadosL[[#This Row],[qtde_batalhas]]&lt;=25,"Médio","Alto")))</f>
        <v>Alto</v>
      </c>
      <c r="M15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22500</v>
      </c>
      <c r="N156" s="1" t="str">
        <f>IF(AND(DadosL[[#This Row],[nivel_risco]]="Alto",DadosL[[#This Row],[flag_inadimplente]]="Sim"),"Negado","Aprovado")</f>
        <v>Aprovado</v>
      </c>
      <c r="O156" s="1" t="str">
        <f>IF(AND(ISNUMBER(DadosL[[#This Row],[credito_tomado]]),DadosL[[#This Row],[credito_tomado]]&gt;50000,DadosL[[#This Row],[flag_inadimplente]]="Sim"),"Negado","Aprovado")</f>
        <v>Aprovado</v>
      </c>
      <c r="P156" s="46">
        <f>IF(OR(DadosL[[#This Row],[Analise_Risco]]="Negado",DadosL[[#This Row],[Analise_Credito]]="Negado"),0,IF(DadosL[[#This Row],[status]]="Ativo",DadosL[[#This Row],[valor_solicitado]]*1.08,0))</f>
        <v>0</v>
      </c>
    </row>
    <row r="157" spans="1:16">
      <c r="A15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-</v>
      </c>
      <c r="B157" s="1" t="str">
        <f>PROPER(TRIM(DadosBrutos[[#This Row],[nome]]))</f>
        <v>Ramsay Stark</v>
      </c>
      <c r="C157" s="1" t="str">
        <f>IF(LEN(SUBSTITUTE(SUBSTITUTE(SUBSTITUTE(DadosBrutos[[#This Row],[cpf]],".",""),"-","")," ",""))=11,DadosBrutos[[#This Row],[cpf]],"-")</f>
        <v>000.000.169-00</v>
      </c>
      <c r="D15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61</v>
      </c>
      <c r="E157" s="45">
        <f>IF(DadosBrutos[[#This Row],[data_nascimento]]="","-",DadosBrutos[[#This Row],[data_nascimento]])</f>
        <v>23813</v>
      </c>
      <c r="F157" s="1" t="str">
        <f>IF(ISNUMBER(SEARCH("|",DadosBrutos[[#This Row],[cidade]])),TRIM(LEFT(DadosBrutos[[#This Row],[cidade]],SEARCH("|",DadosBrutos[[#This Row],[cidade]])-1)),TRIM(DadosBrutos[[#This Row],[cidade]]))</f>
        <v>Braavos</v>
      </c>
      <c r="G15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157" s="37">
        <f>IF(DadosBrutos[[#This Row],[renda_mensal]]="","-",IF(ISNUMBER(DadosBrutos[[#This Row],[renda_mensal]]),DadosBrutos[[#This Row],[renda_mensal]],IFERROR(VALUE(SUBSTITUTE(DadosBrutos[[#This Row],[renda_mensal]]," moedas","")),"-")))</f>
        <v>26300</v>
      </c>
      <c r="I157" s="37">
        <f>IF(DadosBrutos[[#This Row],[credito_tomado]]="","-",IF(ISNUMBER(DadosBrutos[[#This Row],[credito_tomado]]),DadosBrutos[[#This Row],[credito_tomado]],IFERROR(VALUE(SUBSTITUTE(DadosBrutos[[#This Row],[credito_tomado]]," moedas","")),"-")))</f>
        <v>40000</v>
      </c>
      <c r="J15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57" s="1">
        <f>IF(DadosBrutos[[#This Row],[qtde_batalhas]]="","-",IF(ISNUMBER(DadosBrutos[[#This Row],[qtde_batalhas]]),DadosBrutos[[#This Row],[qtde_batalhas]],IFERROR(VALUE(SUBSTITUTE(DadosBrutos[[#This Row],[qtde_batalhas]]," batalhas","")),"-")))</f>
        <v>10</v>
      </c>
      <c r="L157" s="1" t="str">
        <f>IF(DadosL[[#This Row],[qtde_batalhas]]="-","-",IF(DadosL[[#This Row],[qtde_batalhas]]&lt;=10,"Baixo",IF(DadosL[[#This Row],[qtde_batalhas]]&lt;=25,"Médio","Alto")))</f>
        <v>Baixo</v>
      </c>
      <c r="M15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16500</v>
      </c>
      <c r="N157" s="1" t="str">
        <f>IF(AND(DadosL[[#This Row],[nivel_risco]]="Alto",DadosL[[#This Row],[flag_inadimplente]]="Sim"),"Negado","Aprovado")</f>
        <v>Aprovado</v>
      </c>
      <c r="O157" s="1" t="str">
        <f>IF(AND(ISNUMBER(DadosL[[#This Row],[credito_tomado]]),DadosL[[#This Row],[credito_tomado]]&gt;50000,DadosL[[#This Row],[flag_inadimplente]]="Sim"),"Negado","Aprovado")</f>
        <v>Aprovado</v>
      </c>
      <c r="P157" s="46">
        <f>IF(OR(DadosL[[#This Row],[Analise_Risco]]="Negado",DadosL[[#This Row],[Analise_Credito]]="Negado"),0,IF(DadosL[[#This Row],[status]]="Ativo",DadosL[[#This Row],[valor_solicitado]]*1.08,0))</f>
        <v>0</v>
      </c>
    </row>
    <row r="158" spans="1:16">
      <c r="A15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58" s="1" t="str">
        <f>PROPER(TRIM(DadosBrutos[[#This Row],[nome]]))</f>
        <v>Thoros Karstark</v>
      </c>
      <c r="C158" s="1" t="str">
        <f>IF(LEN(SUBSTITUTE(SUBSTITUTE(SUBSTITUTE(DadosBrutos[[#This Row],[cpf]],".",""),"-","")," ",""))=11,DadosBrutos[[#This Row],[cpf]],"-")</f>
        <v>000.000.012-00</v>
      </c>
      <c r="D15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53</v>
      </c>
      <c r="E158" s="45">
        <f>IF(DadosBrutos[[#This Row],[data_nascimento]]="","-",DadosBrutos[[#This Row],[data_nascimento]])</f>
        <v>26631</v>
      </c>
      <c r="F158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15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158" s="37">
        <f>IF(DadosBrutos[[#This Row],[renda_mensal]]="","-",IF(ISNUMBER(DadosBrutos[[#This Row],[renda_mensal]]),DadosBrutos[[#This Row],[renda_mensal]],IFERROR(VALUE(SUBSTITUTE(DadosBrutos[[#This Row],[renda_mensal]]," moedas","")),"-")))</f>
        <v>22700</v>
      </c>
      <c r="I158" s="37">
        <f>IF(DadosBrutos[[#This Row],[credito_tomado]]="","-",IF(ISNUMBER(DadosBrutos[[#This Row],[credito_tomado]]),DadosBrutos[[#This Row],[credito_tomado]],IFERROR(VALUE(SUBSTITUTE(DadosBrutos[[#This Row],[credito_tomado]]," moedas","")),"-")))</f>
        <v>42500</v>
      </c>
      <c r="J15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58" s="1">
        <f>IF(DadosBrutos[[#This Row],[qtde_batalhas]]="","-",IF(ISNUMBER(DadosBrutos[[#This Row],[qtde_batalhas]]),DadosBrutos[[#This Row],[qtde_batalhas]],IFERROR(VALUE(SUBSTITUTE(DadosBrutos[[#This Row],[qtde_batalhas]]," batalhas","")),"-")))</f>
        <v>25</v>
      </c>
      <c r="L158" s="1" t="str">
        <f>IF(DadosL[[#This Row],[qtde_batalhas]]="-","-",IF(DadosL[[#This Row],[qtde_batalhas]]&lt;=10,"Baixo",IF(DadosL[[#This Row],[qtde_batalhas]]&lt;=25,"Médio","Alto")))</f>
        <v>Médio</v>
      </c>
      <c r="M15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86000</v>
      </c>
      <c r="N158" s="1" t="str">
        <f>IF(AND(DadosL[[#This Row],[nivel_risco]]="Alto",DadosL[[#This Row],[flag_inadimplente]]="Sim"),"Negado","Aprovado")</f>
        <v>Aprovado</v>
      </c>
      <c r="O158" s="1" t="str">
        <f>IF(AND(ISNUMBER(DadosL[[#This Row],[credito_tomado]]),DadosL[[#This Row],[credito_tomado]]&gt;50000,DadosL[[#This Row],[flag_inadimplente]]="Sim"),"Negado","Aprovado")</f>
        <v>Aprovado</v>
      </c>
      <c r="P158" s="46">
        <f>IF(OR(DadosL[[#This Row],[Analise_Risco]]="Negado",DadosL[[#This Row],[Analise_Credito]]="Negado"),0,IF(DadosL[[#This Row],[status]]="Ativo",DadosL[[#This Row],[valor_solicitado]]*1.08,0))</f>
        <v>92880</v>
      </c>
    </row>
    <row r="159" spans="1:16">
      <c r="A15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59" s="1" t="str">
        <f>PROPER(TRIM(DadosBrutos[[#This Row],[nome]]))</f>
        <v>Ellaria Martell</v>
      </c>
      <c r="C159" s="1" t="str">
        <f>IF(LEN(SUBSTITUTE(SUBSTITUTE(SUBSTITUTE(DadosBrutos[[#This Row],[cpf]],".",""),"-","")," ",""))=11,DadosBrutos[[#This Row],[cpf]],"-")</f>
        <v>000.000.148-00</v>
      </c>
      <c r="D15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48</v>
      </c>
      <c r="E159" s="45">
        <f>IF(DadosBrutos[[#This Row],[data_nascimento]]="","-",DadosBrutos[[#This Row],[data_nascimento]])</f>
        <v>28673</v>
      </c>
      <c r="F159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15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159" s="37">
        <f>IF(DadosBrutos[[#This Row],[renda_mensal]]="","-",IF(ISNUMBER(DadosBrutos[[#This Row],[renda_mensal]]),DadosBrutos[[#This Row],[renda_mensal]],IFERROR(VALUE(SUBSTITUTE(DadosBrutos[[#This Row],[renda_mensal]]," moedas","")),"-")))</f>
        <v>2300</v>
      </c>
      <c r="I159" s="37">
        <f>IF(DadosBrutos[[#This Row],[credito_tomado]]="","-",IF(ISNUMBER(DadosBrutos[[#This Row],[credito_tomado]]),DadosBrutos[[#This Row],[credito_tomado]],IFERROR(VALUE(SUBSTITUTE(DadosBrutos[[#This Row],[credito_tomado]]," moedas","")),"-")))</f>
        <v>26500</v>
      </c>
      <c r="J15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59" s="1">
        <f>IF(DadosBrutos[[#This Row],[qtde_batalhas]]="","-",IF(ISNUMBER(DadosBrutos[[#This Row],[qtde_batalhas]]),DadosBrutos[[#This Row],[qtde_batalhas]],IFERROR(VALUE(SUBSTITUTE(DadosBrutos[[#This Row],[qtde_batalhas]]," batalhas","")),"-")))</f>
        <v>44</v>
      </c>
      <c r="L159" s="1" t="str">
        <f>IF(DadosL[[#This Row],[qtde_batalhas]]="-","-",IF(DadosL[[#This Row],[qtde_batalhas]]&lt;=10,"Baixo",IF(DadosL[[#This Row],[qtde_batalhas]]&lt;=25,"Médio","Alto")))</f>
        <v>Alto</v>
      </c>
      <c r="M15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81000</v>
      </c>
      <c r="N159" s="1" t="str">
        <f>IF(AND(DadosL[[#This Row],[nivel_risco]]="Alto",DadosL[[#This Row],[flag_inadimplente]]="Sim"),"Negado","Aprovado")</f>
        <v>Aprovado</v>
      </c>
      <c r="O159" s="1" t="str">
        <f>IF(AND(ISNUMBER(DadosL[[#This Row],[credito_tomado]]),DadosL[[#This Row],[credito_tomado]]&gt;50000,DadosL[[#This Row],[flag_inadimplente]]="Sim"),"Negado","Aprovado")</f>
        <v>Aprovado</v>
      </c>
      <c r="P159" s="46">
        <f>IF(OR(DadosL[[#This Row],[Analise_Risco]]="Negado",DadosL[[#This Row],[Analise_Credito]]="Negado"),0,IF(DadosL[[#This Row],[status]]="Ativo",DadosL[[#This Row],[valor_solicitado]]*1.08,0))</f>
        <v>87480</v>
      </c>
    </row>
    <row r="160" spans="1:16">
      <c r="A16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60" s="1" t="str">
        <f>PROPER(TRIM(DadosBrutos[[#This Row],[nome]]))</f>
        <v>Yara Payne</v>
      </c>
      <c r="C160" s="1" t="str">
        <f>IF(LEN(SUBSTITUTE(SUBSTITUTE(SUBSTITUTE(DadosBrutos[[#This Row],[cpf]],".",""),"-","")," ",""))=11,DadosBrutos[[#This Row],[cpf]],"-")</f>
        <v>000.000.250-00</v>
      </c>
      <c r="D16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22</v>
      </c>
      <c r="E160" s="45">
        <f>IF(DadosBrutos[[#This Row],[data_nascimento]]="","-",DadosBrutos[[#This Row],[data_nascimento]])</f>
        <v>38001</v>
      </c>
      <c r="F160" s="1" t="str">
        <f>IF(ISNUMBER(SEARCH("|",DadosBrutos[[#This Row],[cidade]])),TRIM(LEFT(DadosBrutos[[#This Row],[cidade]],SEARCH("|",DadosBrutos[[#This Row],[cidade]])-1)),TRIM(DadosBrutos[[#This Row],[cidade]]))</f>
        <v>Fosso Cailin</v>
      </c>
      <c r="G16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60" s="37">
        <f>IF(DadosBrutos[[#This Row],[renda_mensal]]="","-",IF(ISNUMBER(DadosBrutos[[#This Row],[renda_mensal]]),DadosBrutos[[#This Row],[renda_mensal]],IFERROR(VALUE(SUBSTITUTE(DadosBrutos[[#This Row],[renda_mensal]]," moedas","")),"-")))</f>
        <v>2100</v>
      </c>
      <c r="I160" s="37">
        <f>IF(DadosBrutos[[#This Row],[credito_tomado]]="","-",IF(ISNUMBER(DadosBrutos[[#This Row],[credito_tomado]]),DadosBrutos[[#This Row],[credito_tomado]],IFERROR(VALUE(SUBSTITUTE(DadosBrutos[[#This Row],[credito_tomado]]," moedas","")),"-")))</f>
        <v>79500</v>
      </c>
      <c r="J16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60" s="1">
        <f>IF(DadosBrutos[[#This Row],[qtde_batalhas]]="","-",IF(ISNUMBER(DadosBrutos[[#This Row],[qtde_batalhas]]),DadosBrutos[[#This Row],[qtde_batalhas]],IFERROR(VALUE(SUBSTITUTE(DadosBrutos[[#This Row],[qtde_batalhas]]," batalhas","")),"-")))</f>
        <v>29</v>
      </c>
      <c r="L160" s="1" t="str">
        <f>IF(DadosL[[#This Row],[qtde_batalhas]]="-","-",IF(DadosL[[#This Row],[qtde_batalhas]]&lt;=10,"Baixo",IF(DadosL[[#This Row],[qtde_batalhas]]&lt;=25,"Médio","Alto")))</f>
        <v>Alto</v>
      </c>
      <c r="M16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64000</v>
      </c>
      <c r="N160" s="1" t="str">
        <f>IF(AND(DadosL[[#This Row],[nivel_risco]]="Alto",DadosL[[#This Row],[flag_inadimplente]]="Sim"),"Negado","Aprovado")</f>
        <v>Negado</v>
      </c>
      <c r="O160" s="1" t="str">
        <f>IF(AND(ISNUMBER(DadosL[[#This Row],[credito_tomado]]),DadosL[[#This Row],[credito_tomado]]&gt;50000,DadosL[[#This Row],[flag_inadimplente]]="Sim"),"Negado","Aprovado")</f>
        <v>Negado</v>
      </c>
      <c r="P160" s="46">
        <f>IF(OR(DadosL[[#This Row],[Analise_Risco]]="Negado",DadosL[[#This Row],[Analise_Credito]]="Negado"),0,IF(DadosL[[#This Row],[status]]="Ativo",DadosL[[#This Row],[valor_solicitado]]*1.08,0))</f>
        <v>0</v>
      </c>
    </row>
    <row r="161" spans="1:16">
      <c r="A16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61" s="1" t="str">
        <f>PROPER(TRIM(DadosBrutos[[#This Row],[nome]]))</f>
        <v>Viserys Baratheon</v>
      </c>
      <c r="C161" s="1" t="str">
        <f>IF(LEN(SUBSTITUTE(SUBSTITUTE(SUBSTITUTE(DadosBrutos[[#This Row],[cpf]],".",""),"-","")," ",""))=11,DadosBrutos[[#This Row],[cpf]],"-")</f>
        <v>000.000.186-00</v>
      </c>
      <c r="D16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33</v>
      </c>
      <c r="E161" s="45">
        <f>IF(DadosBrutos[[#This Row],[data_nascimento]]="","-",DadosBrutos[[#This Row],[data_nascimento]])</f>
        <v>33955</v>
      </c>
      <c r="F161" s="1" t="str">
        <f>IF(ISNUMBER(SEARCH("|",DadosBrutos[[#This Row],[cidade]])),TRIM(LEFT(DadosBrutos[[#This Row],[cidade]],SEARCH("|",DadosBrutos[[#This Row],[cidade]])-1)),TRIM(DadosBrutos[[#This Row],[cidade]]))</f>
        <v>Winterfell</v>
      </c>
      <c r="G16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61" s="37">
        <f>IF(DadosBrutos[[#This Row],[renda_mensal]]="","-",IF(ISNUMBER(DadosBrutos[[#This Row],[renda_mensal]]),DadosBrutos[[#This Row],[renda_mensal]],IFERROR(VALUE(SUBSTITUTE(DadosBrutos[[#This Row],[renda_mensal]]," moedas","")),"-")))</f>
        <v>25700</v>
      </c>
      <c r="I161" s="37">
        <f>IF(DadosBrutos[[#This Row],[credito_tomado]]="","-",IF(ISNUMBER(DadosBrutos[[#This Row],[credito_tomado]]),DadosBrutos[[#This Row],[credito_tomado]],IFERROR(VALUE(SUBSTITUTE(DadosBrutos[[#This Row],[credito_tomado]]," moedas","")),"-")))</f>
        <v>35000</v>
      </c>
      <c r="J16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61" s="1">
        <f>IF(DadosBrutos[[#This Row],[qtde_batalhas]]="","-",IF(ISNUMBER(DadosBrutos[[#This Row],[qtde_batalhas]]),DadosBrutos[[#This Row],[qtde_batalhas]],IFERROR(VALUE(SUBSTITUTE(DadosBrutos[[#This Row],[qtde_batalhas]]," batalhas","")),"-")))</f>
        <v>40</v>
      </c>
      <c r="L161" s="1" t="str">
        <f>IF(DadosL[[#This Row],[qtde_batalhas]]="-","-",IF(DadosL[[#This Row],[qtde_batalhas]]&lt;=10,"Baixo",IF(DadosL[[#This Row],[qtde_batalhas]]&lt;=25,"Médio","Alto")))</f>
        <v>Alto</v>
      </c>
      <c r="M16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1000</v>
      </c>
      <c r="N161" s="1" t="str">
        <f>IF(AND(DadosL[[#This Row],[nivel_risco]]="Alto",DadosL[[#This Row],[flag_inadimplente]]="Sim"),"Negado","Aprovado")</f>
        <v>Aprovado</v>
      </c>
      <c r="O161" s="1" t="str">
        <f>IF(AND(ISNUMBER(DadosL[[#This Row],[credito_tomado]]),DadosL[[#This Row],[credito_tomado]]&gt;50000,DadosL[[#This Row],[flag_inadimplente]]="Sim"),"Negado","Aprovado")</f>
        <v>Aprovado</v>
      </c>
      <c r="P161" s="46">
        <f>IF(OR(DadosL[[#This Row],[Analise_Risco]]="Negado",DadosL[[#This Row],[Analise_Credito]]="Negado"),0,IF(DadosL[[#This Row],[status]]="Ativo",DadosL[[#This Row],[valor_solicitado]]*1.08,0))</f>
        <v>0</v>
      </c>
    </row>
    <row r="162" spans="1:16">
      <c r="A16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62" s="1" t="str">
        <f>PROPER(TRIM(DadosBrutos[[#This Row],[nome]]))</f>
        <v>Jeor Clegane</v>
      </c>
      <c r="C162" s="1" t="str">
        <f>IF(LEN(SUBSTITUTE(SUBSTITUTE(SUBSTITUTE(DadosBrutos[[#This Row],[cpf]],".",""),"-","")," ",""))=11,DadosBrutos[[#This Row],[cpf]],"-")</f>
        <v>-</v>
      </c>
      <c r="D16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66</v>
      </c>
      <c r="E162" s="45">
        <f>IF(DadosBrutos[[#This Row],[data_nascimento]]="","-",DadosBrutos[[#This Row],[data_nascimento]])</f>
        <v>21873</v>
      </c>
      <c r="F162" s="1" t="str">
        <f>IF(ISNUMBER(SEARCH("|",DadosBrutos[[#This Row],[cidade]])),TRIM(LEFT(DadosBrutos[[#This Row],[cidade]],SEARCH("|",DadosBrutos[[#This Row],[cidade]])-1)),TRIM(DadosBrutos[[#This Row],[cidade]]))</f>
        <v>Fosso Cailin</v>
      </c>
      <c r="G16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62" s="37">
        <f>IF(DadosBrutos[[#This Row],[renda_mensal]]="","-",IF(ISNUMBER(DadosBrutos[[#This Row],[renda_mensal]]),DadosBrutos[[#This Row],[renda_mensal]],IFERROR(VALUE(SUBSTITUTE(DadosBrutos[[#This Row],[renda_mensal]]," moedas","")),"-")))</f>
        <v>9900</v>
      </c>
      <c r="I162" s="37">
        <f>IF(DadosBrutos[[#This Row],[credito_tomado]]="","-",IF(ISNUMBER(DadosBrutos[[#This Row],[credito_tomado]]),DadosBrutos[[#This Row],[credito_tomado]],IFERROR(VALUE(SUBSTITUTE(DadosBrutos[[#This Row],[credito_tomado]]," moedas","")),"-")))</f>
        <v>42000</v>
      </c>
      <c r="J16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62" s="1">
        <f>IF(DadosBrutos[[#This Row],[qtde_batalhas]]="","-",IF(ISNUMBER(DadosBrutos[[#This Row],[qtde_batalhas]]),DadosBrutos[[#This Row],[qtde_batalhas]],IFERROR(VALUE(SUBSTITUTE(DadosBrutos[[#This Row],[qtde_batalhas]]," batalhas","")),"-")))</f>
        <v>13</v>
      </c>
      <c r="L162" s="1" t="str">
        <f>IF(DadosL[[#This Row],[qtde_batalhas]]="-","-",IF(DadosL[[#This Row],[qtde_batalhas]]&lt;=10,"Baixo",IF(DadosL[[#This Row],[qtde_batalhas]]&lt;=25,"Médio","Alto")))</f>
        <v>Médio</v>
      </c>
      <c r="M16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37000</v>
      </c>
      <c r="N162" s="1" t="str">
        <f>IF(AND(DadosL[[#This Row],[nivel_risco]]="Alto",DadosL[[#This Row],[flag_inadimplente]]="Sim"),"Negado","Aprovado")</f>
        <v>Aprovado</v>
      </c>
      <c r="O162" s="1" t="str">
        <f>IF(AND(ISNUMBER(DadosL[[#This Row],[credito_tomado]]),DadosL[[#This Row],[credito_tomado]]&gt;50000,DadosL[[#This Row],[flag_inadimplente]]="Sim"),"Negado","Aprovado")</f>
        <v>Aprovado</v>
      </c>
      <c r="P162" s="46">
        <f>IF(OR(DadosL[[#This Row],[Analise_Risco]]="Negado",DadosL[[#This Row],[Analise_Credito]]="Negado"),0,IF(DadosL[[#This Row],[status]]="Ativo",DadosL[[#This Row],[valor_solicitado]]*1.08,0))</f>
        <v>0</v>
      </c>
    </row>
    <row r="163" spans="1:16">
      <c r="A16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-</v>
      </c>
      <c r="B163" s="1" t="str">
        <f>PROPER(TRIM(DadosBrutos[[#This Row],[nome]]))</f>
        <v>Sandor Westerling</v>
      </c>
      <c r="C163" s="1" t="str">
        <f>IF(LEN(SUBSTITUTE(SUBSTITUTE(SUBSTITUTE(DadosBrutos[[#This Row],[cpf]],".",""),"-","")," ",""))=11,DadosBrutos[[#This Row],[cpf]],"-")</f>
        <v>-</v>
      </c>
      <c r="D16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44</v>
      </c>
      <c r="E163" s="45">
        <f>IF(DadosBrutos[[#This Row],[data_nascimento]]="","-",DadosBrutos[[#This Row],[data_nascimento]])</f>
        <v>30167</v>
      </c>
      <c r="F163" s="1" t="str">
        <f>IF(ISNUMBER(SEARCH("|",DadosBrutos[[#This Row],[cidade]])),TRIM(LEFT(DadosBrutos[[#This Row],[cidade]],SEARCH("|",DadosBrutos[[#This Row],[cidade]])-1)),TRIM(DadosBrutos[[#This Row],[cidade]]))</f>
        <v>Vilavelha</v>
      </c>
      <c r="G16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163" s="37">
        <f>IF(DadosBrutos[[#This Row],[renda_mensal]]="","-",IF(ISNUMBER(DadosBrutos[[#This Row],[renda_mensal]]),DadosBrutos[[#This Row],[renda_mensal]],IFERROR(VALUE(SUBSTITUTE(DadosBrutos[[#This Row],[renda_mensal]]," moedas","")),"-")))</f>
        <v>5500</v>
      </c>
      <c r="I163" s="37">
        <f>IF(DadosBrutos[[#This Row],[credito_tomado]]="","-",IF(ISNUMBER(DadosBrutos[[#This Row],[credito_tomado]]),DadosBrutos[[#This Row],[credito_tomado]],IFERROR(VALUE(SUBSTITUTE(DadosBrutos[[#This Row],[credito_tomado]]," moedas","")),"-")))</f>
        <v>26000</v>
      </c>
      <c r="J16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63" s="1">
        <f>IF(DadosBrutos[[#This Row],[qtde_batalhas]]="","-",IF(ISNUMBER(DadosBrutos[[#This Row],[qtde_batalhas]]),DadosBrutos[[#This Row],[qtde_batalhas]],IFERROR(VALUE(SUBSTITUTE(DadosBrutos[[#This Row],[qtde_batalhas]]," batalhas","")),"-")))</f>
        <v>30</v>
      </c>
      <c r="L163" s="1" t="str">
        <f>IF(DadosL[[#This Row],[qtde_batalhas]]="-","-",IF(DadosL[[#This Row],[qtde_batalhas]]&lt;=10,"Baixo",IF(DadosL[[#This Row],[qtde_batalhas]]&lt;=25,"Médio","Alto")))</f>
        <v>Alto</v>
      </c>
      <c r="M16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64000</v>
      </c>
      <c r="N163" s="1" t="str">
        <f>IF(AND(DadosL[[#This Row],[nivel_risco]]="Alto",DadosL[[#This Row],[flag_inadimplente]]="Sim"),"Negado","Aprovado")</f>
        <v>Aprovado</v>
      </c>
      <c r="O163" s="1" t="str">
        <f>IF(AND(ISNUMBER(DadosL[[#This Row],[credito_tomado]]),DadosL[[#This Row],[credito_tomado]]&gt;50000,DadosL[[#This Row],[flag_inadimplente]]="Sim"),"Negado","Aprovado")</f>
        <v>Aprovado</v>
      </c>
      <c r="P163" s="46">
        <f>IF(OR(DadosL[[#This Row],[Analise_Risco]]="Negado",DadosL[[#This Row],[Analise_Credito]]="Negado"),0,IF(DadosL[[#This Row],[status]]="Ativo",DadosL[[#This Row],[valor_solicitado]]*1.08,0))</f>
        <v>0</v>
      </c>
    </row>
    <row r="164" spans="1:16">
      <c r="A16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64" s="1" t="str">
        <f>PROPER(TRIM(DadosBrutos[[#This Row],[nome]]))</f>
        <v>Gilly Frey</v>
      </c>
      <c r="C164" s="1" t="str">
        <f>IF(LEN(SUBSTITUTE(SUBSTITUTE(SUBSTITUTE(DadosBrutos[[#This Row],[cpf]],".",""),"-","")," ",""))=11,DadosBrutos[[#This Row],[cpf]],"-")</f>
        <v>000.000.258-00</v>
      </c>
      <c r="D16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33</v>
      </c>
      <c r="E164" s="45">
        <f>IF(DadosBrutos[[#This Row],[data_nascimento]]="","-",DadosBrutos[[#This Row],[data_nascimento]])</f>
        <v>34154</v>
      </c>
      <c r="F164" s="1" t="str">
        <f>IF(ISNUMBER(SEARCH("|",DadosBrutos[[#This Row],[cidade]])),TRIM(LEFT(DadosBrutos[[#This Row],[cidade]],SEARCH("|",DadosBrutos[[#This Row],[cidade]])-1)),TRIM(DadosBrutos[[#This Row],[cidade]]))</f>
        <v>Castelo Negro</v>
      </c>
      <c r="G16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64" s="37">
        <f>IF(DadosBrutos[[#This Row],[renda_mensal]]="","-",IF(ISNUMBER(DadosBrutos[[#This Row],[renda_mensal]]),DadosBrutos[[#This Row],[renda_mensal]],IFERROR(VALUE(SUBSTITUTE(DadosBrutos[[#This Row],[renda_mensal]]," moedas","")),"-")))</f>
        <v>2400</v>
      </c>
      <c r="I164" s="37">
        <f>IF(DadosBrutos[[#This Row],[credito_tomado]]="","-",IF(ISNUMBER(DadosBrutos[[#This Row],[credito_tomado]]),DadosBrutos[[#This Row],[credito_tomado]],IFERROR(VALUE(SUBSTITUTE(DadosBrutos[[#This Row],[credito_tomado]]," moedas","")),"-")))</f>
        <v>78000</v>
      </c>
      <c r="J16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64" s="1">
        <f>IF(DadosBrutos[[#This Row],[qtde_batalhas]]="","-",IF(ISNUMBER(DadosBrutos[[#This Row],[qtde_batalhas]]),DadosBrutos[[#This Row],[qtde_batalhas]],IFERROR(VALUE(SUBSTITUTE(DadosBrutos[[#This Row],[qtde_batalhas]]," batalhas","")),"-")))</f>
        <v>6</v>
      </c>
      <c r="L164" s="1" t="str">
        <f>IF(DadosL[[#This Row],[qtde_batalhas]]="-","-",IF(DadosL[[#This Row],[qtde_batalhas]]&lt;=10,"Baixo",IF(DadosL[[#This Row],[qtde_batalhas]]&lt;=25,"Médio","Alto")))</f>
        <v>Baixo</v>
      </c>
      <c r="M16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28000</v>
      </c>
      <c r="N164" s="1" t="str">
        <f>IF(AND(DadosL[[#This Row],[nivel_risco]]="Alto",DadosL[[#This Row],[flag_inadimplente]]="Sim"),"Negado","Aprovado")</f>
        <v>Aprovado</v>
      </c>
      <c r="O164" s="1" t="str">
        <f>IF(AND(ISNUMBER(DadosL[[#This Row],[credito_tomado]]),DadosL[[#This Row],[credito_tomado]]&gt;50000,DadosL[[#This Row],[flag_inadimplente]]="Sim"),"Negado","Aprovado")</f>
        <v>Aprovado</v>
      </c>
      <c r="P164" s="46">
        <f>IF(OR(DadosL[[#This Row],[Analise_Risco]]="Negado",DadosL[[#This Row],[Analise_Credito]]="Negado"),0,IF(DadosL[[#This Row],[status]]="Ativo",DadosL[[#This Row],[valor_solicitado]]*1.08,0))</f>
        <v>0</v>
      </c>
    </row>
    <row r="165" spans="1:16">
      <c r="A16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65" s="1" t="str">
        <f>PROPER(TRIM(DadosBrutos[[#This Row],[nome]]))</f>
        <v>Loras Bracken</v>
      </c>
      <c r="C165" s="1" t="str">
        <f>IF(LEN(SUBSTITUTE(SUBSTITUTE(SUBSTITUTE(DadosBrutos[[#This Row],[cpf]],".",""),"-","")," ",""))=11,DadosBrutos[[#This Row],[cpf]],"-")</f>
        <v>000.000.254-00</v>
      </c>
      <c r="D16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51</v>
      </c>
      <c r="E165" s="45">
        <f>IF(DadosBrutos[[#This Row],[data_nascimento]]="","-",DadosBrutos[[#This Row],[data_nascimento]])</f>
        <v>27505</v>
      </c>
      <c r="F165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16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165" s="37">
        <f>IF(DadosBrutos[[#This Row],[renda_mensal]]="","-",IF(ISNUMBER(DadosBrutos[[#This Row],[renda_mensal]]),DadosBrutos[[#This Row],[renda_mensal]],IFERROR(VALUE(SUBSTITUTE(DadosBrutos[[#This Row],[renda_mensal]]," moedas","")),"-")))</f>
        <v>7200</v>
      </c>
      <c r="I165" s="37">
        <f>IF(DadosBrutos[[#This Row],[credito_tomado]]="","-",IF(ISNUMBER(DadosBrutos[[#This Row],[credito_tomado]]),DadosBrutos[[#This Row],[credito_tomado]],IFERROR(VALUE(SUBSTITUTE(DadosBrutos[[#This Row],[credito_tomado]]," moedas","")),"-")))</f>
        <v>17500</v>
      </c>
      <c r="J16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65" s="1">
        <f>IF(DadosBrutos[[#This Row],[qtde_batalhas]]="","-",IF(ISNUMBER(DadosBrutos[[#This Row],[qtde_batalhas]]),DadosBrutos[[#This Row],[qtde_batalhas]],IFERROR(VALUE(SUBSTITUTE(DadosBrutos[[#This Row],[qtde_batalhas]]," batalhas","")),"-")))</f>
        <v>40</v>
      </c>
      <c r="L165" s="1" t="str">
        <f>IF(DadosL[[#This Row],[qtde_batalhas]]="-","-",IF(DadosL[[#This Row],[qtde_batalhas]]&lt;=10,"Baixo",IF(DadosL[[#This Row],[qtde_batalhas]]&lt;=25,"Médio","Alto")))</f>
        <v>Alto</v>
      </c>
      <c r="M16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5500</v>
      </c>
      <c r="N165" s="1" t="str">
        <f>IF(AND(DadosL[[#This Row],[nivel_risco]]="Alto",DadosL[[#This Row],[flag_inadimplente]]="Sim"),"Negado","Aprovado")</f>
        <v>Negado</v>
      </c>
      <c r="O165" s="1" t="str">
        <f>IF(AND(ISNUMBER(DadosL[[#This Row],[credito_tomado]]),DadosL[[#This Row],[credito_tomado]]&gt;50000,DadosL[[#This Row],[flag_inadimplente]]="Sim"),"Negado","Aprovado")</f>
        <v>Aprovado</v>
      </c>
      <c r="P165" s="46">
        <f>IF(OR(DadosL[[#This Row],[Analise_Risco]]="Negado",DadosL[[#This Row],[Analise_Credito]]="Negado"),0,IF(DadosL[[#This Row],[status]]="Ativo",DadosL[[#This Row],[valor_solicitado]]*1.08,0))</f>
        <v>0</v>
      </c>
    </row>
    <row r="166" spans="1:16">
      <c r="A16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66" s="1" t="str">
        <f>PROPER(TRIM(DadosBrutos[[#This Row],[nome]]))</f>
        <v>Varys Tallhart</v>
      </c>
      <c r="C166" s="1" t="str">
        <f>IF(LEN(SUBSTITUTE(SUBSTITUTE(SUBSTITUTE(DadosBrutos[[#This Row],[cpf]],".",""),"-","")," ",""))=11,DadosBrutos[[#This Row],[cpf]],"-")</f>
        <v>-</v>
      </c>
      <c r="D16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61</v>
      </c>
      <c r="E166" s="45">
        <f>IF(DadosBrutos[[#This Row],[data_nascimento]]="","-",DadosBrutos[[#This Row],[data_nascimento]])</f>
        <v>23932</v>
      </c>
      <c r="F166" s="1" t="str">
        <f>IF(ISNUMBER(SEARCH("|",DadosBrutos[[#This Row],[cidade]])),TRIM(LEFT(DadosBrutos[[#This Row],[cidade]],SEARCH("|",DadosBrutos[[#This Row],[cidade]])-1)),TRIM(DadosBrutos[[#This Row],[cidade]]))</f>
        <v>Correrrio</v>
      </c>
      <c r="G16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166" s="37">
        <f>IF(DadosBrutos[[#This Row],[renda_mensal]]="","-",IF(ISNUMBER(DadosBrutos[[#This Row],[renda_mensal]]),DadosBrutos[[#This Row],[renda_mensal]],IFERROR(VALUE(SUBSTITUTE(DadosBrutos[[#This Row],[renda_mensal]]," moedas","")),"-")))</f>
        <v>4100</v>
      </c>
      <c r="I166" s="37">
        <f>IF(DadosBrutos[[#This Row],[credito_tomado]]="","-",IF(ISNUMBER(DadosBrutos[[#This Row],[credito_tomado]]),DadosBrutos[[#This Row],[credito_tomado]],IFERROR(VALUE(SUBSTITUTE(DadosBrutos[[#This Row],[credito_tomado]]," moedas","")),"-")))</f>
        <v>78000</v>
      </c>
      <c r="J16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66" s="1">
        <f>IF(DadosBrutos[[#This Row],[qtde_batalhas]]="","-",IF(ISNUMBER(DadosBrutos[[#This Row],[qtde_batalhas]]),DadosBrutos[[#This Row],[qtde_batalhas]],IFERROR(VALUE(SUBSTITUTE(DadosBrutos[[#This Row],[qtde_batalhas]]," batalhas","")),"-")))</f>
        <v>25</v>
      </c>
      <c r="L166" s="1" t="str">
        <f>IF(DadosL[[#This Row],[qtde_batalhas]]="-","-",IF(DadosL[[#This Row],[qtde_batalhas]]&lt;=10,"Baixo",IF(DadosL[[#This Row],[qtde_batalhas]]&lt;=25,"Médio","Alto")))</f>
        <v>Médio</v>
      </c>
      <c r="M16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48000</v>
      </c>
      <c r="N166" s="1" t="str">
        <f>IF(AND(DadosL[[#This Row],[nivel_risco]]="Alto",DadosL[[#This Row],[flag_inadimplente]]="Sim"),"Negado","Aprovado")</f>
        <v>Aprovado</v>
      </c>
      <c r="O166" s="1" t="str">
        <f>IF(AND(ISNUMBER(DadosL[[#This Row],[credito_tomado]]),DadosL[[#This Row],[credito_tomado]]&gt;50000,DadosL[[#This Row],[flag_inadimplente]]="Sim"),"Negado","Aprovado")</f>
        <v>Aprovado</v>
      </c>
      <c r="P166" s="46">
        <f>IF(OR(DadosL[[#This Row],[Analise_Risco]]="Negado",DadosL[[#This Row],[Analise_Credito]]="Negado"),0,IF(DadosL[[#This Row],[status]]="Ativo",DadosL[[#This Row],[valor_solicitado]]*1.08,0))</f>
        <v>0</v>
      </c>
    </row>
    <row r="167" spans="1:16">
      <c r="A16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67" s="1" t="str">
        <f>PROPER(TRIM(DadosBrutos[[#This Row],[nome]]))</f>
        <v>Roose Bracken</v>
      </c>
      <c r="C167" s="1" t="str">
        <f>IF(LEN(SUBSTITUTE(SUBSTITUTE(SUBSTITUTE(DadosBrutos[[#This Row],[cpf]],".",""),"-","")," ",""))=11,DadosBrutos[[#This Row],[cpf]],"-")</f>
        <v>-</v>
      </c>
      <c r="D16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43</v>
      </c>
      <c r="E167" s="45">
        <f>IF(DadosBrutos[[#This Row],[data_nascimento]]="","-",DadosBrutos[[#This Row],[data_nascimento]])</f>
        <v>30355</v>
      </c>
      <c r="F167" s="1" t="str">
        <f>IF(ISNUMBER(SEARCH("|",DadosBrutos[[#This Row],[cidade]])),TRIM(LEFT(DadosBrutos[[#This Row],[cidade]],SEARCH("|",DadosBrutos[[#This Row],[cidade]])-1)),TRIM(DadosBrutos[[#This Row],[cidade]]))</f>
        <v>Ilha dos Ursos</v>
      </c>
      <c r="G16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67" s="37">
        <f>IF(DadosBrutos[[#This Row],[renda_mensal]]="","-",IF(ISNUMBER(DadosBrutos[[#This Row],[renda_mensal]]),DadosBrutos[[#This Row],[renda_mensal]],IFERROR(VALUE(SUBSTITUTE(DadosBrutos[[#This Row],[renda_mensal]]," moedas","")),"-")))</f>
        <v>21700</v>
      </c>
      <c r="I167" s="37">
        <f>IF(DadosBrutos[[#This Row],[credito_tomado]]="","-",IF(ISNUMBER(DadosBrutos[[#This Row],[credito_tomado]]),DadosBrutos[[#This Row],[credito_tomado]],IFERROR(VALUE(SUBSTITUTE(DadosBrutos[[#This Row],[credito_tomado]]," moedas","")),"-")))</f>
        <v>31000</v>
      </c>
      <c r="J16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67" s="1">
        <f>IF(DadosBrutos[[#This Row],[qtde_batalhas]]="","-",IF(ISNUMBER(DadosBrutos[[#This Row],[qtde_batalhas]]),DadosBrutos[[#This Row],[qtde_batalhas]],IFERROR(VALUE(SUBSTITUTE(DadosBrutos[[#This Row],[qtde_batalhas]]," batalhas","")),"-")))</f>
        <v>27</v>
      </c>
      <c r="L167" s="1" t="str">
        <f>IF(DadosL[[#This Row],[qtde_batalhas]]="-","-",IF(DadosL[[#This Row],[qtde_batalhas]]&lt;=10,"Baixo",IF(DadosL[[#This Row],[qtde_batalhas]]&lt;=25,"Médio","Alto")))</f>
        <v>Alto</v>
      </c>
      <c r="M16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45500</v>
      </c>
      <c r="N167" s="1" t="str">
        <f>IF(AND(DadosL[[#This Row],[nivel_risco]]="Alto",DadosL[[#This Row],[flag_inadimplente]]="Sim"),"Negado","Aprovado")</f>
        <v>Aprovado</v>
      </c>
      <c r="O167" s="1" t="str">
        <f>IF(AND(ISNUMBER(DadosL[[#This Row],[credito_tomado]]),DadosL[[#This Row],[credito_tomado]]&gt;50000,DadosL[[#This Row],[flag_inadimplente]]="Sim"),"Negado","Aprovado")</f>
        <v>Aprovado</v>
      </c>
      <c r="P167" s="46">
        <f>IF(OR(DadosL[[#This Row],[Analise_Risco]]="Negado",DadosL[[#This Row],[Analise_Credito]]="Negado"),0,IF(DadosL[[#This Row],[status]]="Ativo",DadosL[[#This Row],[valor_solicitado]]*1.08,0))</f>
        <v>49140</v>
      </c>
    </row>
    <row r="168" spans="1:16">
      <c r="A16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68" s="1" t="str">
        <f>PROPER(TRIM(DadosBrutos[[#This Row],[nome]]))</f>
        <v>Varys Arryn</v>
      </c>
      <c r="C168" s="1" t="str">
        <f>IF(LEN(SUBSTITUTE(SUBSTITUTE(SUBSTITUTE(DadosBrutos[[#This Row],[cpf]],".",""),"-","")," ",""))=11,DadosBrutos[[#This Row],[cpf]],"-")</f>
        <v>000.000.097-00</v>
      </c>
      <c r="D16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56</v>
      </c>
      <c r="E168" s="45">
        <f>IF(DadosBrutos[[#This Row],[data_nascimento]]="","-",DadosBrutos[[#This Row],[data_nascimento]])</f>
        <v>25808</v>
      </c>
      <c r="F168" s="1" t="str">
        <f>IF(ISNUMBER(SEARCH("|",DadosBrutos[[#This Row],[cidade]])),TRIM(LEFT(DadosBrutos[[#This Row],[cidade]],SEARCH("|",DadosBrutos[[#This Row],[cidade]])-1)),TRIM(DadosBrutos[[#This Row],[cidade]]))</f>
        <v>Vilavelha</v>
      </c>
      <c r="G16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168" s="37">
        <f>IF(DadosBrutos[[#This Row],[renda_mensal]]="","-",IF(ISNUMBER(DadosBrutos[[#This Row],[renda_mensal]]),DadosBrutos[[#This Row],[renda_mensal]],IFERROR(VALUE(SUBSTITUTE(DadosBrutos[[#This Row],[renda_mensal]]," moedas","")),"-")))</f>
        <v>5400</v>
      </c>
      <c r="I168" s="37">
        <f>IF(DadosBrutos[[#This Row],[credito_tomado]]="","-",IF(ISNUMBER(DadosBrutos[[#This Row],[credito_tomado]]),DadosBrutos[[#This Row],[credito_tomado]],IFERROR(VALUE(SUBSTITUTE(DadosBrutos[[#This Row],[credito_tomado]]," moedas","")),"-")))</f>
        <v>61000</v>
      </c>
      <c r="J16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68" s="1">
        <f>IF(DadosBrutos[[#This Row],[qtde_batalhas]]="","-",IF(ISNUMBER(DadosBrutos[[#This Row],[qtde_batalhas]]),DadosBrutos[[#This Row],[qtde_batalhas]],IFERROR(VALUE(SUBSTITUTE(DadosBrutos[[#This Row],[qtde_batalhas]]," batalhas","")),"-")))</f>
        <v>12</v>
      </c>
      <c r="L168" s="1" t="str">
        <f>IF(DadosL[[#This Row],[qtde_batalhas]]="-","-",IF(DadosL[[#This Row],[qtde_batalhas]]&lt;=10,"Baixo",IF(DadosL[[#This Row],[qtde_batalhas]]&lt;=25,"Médio","Alto")))</f>
        <v>Médio</v>
      </c>
      <c r="M16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96500</v>
      </c>
      <c r="N168" s="1" t="str">
        <f>IF(AND(DadosL[[#This Row],[nivel_risco]]="Alto",DadosL[[#This Row],[flag_inadimplente]]="Sim"),"Negado","Aprovado")</f>
        <v>Aprovado</v>
      </c>
      <c r="O168" s="1" t="str">
        <f>IF(AND(ISNUMBER(DadosL[[#This Row],[credito_tomado]]),DadosL[[#This Row],[credito_tomado]]&gt;50000,DadosL[[#This Row],[flag_inadimplente]]="Sim"),"Negado","Aprovado")</f>
        <v>Aprovado</v>
      </c>
      <c r="P168" s="46">
        <f>IF(OR(DadosL[[#This Row],[Analise_Risco]]="Negado",DadosL[[#This Row],[Analise_Credito]]="Negado"),0,IF(DadosL[[#This Row],[status]]="Ativo",DadosL[[#This Row],[valor_solicitado]]*1.08,0))</f>
        <v>104220</v>
      </c>
    </row>
    <row r="169" spans="1:16">
      <c r="A16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69" s="1" t="str">
        <f>PROPER(TRIM(DadosBrutos[[#This Row],[nome]]))</f>
        <v>Asha Redwyne</v>
      </c>
      <c r="C169" s="1" t="str">
        <f>IF(LEN(SUBSTITUTE(SUBSTITUTE(SUBSTITUTE(DadosBrutos[[#This Row],[cpf]],".",""),"-","")," ",""))=11,DadosBrutos[[#This Row],[cpf]],"-")</f>
        <v>-</v>
      </c>
      <c r="D16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35</v>
      </c>
      <c r="E169" s="45">
        <f>IF(DadosBrutos[[#This Row],[data_nascimento]]="","-",DadosBrutos[[#This Row],[data_nascimento]])</f>
        <v>33444</v>
      </c>
      <c r="F169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16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169" s="37">
        <f>IF(DadosBrutos[[#This Row],[renda_mensal]]="","-",IF(ISNUMBER(DadosBrutos[[#This Row],[renda_mensal]]),DadosBrutos[[#This Row],[renda_mensal]],IFERROR(VALUE(SUBSTITUTE(DadosBrutos[[#This Row],[renda_mensal]]," moedas","")),"-")))</f>
        <v>8400</v>
      </c>
      <c r="I169" s="37">
        <f>IF(DadosBrutos[[#This Row],[credito_tomado]]="","-",IF(ISNUMBER(DadosBrutos[[#This Row],[credito_tomado]]),DadosBrutos[[#This Row],[credito_tomado]],IFERROR(VALUE(SUBSTITUTE(DadosBrutos[[#This Row],[credito_tomado]]," moedas","")),"-")))</f>
        <v>62500</v>
      </c>
      <c r="J16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69" s="1">
        <f>IF(DadosBrutos[[#This Row],[qtde_batalhas]]="","-",IF(ISNUMBER(DadosBrutos[[#This Row],[qtde_batalhas]]),DadosBrutos[[#This Row],[qtde_batalhas]],IFERROR(VALUE(SUBSTITUTE(DadosBrutos[[#This Row],[qtde_batalhas]]," batalhas","")),"-")))</f>
        <v>31</v>
      </c>
      <c r="L169" s="1" t="str">
        <f>IF(DadosL[[#This Row],[qtde_batalhas]]="-","-",IF(DadosL[[#This Row],[qtde_batalhas]]&lt;=10,"Baixo",IF(DadosL[[#This Row],[qtde_batalhas]]&lt;=25,"Médio","Alto")))</f>
        <v>Alto</v>
      </c>
      <c r="M16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83500</v>
      </c>
      <c r="N169" s="1" t="str">
        <f>IF(AND(DadosL[[#This Row],[nivel_risco]]="Alto",DadosL[[#This Row],[flag_inadimplente]]="Sim"),"Negado","Aprovado")</f>
        <v>Aprovado</v>
      </c>
      <c r="O169" s="1" t="str">
        <f>IF(AND(ISNUMBER(DadosL[[#This Row],[credito_tomado]]),DadosL[[#This Row],[credito_tomado]]&gt;50000,DadosL[[#This Row],[flag_inadimplente]]="Sim"),"Negado","Aprovado")</f>
        <v>Aprovado</v>
      </c>
      <c r="P169" s="46">
        <f>IF(OR(DadosL[[#This Row],[Analise_Risco]]="Negado",DadosL[[#This Row],[Analise_Credito]]="Negado"),0,IF(DadosL[[#This Row],[status]]="Ativo",DadosL[[#This Row],[valor_solicitado]]*1.08,0))</f>
        <v>90180</v>
      </c>
    </row>
    <row r="170" spans="1:16">
      <c r="A17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70" s="1" t="str">
        <f>PROPER(TRIM(DadosBrutos[[#This Row],[nome]]))</f>
        <v>Beric Tallhart</v>
      </c>
      <c r="C170" s="1" t="str">
        <f>IF(LEN(SUBSTITUTE(SUBSTITUTE(SUBSTITUTE(DadosBrutos[[#This Row],[cpf]],".",""),"-","")," ",""))=11,DadosBrutos[[#This Row],[cpf]],"-")</f>
        <v>000.000.291-00</v>
      </c>
      <c r="D17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44</v>
      </c>
      <c r="E170" s="45">
        <f>IF(DadosBrutos[[#This Row],[data_nascimento]]="","-",DadosBrutos[[#This Row],[data_nascimento]])</f>
        <v>29948</v>
      </c>
      <c r="F170" s="1" t="str">
        <f>IF(ISNUMBER(SEARCH("|",DadosBrutos[[#This Row],[cidade]])),TRIM(LEFT(DadosBrutos[[#This Row],[cidade]],SEARCH("|",DadosBrutos[[#This Row],[cidade]])-1)),TRIM(DadosBrutos[[#This Row],[cidade]]))</f>
        <v>Dorne</v>
      </c>
      <c r="G17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170" s="37" t="str">
        <f>IF(DadosBrutos[[#This Row],[renda_mensal]]="","-",IF(ISNUMBER(DadosBrutos[[#This Row],[renda_mensal]]),DadosBrutos[[#This Row],[renda_mensal]],IFERROR(VALUE(SUBSTITUTE(DadosBrutos[[#This Row],[renda_mensal]]," moedas","")),"-")))</f>
        <v>-</v>
      </c>
      <c r="I170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17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70" s="1">
        <f>IF(DadosBrutos[[#This Row],[qtde_batalhas]]="","-",IF(ISNUMBER(DadosBrutos[[#This Row],[qtde_batalhas]]),DadosBrutos[[#This Row],[qtde_batalhas]],IFERROR(VALUE(SUBSTITUTE(DadosBrutos[[#This Row],[qtde_batalhas]]," batalhas","")),"-")))</f>
        <v>4</v>
      </c>
      <c r="L170" s="1" t="str">
        <f>IF(DadosL[[#This Row],[qtde_batalhas]]="-","-",IF(DadosL[[#This Row],[qtde_batalhas]]&lt;=10,"Baixo",IF(DadosL[[#This Row],[qtde_batalhas]]&lt;=25,"Médio","Alto")))</f>
        <v>Baixo</v>
      </c>
      <c r="M17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80000</v>
      </c>
      <c r="N170" s="1" t="str">
        <f>IF(AND(DadosL[[#This Row],[nivel_risco]]="Alto",DadosL[[#This Row],[flag_inadimplente]]="Sim"),"Negado","Aprovado")</f>
        <v>Aprovado</v>
      </c>
      <c r="O170" s="1" t="str">
        <f>IF(AND(ISNUMBER(DadosL[[#This Row],[credito_tomado]]),DadosL[[#This Row],[credito_tomado]]&gt;50000,DadosL[[#This Row],[flag_inadimplente]]="Sim"),"Negado","Aprovado")</f>
        <v>Aprovado</v>
      </c>
      <c r="P170" s="46">
        <f>IF(OR(DadosL[[#This Row],[Analise_Risco]]="Negado",DadosL[[#This Row],[Analise_Credito]]="Negado"),0,IF(DadosL[[#This Row],[status]]="Ativo",DadosL[[#This Row],[valor_solicitado]]*1.08,0))</f>
        <v>0</v>
      </c>
    </row>
    <row r="171" spans="1:16">
      <c r="A17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71" s="1" t="str">
        <f>PROPER(TRIM(DadosBrutos[[#This Row],[nome]]))</f>
        <v>Margaery Cerwyn</v>
      </c>
      <c r="C171" s="1" t="str">
        <f>IF(LEN(SUBSTITUTE(SUBSTITUTE(SUBSTITUTE(DadosBrutos[[#This Row],[cpf]],".",""),"-","")," ",""))=11,DadosBrutos[[#This Row],[cpf]],"-")</f>
        <v>000.000.211-00</v>
      </c>
      <c r="D17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31</v>
      </c>
      <c r="E171" s="45">
        <f>IF(DadosBrutos[[#This Row],[data_nascimento]]="","-",DadosBrutos[[#This Row],[data_nascimento]])</f>
        <v>34738</v>
      </c>
      <c r="F171" s="1" t="str">
        <f>IF(ISNUMBER(SEARCH("|",DadosBrutos[[#This Row],[cidade]])),TRIM(LEFT(DadosBrutos[[#This Row],[cidade]],SEARCH("|",DadosBrutos[[#This Row],[cidade]])-1)),TRIM(DadosBrutos[[#This Row],[cidade]]))</f>
        <v>Vilavelha</v>
      </c>
      <c r="G17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171" s="37">
        <f>IF(DadosBrutos[[#This Row],[renda_mensal]]="","-",IF(ISNUMBER(DadosBrutos[[#This Row],[renda_mensal]]),DadosBrutos[[#This Row],[renda_mensal]],IFERROR(VALUE(SUBSTITUTE(DadosBrutos[[#This Row],[renda_mensal]]," moedas","")),"-")))</f>
        <v>22600</v>
      </c>
      <c r="I171" s="37">
        <f>IF(DadosBrutos[[#This Row],[credito_tomado]]="","-",IF(ISNUMBER(DadosBrutos[[#This Row],[credito_tomado]]),DadosBrutos[[#This Row],[credito_tomado]],IFERROR(VALUE(SUBSTITUTE(DadosBrutos[[#This Row],[credito_tomado]]," moedas","")),"-")))</f>
        <v>58000</v>
      </c>
      <c r="J17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71" s="1">
        <f>IF(DadosBrutos[[#This Row],[qtde_batalhas]]="","-",IF(ISNUMBER(DadosBrutos[[#This Row],[qtde_batalhas]]),DadosBrutos[[#This Row],[qtde_batalhas]],IFERROR(VALUE(SUBSTITUTE(DadosBrutos[[#This Row],[qtde_batalhas]]," batalhas","")),"-")))</f>
        <v>5</v>
      </c>
      <c r="L171" s="1" t="str">
        <f>IF(DadosL[[#This Row],[qtde_batalhas]]="-","-",IF(DadosL[[#This Row],[qtde_batalhas]]&lt;=10,"Baixo",IF(DadosL[[#This Row],[qtde_batalhas]]&lt;=25,"Médio","Alto")))</f>
        <v>Baixo</v>
      </c>
      <c r="M17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26500</v>
      </c>
      <c r="N171" s="1" t="str">
        <f>IF(AND(DadosL[[#This Row],[nivel_risco]]="Alto",DadosL[[#This Row],[flag_inadimplente]]="Sim"),"Negado","Aprovado")</f>
        <v>Aprovado</v>
      </c>
      <c r="O171" s="1" t="str">
        <f>IF(AND(ISNUMBER(DadosL[[#This Row],[credito_tomado]]),DadosL[[#This Row],[credito_tomado]]&gt;50000,DadosL[[#This Row],[flag_inadimplente]]="Sim"),"Negado","Aprovado")</f>
        <v>Aprovado</v>
      </c>
      <c r="P171" s="46">
        <f>IF(OR(DadosL[[#This Row],[Analise_Risco]]="Negado",DadosL[[#This Row],[Analise_Credito]]="Negado"),0,IF(DadosL[[#This Row],[status]]="Ativo",DadosL[[#This Row],[valor_solicitado]]*1.08,0))</f>
        <v>0</v>
      </c>
    </row>
    <row r="172" spans="1:16">
      <c r="A17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72" s="1" t="str">
        <f>PROPER(TRIM(DadosBrutos[[#This Row],[nome]]))</f>
        <v>Jorah Redwyne</v>
      </c>
      <c r="C172" s="1" t="str">
        <f>IF(LEN(SUBSTITUTE(SUBSTITUTE(SUBSTITUTE(DadosBrutos[[#This Row],[cpf]],".",""),"-","")," ",""))=11,DadosBrutos[[#This Row],[cpf]],"-")</f>
        <v>-</v>
      </c>
      <c r="D17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48</v>
      </c>
      <c r="E172" s="45">
        <f>IF(DadosBrutos[[#This Row],[data_nascimento]]="","-",DadosBrutos[[#This Row],[data_nascimento]])</f>
        <v>28663</v>
      </c>
      <c r="F172" s="1" t="str">
        <f>IF(ISNUMBER(SEARCH("|",DadosBrutos[[#This Row],[cidade]])),TRIM(LEFT(DadosBrutos[[#This Row],[cidade]],SEARCH("|",DadosBrutos[[#This Row],[cidade]])-1)),TRIM(DadosBrutos[[#This Row],[cidade]]))</f>
        <v>Porto Real</v>
      </c>
      <c r="G17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172" s="37">
        <f>IF(DadosBrutos[[#This Row],[renda_mensal]]="","-",IF(ISNUMBER(DadosBrutos[[#This Row],[renda_mensal]]),DadosBrutos[[#This Row],[renda_mensal]],IFERROR(VALUE(SUBSTITUTE(DadosBrutos[[#This Row],[renda_mensal]]," moedas","")),"-")))</f>
        <v>24700</v>
      </c>
      <c r="I172" s="37">
        <f>IF(DadosBrutos[[#This Row],[credito_tomado]]="","-",IF(ISNUMBER(DadosBrutos[[#This Row],[credito_tomado]]),DadosBrutos[[#This Row],[credito_tomado]],IFERROR(VALUE(SUBSTITUTE(DadosBrutos[[#This Row],[credito_tomado]]," moedas","")),"-")))</f>
        <v>30500</v>
      </c>
      <c r="J17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72" s="1">
        <f>IF(DadosBrutos[[#This Row],[qtde_batalhas]]="","-",IF(ISNUMBER(DadosBrutos[[#This Row],[qtde_batalhas]]),DadosBrutos[[#This Row],[qtde_batalhas]],IFERROR(VALUE(SUBSTITUTE(DadosBrutos[[#This Row],[qtde_batalhas]]," batalhas","")),"-")))</f>
        <v>34</v>
      </c>
      <c r="L172" s="1" t="str">
        <f>IF(DadosL[[#This Row],[qtde_batalhas]]="-","-",IF(DadosL[[#This Row],[qtde_batalhas]]&lt;=10,"Baixo",IF(DadosL[[#This Row],[qtde_batalhas]]&lt;=25,"Médio","Alto")))</f>
        <v>Alto</v>
      </c>
      <c r="M17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87500</v>
      </c>
      <c r="N172" s="1" t="str">
        <f>IF(AND(DadosL[[#This Row],[nivel_risco]]="Alto",DadosL[[#This Row],[flag_inadimplente]]="Sim"),"Negado","Aprovado")</f>
        <v>Aprovado</v>
      </c>
      <c r="O172" s="1" t="str">
        <f>IF(AND(ISNUMBER(DadosL[[#This Row],[credito_tomado]]),DadosL[[#This Row],[credito_tomado]]&gt;50000,DadosL[[#This Row],[flag_inadimplente]]="Sim"),"Negado","Aprovado")</f>
        <v>Aprovado</v>
      </c>
      <c r="P172" s="46">
        <f>IF(OR(DadosL[[#This Row],[Analise_Risco]]="Negado",DadosL[[#This Row],[Analise_Credito]]="Negado"),0,IF(DadosL[[#This Row],[status]]="Ativo",DadosL[[#This Row],[valor_solicitado]]*1.08,0))</f>
        <v>0</v>
      </c>
    </row>
    <row r="173" spans="1:16">
      <c r="A17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73" s="1" t="str">
        <f>PROPER(TRIM(DadosBrutos[[#This Row],[nome]]))</f>
        <v>Loras Frey</v>
      </c>
      <c r="C173" s="1" t="str">
        <f>IF(LEN(SUBSTITUTE(SUBSTITUTE(SUBSTITUTE(DadosBrutos[[#This Row],[cpf]],".",""),"-","")," ",""))=11,DadosBrutos[[#This Row],[cpf]],"-")</f>
        <v>000.000.017-00</v>
      </c>
      <c r="D17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30</v>
      </c>
      <c r="E173" s="45">
        <f>IF(DadosBrutos[[#This Row],[data_nascimento]]="","-",DadosBrutos[[#This Row],[data_nascimento]])</f>
        <v>35213</v>
      </c>
      <c r="F173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17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173" s="37">
        <f>IF(DadosBrutos[[#This Row],[renda_mensal]]="","-",IF(ISNUMBER(DadosBrutos[[#This Row],[renda_mensal]]),DadosBrutos[[#This Row],[renda_mensal]],IFERROR(VALUE(SUBSTITUTE(DadosBrutos[[#This Row],[renda_mensal]]," moedas","")),"-")))</f>
        <v>3900</v>
      </c>
      <c r="I173" s="37">
        <f>IF(DadosBrutos[[#This Row],[credito_tomado]]="","-",IF(ISNUMBER(DadosBrutos[[#This Row],[credito_tomado]]),DadosBrutos[[#This Row],[credito_tomado]],IFERROR(VALUE(SUBSTITUTE(DadosBrutos[[#This Row],[credito_tomado]]," moedas","")),"-")))</f>
        <v>45000</v>
      </c>
      <c r="J17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73" s="1">
        <f>IF(DadosBrutos[[#This Row],[qtde_batalhas]]="","-",IF(ISNUMBER(DadosBrutos[[#This Row],[qtde_batalhas]]),DadosBrutos[[#This Row],[qtde_batalhas]],IFERROR(VALUE(SUBSTITUTE(DadosBrutos[[#This Row],[qtde_batalhas]]," batalhas","")),"-")))</f>
        <v>34</v>
      </c>
      <c r="L173" s="1" t="str">
        <f>IF(DadosL[[#This Row],[qtde_batalhas]]="-","-",IF(DadosL[[#This Row],[qtde_batalhas]]&lt;=10,"Baixo",IF(DadosL[[#This Row],[qtde_batalhas]]&lt;=25,"Médio","Alto")))</f>
        <v>Alto</v>
      </c>
      <c r="M17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41500</v>
      </c>
      <c r="N173" s="1" t="str">
        <f>IF(AND(DadosL[[#This Row],[nivel_risco]]="Alto",DadosL[[#This Row],[flag_inadimplente]]="Sim"),"Negado","Aprovado")</f>
        <v>Aprovado</v>
      </c>
      <c r="O173" s="1" t="str">
        <f>IF(AND(ISNUMBER(DadosL[[#This Row],[credito_tomado]]),DadosL[[#This Row],[credito_tomado]]&gt;50000,DadosL[[#This Row],[flag_inadimplente]]="Sim"),"Negado","Aprovado")</f>
        <v>Aprovado</v>
      </c>
      <c r="P173" s="46">
        <f>IF(OR(DadosL[[#This Row],[Analise_Risco]]="Negado",DadosL[[#This Row],[Analise_Credito]]="Negado"),0,IF(DadosL[[#This Row],[status]]="Ativo",DadosL[[#This Row],[valor_solicitado]]*1.08,0))</f>
        <v>0</v>
      </c>
    </row>
    <row r="174" spans="1:16">
      <c r="A17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74" s="1" t="str">
        <f>PROPER(TRIM(DadosBrutos[[#This Row],[nome]]))</f>
        <v>Bran Karstark</v>
      </c>
      <c r="C174" s="1" t="str">
        <f>IF(LEN(SUBSTITUTE(SUBSTITUTE(SUBSTITUTE(DadosBrutos[[#This Row],[cpf]],".",""),"-","")," ",""))=11,DadosBrutos[[#This Row],[cpf]],"-")</f>
        <v>000.000.241-00</v>
      </c>
      <c r="D17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21</v>
      </c>
      <c r="E174" s="45">
        <f>IF(DadosBrutos[[#This Row],[data_nascimento]]="","-",DadosBrutos[[#This Row],[data_nascimento]])</f>
        <v>38328</v>
      </c>
      <c r="F174" s="1" t="str">
        <f>IF(ISNUMBER(SEARCH("|",DadosBrutos[[#This Row],[cidade]])),TRIM(LEFT(DadosBrutos[[#This Row],[cidade]],SEARCH("|",DadosBrutos[[#This Row],[cidade]])-1)),TRIM(DadosBrutos[[#This Row],[cidade]]))</f>
        <v>Pyke</v>
      </c>
      <c r="G17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174" s="37">
        <f>IF(DadosBrutos[[#This Row],[renda_mensal]]="","-",IF(ISNUMBER(DadosBrutos[[#This Row],[renda_mensal]]),DadosBrutos[[#This Row],[renda_mensal]],IFERROR(VALUE(SUBSTITUTE(DadosBrutos[[#This Row],[renda_mensal]]," moedas","")),"-")))</f>
        <v>4400</v>
      </c>
      <c r="I174" s="37">
        <f>IF(DadosBrutos[[#This Row],[credito_tomado]]="","-",IF(ISNUMBER(DadosBrutos[[#This Row],[credito_tomado]]),DadosBrutos[[#This Row],[credito_tomado]],IFERROR(VALUE(SUBSTITUTE(DadosBrutos[[#This Row],[credito_tomado]]," moedas","")),"-")))</f>
        <v>23500</v>
      </c>
      <c r="J17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74" s="1">
        <f>IF(DadosBrutos[[#This Row],[qtde_batalhas]]="","-",IF(ISNUMBER(DadosBrutos[[#This Row],[qtde_batalhas]]),DadosBrutos[[#This Row],[qtde_batalhas]],IFERROR(VALUE(SUBSTITUTE(DadosBrutos[[#This Row],[qtde_batalhas]]," batalhas","")),"-")))</f>
        <v>31</v>
      </c>
      <c r="L174" s="1" t="str">
        <f>IF(DadosL[[#This Row],[qtde_batalhas]]="-","-",IF(DadosL[[#This Row],[qtde_batalhas]]&lt;=10,"Baixo",IF(DadosL[[#This Row],[qtde_batalhas]]&lt;=25,"Médio","Alto")))</f>
        <v>Alto</v>
      </c>
      <c r="M17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91000</v>
      </c>
      <c r="N174" s="1" t="str">
        <f>IF(AND(DadosL[[#This Row],[nivel_risco]]="Alto",DadosL[[#This Row],[flag_inadimplente]]="Sim"),"Negado","Aprovado")</f>
        <v>Negado</v>
      </c>
      <c r="O174" s="1" t="str">
        <f>IF(AND(ISNUMBER(DadosL[[#This Row],[credito_tomado]]),DadosL[[#This Row],[credito_tomado]]&gt;50000,DadosL[[#This Row],[flag_inadimplente]]="Sim"),"Negado","Aprovado")</f>
        <v>Aprovado</v>
      </c>
      <c r="P174" s="46">
        <f>IF(OR(DadosL[[#This Row],[Analise_Risco]]="Negado",DadosL[[#This Row],[Analise_Credito]]="Negado"),0,IF(DadosL[[#This Row],[status]]="Ativo",DadosL[[#This Row],[valor_solicitado]]*1.08,0))</f>
        <v>0</v>
      </c>
    </row>
    <row r="175" spans="1:16">
      <c r="A17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75" s="1" t="str">
        <f>PROPER(TRIM(DadosBrutos[[#This Row],[nome]]))</f>
        <v>Robert Cerwyn</v>
      </c>
      <c r="C175" s="1" t="str">
        <f>IF(LEN(SUBSTITUTE(SUBSTITUTE(SUBSTITUTE(DadosBrutos[[#This Row],[cpf]],".",""),"-","")," ",""))=11,DadosBrutos[[#This Row],[cpf]],"-")</f>
        <v>-</v>
      </c>
      <c r="D17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48</v>
      </c>
      <c r="E175" s="45">
        <f>IF(DadosBrutos[[#This Row],[data_nascimento]]="","-",DadosBrutos[[#This Row],[data_nascimento]])</f>
        <v>28509</v>
      </c>
      <c r="F175" s="1" t="str">
        <f>IF(ISNUMBER(SEARCH("|",DadosBrutos[[#This Row],[cidade]])),TRIM(LEFT(DadosBrutos[[#This Row],[cidade]],SEARCH("|",DadosBrutos[[#This Row],[cidade]])-1)),TRIM(DadosBrutos[[#This Row],[cidade]]))</f>
        <v>Harrenhal</v>
      </c>
      <c r="G17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175" s="37">
        <f>IF(DadosBrutos[[#This Row],[renda_mensal]]="","-",IF(ISNUMBER(DadosBrutos[[#This Row],[renda_mensal]]),DadosBrutos[[#This Row],[renda_mensal]],IFERROR(VALUE(SUBSTITUTE(DadosBrutos[[#This Row],[renda_mensal]]," moedas","")),"-")))</f>
        <v>17800</v>
      </c>
      <c r="I175" s="37">
        <f>IF(DadosBrutos[[#This Row],[credito_tomado]]="","-",IF(ISNUMBER(DadosBrutos[[#This Row],[credito_tomado]]),DadosBrutos[[#This Row],[credito_tomado]],IFERROR(VALUE(SUBSTITUTE(DadosBrutos[[#This Row],[credito_tomado]]," moedas","")),"-")))</f>
        <v>9000</v>
      </c>
      <c r="J17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75" s="1">
        <f>IF(DadosBrutos[[#This Row],[qtde_batalhas]]="","-",IF(ISNUMBER(DadosBrutos[[#This Row],[qtde_batalhas]]),DadosBrutos[[#This Row],[qtde_batalhas]],IFERROR(VALUE(SUBSTITUTE(DadosBrutos[[#This Row],[qtde_batalhas]]," batalhas","")),"-")))</f>
        <v>28</v>
      </c>
      <c r="L175" s="1" t="str">
        <f>IF(DadosL[[#This Row],[qtde_batalhas]]="-","-",IF(DadosL[[#This Row],[qtde_batalhas]]&lt;=10,"Baixo",IF(DadosL[[#This Row],[qtde_batalhas]]&lt;=25,"Médio","Alto")))</f>
        <v>Alto</v>
      </c>
      <c r="M17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80000</v>
      </c>
      <c r="N175" s="1" t="str">
        <f>IF(AND(DadosL[[#This Row],[nivel_risco]]="Alto",DadosL[[#This Row],[flag_inadimplente]]="Sim"),"Negado","Aprovado")</f>
        <v>Aprovado</v>
      </c>
      <c r="O175" s="1" t="str">
        <f>IF(AND(ISNUMBER(DadosL[[#This Row],[credito_tomado]]),DadosL[[#This Row],[credito_tomado]]&gt;50000,DadosL[[#This Row],[flag_inadimplente]]="Sim"),"Negado","Aprovado")</f>
        <v>Aprovado</v>
      </c>
      <c r="P175" s="46">
        <f>IF(OR(DadosL[[#This Row],[Analise_Risco]]="Negado",DadosL[[#This Row],[Analise_Credito]]="Negado"),0,IF(DadosL[[#This Row],[status]]="Ativo",DadosL[[#This Row],[valor_solicitado]]*1.08,0))</f>
        <v>86400</v>
      </c>
    </row>
    <row r="176" spans="1:16">
      <c r="A17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76" s="1" t="str">
        <f>PROPER(TRIM(DadosBrutos[[#This Row],[nome]]))</f>
        <v>Thoros Yronwood</v>
      </c>
      <c r="C176" s="1" t="str">
        <f>IF(LEN(SUBSTITUTE(SUBSTITUTE(SUBSTITUTE(DadosBrutos[[#This Row],[cpf]],".",""),"-","")," ",""))=11,DadosBrutos[[#This Row],[cpf]],"-")</f>
        <v>000.000.201-00</v>
      </c>
      <c r="D17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56</v>
      </c>
      <c r="E176" s="45">
        <f>IF(DadosBrutos[[#This Row],[data_nascimento]]="","-",DadosBrutos[[#This Row],[data_nascimento]])</f>
        <v>25925</v>
      </c>
      <c r="F176" s="1" t="str">
        <f>IF(ISNUMBER(SEARCH("|",DadosBrutos[[#This Row],[cidade]])),TRIM(LEFT(DadosBrutos[[#This Row],[cidade]],SEARCH("|",DadosBrutos[[#This Row],[cidade]])-1)),TRIM(DadosBrutos[[#This Row],[cidade]]))</f>
        <v>Pyke</v>
      </c>
      <c r="G17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176" s="37">
        <f>IF(DadosBrutos[[#This Row],[renda_mensal]]="","-",IF(ISNUMBER(DadosBrutos[[#This Row],[renda_mensal]]),DadosBrutos[[#This Row],[renda_mensal]],IFERROR(VALUE(SUBSTITUTE(DadosBrutos[[#This Row],[renda_mensal]]," moedas","")),"-")))</f>
        <v>20200</v>
      </c>
      <c r="I176" s="37">
        <f>IF(DadosBrutos[[#This Row],[credito_tomado]]="","-",IF(ISNUMBER(DadosBrutos[[#This Row],[credito_tomado]]),DadosBrutos[[#This Row],[credito_tomado]],IFERROR(VALUE(SUBSTITUTE(DadosBrutos[[#This Row],[credito_tomado]]," moedas","")),"-")))</f>
        <v>61000</v>
      </c>
      <c r="J17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76" s="1">
        <f>IF(DadosBrutos[[#This Row],[qtde_batalhas]]="","-",IF(ISNUMBER(DadosBrutos[[#This Row],[qtde_batalhas]]),DadosBrutos[[#This Row],[qtde_batalhas]],IFERROR(VALUE(SUBSTITUTE(DadosBrutos[[#This Row],[qtde_batalhas]]," batalhas","")),"-")))</f>
        <v>10</v>
      </c>
      <c r="L176" s="1" t="str">
        <f>IF(DadosL[[#This Row],[qtde_batalhas]]="-","-",IF(DadosL[[#This Row],[qtde_batalhas]]&lt;=10,"Baixo",IF(DadosL[[#This Row],[qtde_batalhas]]&lt;=25,"Médio","Alto")))</f>
        <v>Baixo</v>
      </c>
      <c r="M17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6500</v>
      </c>
      <c r="N176" s="1" t="str">
        <f>IF(AND(DadosL[[#This Row],[nivel_risco]]="Alto",DadosL[[#This Row],[flag_inadimplente]]="Sim"),"Negado","Aprovado")</f>
        <v>Aprovado</v>
      </c>
      <c r="O176" s="1" t="str">
        <f>IF(AND(ISNUMBER(DadosL[[#This Row],[credito_tomado]]),DadosL[[#This Row],[credito_tomado]]&gt;50000,DadosL[[#This Row],[flag_inadimplente]]="Sim"),"Negado","Aprovado")</f>
        <v>Aprovado</v>
      </c>
      <c r="P176" s="46">
        <f>IF(OR(DadosL[[#This Row],[Analise_Risco]]="Negado",DadosL[[#This Row],[Analise_Credito]]="Negado"),0,IF(DadosL[[#This Row],[status]]="Ativo",DadosL[[#This Row],[valor_solicitado]]*1.08,0))</f>
        <v>7020.0000000000009</v>
      </c>
    </row>
    <row r="177" spans="1:16">
      <c r="A17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-</v>
      </c>
      <c r="B177" s="1" t="str">
        <f>PROPER(TRIM(DadosBrutos[[#This Row],[nome]]))</f>
        <v>Bronn Umber</v>
      </c>
      <c r="C177" s="1" t="str">
        <f>IF(LEN(SUBSTITUTE(SUBSTITUTE(SUBSTITUTE(DadosBrutos[[#This Row],[cpf]],".",""),"-","")," ",""))=11,DadosBrutos[[#This Row],[cpf]],"-")</f>
        <v>000.000.177-00</v>
      </c>
      <c r="D17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56</v>
      </c>
      <c r="E177" s="45">
        <f>IF(DadosBrutos[[#This Row],[data_nascimento]]="","-",DadosBrutos[[#This Row],[data_nascimento]])</f>
        <v>25705</v>
      </c>
      <c r="F177" s="1" t="str">
        <f>IF(ISNUMBER(SEARCH("|",DadosBrutos[[#This Row],[cidade]])),TRIM(LEFT(DadosBrutos[[#This Row],[cidade]],SEARCH("|",DadosBrutos[[#This Row],[cidade]])-1)),TRIM(DadosBrutos[[#This Row],[cidade]]))</f>
        <v>Porto Real</v>
      </c>
      <c r="G17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177" s="37">
        <f>IF(DadosBrutos[[#This Row],[renda_mensal]]="","-",IF(ISNUMBER(DadosBrutos[[#This Row],[renda_mensal]]),DadosBrutos[[#This Row],[renda_mensal]],IFERROR(VALUE(SUBSTITUTE(DadosBrutos[[#This Row],[renda_mensal]]," moedas","")),"-")))</f>
        <v>11100</v>
      </c>
      <c r="I177" s="37">
        <f>IF(DadosBrutos[[#This Row],[credito_tomado]]="","-",IF(ISNUMBER(DadosBrutos[[#This Row],[credito_tomado]]),DadosBrutos[[#This Row],[credito_tomado]],IFERROR(VALUE(SUBSTITUTE(DadosBrutos[[#This Row],[credito_tomado]]," moedas","")),"-")))</f>
        <v>13000</v>
      </c>
      <c r="J17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77" s="1">
        <f>IF(DadosBrutos[[#This Row],[qtde_batalhas]]="","-",IF(ISNUMBER(DadosBrutos[[#This Row],[qtde_batalhas]]),DadosBrutos[[#This Row],[qtde_batalhas]],IFERROR(VALUE(SUBSTITUTE(DadosBrutos[[#This Row],[qtde_batalhas]]," batalhas","")),"-")))</f>
        <v>38</v>
      </c>
      <c r="L177" s="1" t="str">
        <f>IF(DadosL[[#This Row],[qtde_batalhas]]="-","-",IF(DadosL[[#This Row],[qtde_batalhas]]&lt;=10,"Baixo",IF(DadosL[[#This Row],[qtde_batalhas]]&lt;=25,"Médio","Alto")))</f>
        <v>Alto</v>
      </c>
      <c r="M17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88000</v>
      </c>
      <c r="N177" s="1" t="str">
        <f>IF(AND(DadosL[[#This Row],[nivel_risco]]="Alto",DadosL[[#This Row],[flag_inadimplente]]="Sim"),"Negado","Aprovado")</f>
        <v>Aprovado</v>
      </c>
      <c r="O177" s="1" t="str">
        <f>IF(AND(ISNUMBER(DadosL[[#This Row],[credito_tomado]]),DadosL[[#This Row],[credito_tomado]]&gt;50000,DadosL[[#This Row],[flag_inadimplente]]="Sim"),"Negado","Aprovado")</f>
        <v>Aprovado</v>
      </c>
      <c r="P177" s="46">
        <f>IF(OR(DadosL[[#This Row],[Analise_Risco]]="Negado",DadosL[[#This Row],[Analise_Credito]]="Negado"),0,IF(DadosL[[#This Row],[status]]="Ativo",DadosL[[#This Row],[valor_solicitado]]*1.08,0))</f>
        <v>0</v>
      </c>
    </row>
    <row r="178" spans="1:16">
      <c r="A17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78" s="1" t="str">
        <f>PROPER(TRIM(DadosBrutos[[#This Row],[nome]]))</f>
        <v>Brienne Dayne</v>
      </c>
      <c r="C178" s="1" t="str">
        <f>IF(LEN(SUBSTITUTE(SUBSTITUTE(SUBSTITUTE(DadosBrutos[[#This Row],[cpf]],".",""),"-","")," ",""))=11,DadosBrutos[[#This Row],[cpf]],"-")</f>
        <v>000.000.070-00</v>
      </c>
      <c r="D17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62</v>
      </c>
      <c r="E178" s="45">
        <f>IF(DadosBrutos[[#This Row],[data_nascimento]]="","-",DadosBrutos[[#This Row],[data_nascimento]])</f>
        <v>23337</v>
      </c>
      <c r="F178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17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178" s="37">
        <f>IF(DadosBrutos[[#This Row],[renda_mensal]]="","-",IF(ISNUMBER(DadosBrutos[[#This Row],[renda_mensal]]),DadosBrutos[[#This Row],[renda_mensal]],IFERROR(VALUE(SUBSTITUTE(DadosBrutos[[#This Row],[renda_mensal]]," moedas","")),"-")))</f>
        <v>11900</v>
      </c>
      <c r="I178" s="37">
        <f>IF(DadosBrutos[[#This Row],[credito_tomado]]="","-",IF(ISNUMBER(DadosBrutos[[#This Row],[credito_tomado]]),DadosBrutos[[#This Row],[credito_tomado]],IFERROR(VALUE(SUBSTITUTE(DadosBrutos[[#This Row],[credito_tomado]]," moedas","")),"-")))</f>
        <v>58500</v>
      </c>
      <c r="J17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78" s="1">
        <f>IF(DadosBrutos[[#This Row],[qtde_batalhas]]="","-",IF(ISNUMBER(DadosBrutos[[#This Row],[qtde_batalhas]]),DadosBrutos[[#This Row],[qtde_batalhas]],IFERROR(VALUE(SUBSTITUTE(DadosBrutos[[#This Row],[qtde_batalhas]]," batalhas","")),"-")))</f>
        <v>37</v>
      </c>
      <c r="L178" s="1" t="str">
        <f>IF(DadosL[[#This Row],[qtde_batalhas]]="-","-",IF(DadosL[[#This Row],[qtde_batalhas]]&lt;=10,"Baixo",IF(DadosL[[#This Row],[qtde_batalhas]]&lt;=25,"Médio","Alto")))</f>
        <v>Alto</v>
      </c>
      <c r="M17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48000</v>
      </c>
      <c r="N178" s="1" t="str">
        <f>IF(AND(DadosL[[#This Row],[nivel_risco]]="Alto",DadosL[[#This Row],[flag_inadimplente]]="Sim"),"Negado","Aprovado")</f>
        <v>Aprovado</v>
      </c>
      <c r="O178" s="1" t="str">
        <f>IF(AND(ISNUMBER(DadosL[[#This Row],[credito_tomado]]),DadosL[[#This Row],[credito_tomado]]&gt;50000,DadosL[[#This Row],[flag_inadimplente]]="Sim"),"Negado","Aprovado")</f>
        <v>Aprovado</v>
      </c>
      <c r="P178" s="46">
        <f>IF(OR(DadosL[[#This Row],[Analise_Risco]]="Negado",DadosL[[#This Row],[Analise_Credito]]="Negado"),0,IF(DadosL[[#This Row],[status]]="Ativo",DadosL[[#This Row],[valor_solicitado]]*1.08,0))</f>
        <v>51840</v>
      </c>
    </row>
    <row r="179" spans="1:16">
      <c r="A17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79" s="1" t="str">
        <f>PROPER(TRIM(DadosBrutos[[#This Row],[nome]]))</f>
        <v>Bronn Bolton</v>
      </c>
      <c r="C179" s="1" t="str">
        <f>IF(LEN(SUBSTITUTE(SUBSTITUTE(SUBSTITUTE(DadosBrutos[[#This Row],[cpf]],".",""),"-","")," ",""))=11,DadosBrutos[[#This Row],[cpf]],"-")</f>
        <v>000.000.143-00</v>
      </c>
      <c r="D17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26</v>
      </c>
      <c r="E179" s="45">
        <f>IF(DadosBrutos[[#This Row],[data_nascimento]]="","-",DadosBrutos[[#This Row],[data_nascimento]])</f>
        <v>36619</v>
      </c>
      <c r="F179" s="1" t="str">
        <f>IF(ISNUMBER(SEARCH("|",DadosBrutos[[#This Row],[cidade]])),TRIM(LEFT(DadosBrutos[[#This Row],[cidade]],SEARCH("|",DadosBrutos[[#This Row],[cidade]])-1)),TRIM(DadosBrutos[[#This Row],[cidade]]))</f>
        <v>Harrenhal</v>
      </c>
      <c r="G17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179" s="37">
        <f>IF(DadosBrutos[[#This Row],[renda_mensal]]="","-",IF(ISNUMBER(DadosBrutos[[#This Row],[renda_mensal]]),DadosBrutos[[#This Row],[renda_mensal]],IFERROR(VALUE(SUBSTITUTE(DadosBrutos[[#This Row],[renda_mensal]]," moedas","")),"-")))</f>
        <v>26800</v>
      </c>
      <c r="I179" s="37">
        <f>IF(DadosBrutos[[#This Row],[credito_tomado]]="","-",IF(ISNUMBER(DadosBrutos[[#This Row],[credito_tomado]]),DadosBrutos[[#This Row],[credito_tomado]],IFERROR(VALUE(SUBSTITUTE(DadosBrutos[[#This Row],[credito_tomado]]," moedas","")),"-")))</f>
        <v>42500</v>
      </c>
      <c r="J17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79" s="1">
        <f>IF(DadosBrutos[[#This Row],[qtde_batalhas]]="","-",IF(ISNUMBER(DadosBrutos[[#This Row],[qtde_batalhas]]),DadosBrutos[[#This Row],[qtde_batalhas]],IFERROR(VALUE(SUBSTITUTE(DadosBrutos[[#This Row],[qtde_batalhas]]," batalhas","")),"-")))</f>
        <v>29</v>
      </c>
      <c r="L179" s="1" t="str">
        <f>IF(DadosL[[#This Row],[qtde_batalhas]]="-","-",IF(DadosL[[#This Row],[qtde_batalhas]]&lt;=10,"Baixo",IF(DadosL[[#This Row],[qtde_batalhas]]&lt;=25,"Médio","Alto")))</f>
        <v>Alto</v>
      </c>
      <c r="M17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66000</v>
      </c>
      <c r="N179" s="1" t="str">
        <f>IF(AND(DadosL[[#This Row],[nivel_risco]]="Alto",DadosL[[#This Row],[flag_inadimplente]]="Sim"),"Negado","Aprovado")</f>
        <v>Negado</v>
      </c>
      <c r="O179" s="1" t="str">
        <f>IF(AND(ISNUMBER(DadosL[[#This Row],[credito_tomado]]),DadosL[[#This Row],[credito_tomado]]&gt;50000,DadosL[[#This Row],[flag_inadimplente]]="Sim"),"Negado","Aprovado")</f>
        <v>Aprovado</v>
      </c>
      <c r="P179" s="46">
        <f>IF(OR(DadosL[[#This Row],[Analise_Risco]]="Negado",DadosL[[#This Row],[Analise_Credito]]="Negado"),0,IF(DadosL[[#This Row],[status]]="Ativo",DadosL[[#This Row],[valor_solicitado]]*1.08,0))</f>
        <v>0</v>
      </c>
    </row>
    <row r="180" spans="1:16">
      <c r="A18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80" s="1" t="str">
        <f>PROPER(TRIM(DadosBrutos[[#This Row],[nome]]))</f>
        <v>Rhaegar Hornwood</v>
      </c>
      <c r="C180" s="1" t="str">
        <f>IF(LEN(SUBSTITUTE(SUBSTITUTE(SUBSTITUTE(DadosBrutos[[#This Row],[cpf]],".",""),"-","")," ",""))=11,DadosBrutos[[#This Row],[cpf]],"-")</f>
        <v>000.000.178-00</v>
      </c>
      <c r="D18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30</v>
      </c>
      <c r="E180" s="45">
        <f>IF(DadosBrutos[[#This Row],[data_nascimento]]="","-",DadosBrutos[[#This Row],[data_nascimento]])</f>
        <v>35109</v>
      </c>
      <c r="F180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18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180" s="37">
        <f>IF(DadosBrutos[[#This Row],[renda_mensal]]="","-",IF(ISNUMBER(DadosBrutos[[#This Row],[renda_mensal]]),DadosBrutos[[#This Row],[renda_mensal]],IFERROR(VALUE(SUBSTITUTE(DadosBrutos[[#This Row],[renda_mensal]]," moedas","")),"-")))</f>
        <v>2600</v>
      </c>
      <c r="I180" s="37">
        <f>IF(DadosBrutos[[#This Row],[credito_tomado]]="","-",IF(ISNUMBER(DadosBrutos[[#This Row],[credito_tomado]]),DadosBrutos[[#This Row],[credito_tomado]],IFERROR(VALUE(SUBSTITUTE(DadosBrutos[[#This Row],[credito_tomado]]," moedas","")),"-")))</f>
        <v>62000</v>
      </c>
      <c r="J18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80" s="1">
        <f>IF(DadosBrutos[[#This Row],[qtde_batalhas]]="","-",IF(ISNUMBER(DadosBrutos[[#This Row],[qtde_batalhas]]),DadosBrutos[[#This Row],[qtde_batalhas]],IFERROR(VALUE(SUBSTITUTE(DadosBrutos[[#This Row],[qtde_batalhas]]," batalhas","")),"-")))</f>
        <v>22</v>
      </c>
      <c r="L180" s="1" t="str">
        <f>IF(DadosL[[#This Row],[qtde_batalhas]]="-","-",IF(DadosL[[#This Row],[qtde_batalhas]]&lt;=10,"Baixo",IF(DadosL[[#This Row],[qtde_batalhas]]&lt;=25,"Médio","Alto")))</f>
        <v>Médio</v>
      </c>
      <c r="M18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62000</v>
      </c>
      <c r="N180" s="1" t="str">
        <f>IF(AND(DadosL[[#This Row],[nivel_risco]]="Alto",DadosL[[#This Row],[flag_inadimplente]]="Sim"),"Negado","Aprovado")</f>
        <v>Aprovado</v>
      </c>
      <c r="O180" s="1" t="str">
        <f>IF(AND(ISNUMBER(DadosL[[#This Row],[credito_tomado]]),DadosL[[#This Row],[credito_tomado]]&gt;50000,DadosL[[#This Row],[flag_inadimplente]]="Sim"),"Negado","Aprovado")</f>
        <v>Aprovado</v>
      </c>
      <c r="P180" s="46">
        <f>IF(OR(DadosL[[#This Row],[Analise_Risco]]="Negado",DadosL[[#This Row],[Analise_Credito]]="Negado"),0,IF(DadosL[[#This Row],[status]]="Ativo",DadosL[[#This Row],[valor_solicitado]]*1.08,0))</f>
        <v>66960</v>
      </c>
    </row>
    <row r="181" spans="1:16">
      <c r="A18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81" s="1" t="str">
        <f>PROPER(TRIM(DadosBrutos[[#This Row],[nome]]))</f>
        <v>Meera Tarly</v>
      </c>
      <c r="C181" s="1" t="str">
        <f>IF(LEN(SUBSTITUTE(SUBSTITUTE(SUBSTITUTE(DadosBrutos[[#This Row],[cpf]],".",""),"-","")," ",""))=11,DadosBrutos[[#This Row],[cpf]],"-")</f>
        <v>000.000.326-00</v>
      </c>
      <c r="D18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74</v>
      </c>
      <c r="E181" s="45">
        <f>IF(DadosBrutos[[#This Row],[data_nascimento]]="","-",DadosBrutos[[#This Row],[data_nascimento]])</f>
        <v>19168</v>
      </c>
      <c r="F181" s="1" t="str">
        <f>IF(ISNUMBER(SEARCH("|",DadosBrutos[[#This Row],[cidade]])),TRIM(LEFT(DadosBrutos[[#This Row],[cidade]],SEARCH("|",DadosBrutos[[#This Row],[cidade]])-1)),TRIM(DadosBrutos[[#This Row],[cidade]]))</f>
        <v>Pyke</v>
      </c>
      <c r="G18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181" s="37">
        <f>IF(DadosBrutos[[#This Row],[renda_mensal]]="","-",IF(ISNUMBER(DadosBrutos[[#This Row],[renda_mensal]]),DadosBrutos[[#This Row],[renda_mensal]],IFERROR(VALUE(SUBSTITUTE(DadosBrutos[[#This Row],[renda_mensal]]," moedas","")),"-")))</f>
        <v>25000</v>
      </c>
      <c r="I181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18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81" s="1">
        <f>IF(DadosBrutos[[#This Row],[qtde_batalhas]]="","-",IF(ISNUMBER(DadosBrutos[[#This Row],[qtde_batalhas]]),DadosBrutos[[#This Row],[qtde_batalhas]],IFERROR(VALUE(SUBSTITUTE(DadosBrutos[[#This Row],[qtde_batalhas]]," batalhas","")),"-")))</f>
        <v>3</v>
      </c>
      <c r="L181" s="1" t="str">
        <f>IF(DadosL[[#This Row],[qtde_batalhas]]="-","-",IF(DadosL[[#This Row],[qtde_batalhas]]&lt;=10,"Baixo",IF(DadosL[[#This Row],[qtde_batalhas]]&lt;=25,"Médio","Alto")))</f>
        <v>Baixo</v>
      </c>
      <c r="M18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2500</v>
      </c>
      <c r="N181" s="1" t="str">
        <f>IF(AND(DadosL[[#This Row],[nivel_risco]]="Alto",DadosL[[#This Row],[flag_inadimplente]]="Sim"),"Negado","Aprovado")</f>
        <v>Aprovado</v>
      </c>
      <c r="O181" s="1" t="str">
        <f>IF(AND(ISNUMBER(DadosL[[#This Row],[credito_tomado]]),DadosL[[#This Row],[credito_tomado]]&gt;50000,DadosL[[#This Row],[flag_inadimplente]]="Sim"),"Negado","Aprovado")</f>
        <v>Aprovado</v>
      </c>
      <c r="P181" s="46">
        <f>IF(OR(DadosL[[#This Row],[Analise_Risco]]="Negado",DadosL[[#This Row],[Analise_Credito]]="Negado"),0,IF(DadosL[[#This Row],[status]]="Ativo",DadosL[[#This Row],[valor_solicitado]]*1.08,0))</f>
        <v>2700</v>
      </c>
    </row>
    <row r="182" spans="1:16">
      <c r="A18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82" s="1" t="str">
        <f>PROPER(TRIM(DadosBrutos[[#This Row],[nome]]))</f>
        <v>Thoros Hornwood</v>
      </c>
      <c r="C182" s="1" t="str">
        <f>IF(LEN(SUBSTITUTE(SUBSTITUTE(SUBSTITUTE(DadosBrutos[[#This Row],[cpf]],".",""),"-","")," ",""))=11,DadosBrutos[[#This Row],[cpf]],"-")</f>
        <v>000.000.245-00</v>
      </c>
      <c r="D18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65</v>
      </c>
      <c r="E182" s="45">
        <f>IF(DadosBrutos[[#This Row],[data_nascimento]]="","-",DadosBrutos[[#This Row],[data_nascimento]])</f>
        <v>22205</v>
      </c>
      <c r="F182" s="1" t="str">
        <f>IF(ISNUMBER(SEARCH("|",DadosBrutos[[#This Row],[cidade]])),TRIM(LEFT(DadosBrutos[[#This Row],[cidade]],SEARCH("|",DadosBrutos[[#This Row],[cidade]])-1)),TRIM(DadosBrutos[[#This Row],[cidade]]))</f>
        <v>Castelo Negro</v>
      </c>
      <c r="G18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82" s="37">
        <f>IF(DadosBrutos[[#This Row],[renda_mensal]]="","-",IF(ISNUMBER(DadosBrutos[[#This Row],[renda_mensal]]),DadosBrutos[[#This Row],[renda_mensal]],IFERROR(VALUE(SUBSTITUTE(DadosBrutos[[#This Row],[renda_mensal]]," moedas","")),"-")))</f>
        <v>19800</v>
      </c>
      <c r="I182" s="37">
        <f>IF(DadosBrutos[[#This Row],[credito_tomado]]="","-",IF(ISNUMBER(DadosBrutos[[#This Row],[credito_tomado]]),DadosBrutos[[#This Row],[credito_tomado]],IFERROR(VALUE(SUBSTITUTE(DadosBrutos[[#This Row],[credito_tomado]]," moedas","")),"-")))</f>
        <v>78500</v>
      </c>
      <c r="J18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82" s="1">
        <f>IF(DadosBrutos[[#This Row],[qtde_batalhas]]="","-",IF(ISNUMBER(DadosBrutos[[#This Row],[qtde_batalhas]]),DadosBrutos[[#This Row],[qtde_batalhas]],IFERROR(VALUE(SUBSTITUTE(DadosBrutos[[#This Row],[qtde_batalhas]]," batalhas","")),"-")))</f>
        <v>34</v>
      </c>
      <c r="L182" s="1" t="str">
        <f>IF(DadosL[[#This Row],[qtde_batalhas]]="-","-",IF(DadosL[[#This Row],[qtde_batalhas]]&lt;=10,"Baixo",IF(DadosL[[#This Row],[qtde_batalhas]]&lt;=25,"Médio","Alto")))</f>
        <v>Alto</v>
      </c>
      <c r="M18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23000</v>
      </c>
      <c r="N182" s="1" t="str">
        <f>IF(AND(DadosL[[#This Row],[nivel_risco]]="Alto",DadosL[[#This Row],[flag_inadimplente]]="Sim"),"Negado","Aprovado")</f>
        <v>Aprovado</v>
      </c>
      <c r="O182" s="1" t="str">
        <f>IF(AND(ISNUMBER(DadosL[[#This Row],[credito_tomado]]),DadosL[[#This Row],[credito_tomado]]&gt;50000,DadosL[[#This Row],[flag_inadimplente]]="Sim"),"Negado","Aprovado")</f>
        <v>Aprovado</v>
      </c>
      <c r="P182" s="46">
        <f>IF(OR(DadosL[[#This Row],[Analise_Risco]]="Negado",DadosL[[#This Row],[Analise_Credito]]="Negado"),0,IF(DadosL[[#This Row],[status]]="Ativo",DadosL[[#This Row],[valor_solicitado]]*1.08,0))</f>
        <v>0</v>
      </c>
    </row>
    <row r="183" spans="1:16">
      <c r="A18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83" s="1" t="str">
        <f>PROPER(TRIM(DadosBrutos[[#This Row],[nome]]))</f>
        <v>Jeor Martell</v>
      </c>
      <c r="C183" s="1" t="str">
        <f>IF(LEN(SUBSTITUTE(SUBSTITUTE(SUBSTITUTE(DadosBrutos[[#This Row],[cpf]],".",""),"-","")," ",""))=11,DadosBrutos[[#This Row],[cpf]],"-")</f>
        <v>000.000.061-00</v>
      </c>
      <c r="D18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58</v>
      </c>
      <c r="E183" s="45">
        <f>IF(DadosBrutos[[#This Row],[data_nascimento]]="","-",DadosBrutos[[#This Row],[data_nascimento]])</f>
        <v>24726</v>
      </c>
      <c r="F183" s="1" t="str">
        <f>IF(ISNUMBER(SEARCH("|",DadosBrutos[[#This Row],[cidade]])),TRIM(LEFT(DadosBrutos[[#This Row],[cidade]],SEARCH("|",DadosBrutos[[#This Row],[cidade]])-1)),TRIM(DadosBrutos[[#This Row],[cidade]]))</f>
        <v>Meereen</v>
      </c>
      <c r="G18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183" s="37">
        <f>IF(DadosBrutos[[#This Row],[renda_mensal]]="","-",IF(ISNUMBER(DadosBrutos[[#This Row],[renda_mensal]]),DadosBrutos[[#This Row],[renda_mensal]],IFERROR(VALUE(SUBSTITUTE(DadosBrutos[[#This Row],[renda_mensal]]," moedas","")),"-")))</f>
        <v>20100</v>
      </c>
      <c r="I183" s="37">
        <f>IF(DadosBrutos[[#This Row],[credito_tomado]]="","-",IF(ISNUMBER(DadosBrutos[[#This Row],[credito_tomado]]),DadosBrutos[[#This Row],[credito_tomado]],IFERROR(VALUE(SUBSTITUTE(DadosBrutos[[#This Row],[credito_tomado]]," moedas","")),"-")))</f>
        <v>40000</v>
      </c>
      <c r="J18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83" s="1">
        <f>IF(DadosBrutos[[#This Row],[qtde_batalhas]]="","-",IF(ISNUMBER(DadosBrutos[[#This Row],[qtde_batalhas]]),DadosBrutos[[#This Row],[qtde_batalhas]],IFERROR(VALUE(SUBSTITUTE(DadosBrutos[[#This Row],[qtde_batalhas]]," batalhas","")),"-")))</f>
        <v>16</v>
      </c>
      <c r="L183" s="1" t="str">
        <f>IF(DadosL[[#This Row],[qtde_batalhas]]="-","-",IF(DadosL[[#This Row],[qtde_batalhas]]&lt;=10,"Baixo",IF(DadosL[[#This Row],[qtde_batalhas]]&lt;=25,"Médio","Alto")))</f>
        <v>Médio</v>
      </c>
      <c r="M18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98500</v>
      </c>
      <c r="N183" s="1" t="str">
        <f>IF(AND(DadosL[[#This Row],[nivel_risco]]="Alto",DadosL[[#This Row],[flag_inadimplente]]="Sim"),"Negado","Aprovado")</f>
        <v>Aprovado</v>
      </c>
      <c r="O183" s="1" t="str">
        <f>IF(AND(ISNUMBER(DadosL[[#This Row],[credito_tomado]]),DadosL[[#This Row],[credito_tomado]]&gt;50000,DadosL[[#This Row],[flag_inadimplente]]="Sim"),"Negado","Aprovado")</f>
        <v>Aprovado</v>
      </c>
      <c r="P183" s="46">
        <f>IF(OR(DadosL[[#This Row],[Analise_Risco]]="Negado",DadosL[[#This Row],[Analise_Credito]]="Negado"),0,IF(DadosL[[#This Row],[status]]="Ativo",DadosL[[#This Row],[valor_solicitado]]*1.08,0))</f>
        <v>0</v>
      </c>
    </row>
    <row r="184" spans="1:16">
      <c r="A18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84" s="1" t="str">
        <f>PROPER(TRIM(DadosBrutos[[#This Row],[nome]]))</f>
        <v>Lyanna Stark</v>
      </c>
      <c r="C184" s="1" t="str">
        <f>IF(LEN(SUBSTITUTE(SUBSTITUTE(SUBSTITUTE(DadosBrutos[[#This Row],[cpf]],".",""),"-","")," ",""))=11,DadosBrutos[[#This Row],[cpf]],"-")</f>
        <v>000.000.023-00</v>
      </c>
      <c r="D18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45</v>
      </c>
      <c r="E184" s="45">
        <f>IF(DadosBrutos[[#This Row],[data_nascimento]]="","-",DadosBrutos[[#This Row],[data_nascimento]])</f>
        <v>29769</v>
      </c>
      <c r="F184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18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184" s="37">
        <f>IF(DadosBrutos[[#This Row],[renda_mensal]]="","-",IF(ISNUMBER(DadosBrutos[[#This Row],[renda_mensal]]),DadosBrutos[[#This Row],[renda_mensal]],IFERROR(VALUE(SUBSTITUTE(DadosBrutos[[#This Row],[renda_mensal]]," moedas","")),"-")))</f>
        <v>24400</v>
      </c>
      <c r="I184" s="37">
        <f>IF(DadosBrutos[[#This Row],[credito_tomado]]="","-",IF(ISNUMBER(DadosBrutos[[#This Row],[credito_tomado]]),DadosBrutos[[#This Row],[credito_tomado]],IFERROR(VALUE(SUBSTITUTE(DadosBrutos[[#This Row],[credito_tomado]]," moedas","")),"-")))</f>
        <v>7500</v>
      </c>
      <c r="J18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84" s="1">
        <f>IF(DadosBrutos[[#This Row],[qtde_batalhas]]="","-",IF(ISNUMBER(DadosBrutos[[#This Row],[qtde_batalhas]]),DadosBrutos[[#This Row],[qtde_batalhas]],IFERROR(VALUE(SUBSTITUTE(DadosBrutos[[#This Row],[qtde_batalhas]]," batalhas","")),"-")))</f>
        <v>13</v>
      </c>
      <c r="L184" s="1" t="str">
        <f>IF(DadosL[[#This Row],[qtde_batalhas]]="-","-",IF(DadosL[[#This Row],[qtde_batalhas]]&lt;=10,"Baixo",IF(DadosL[[#This Row],[qtde_batalhas]]&lt;=25,"Médio","Alto")))</f>
        <v>Médio</v>
      </c>
      <c r="M18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95000</v>
      </c>
      <c r="N184" s="1" t="str">
        <f>IF(AND(DadosL[[#This Row],[nivel_risco]]="Alto",DadosL[[#This Row],[flag_inadimplente]]="Sim"),"Negado","Aprovado")</f>
        <v>Aprovado</v>
      </c>
      <c r="O184" s="1" t="str">
        <f>IF(AND(ISNUMBER(DadosL[[#This Row],[credito_tomado]]),DadosL[[#This Row],[credito_tomado]]&gt;50000,DadosL[[#This Row],[flag_inadimplente]]="Sim"),"Negado","Aprovado")</f>
        <v>Aprovado</v>
      </c>
      <c r="P184" s="46">
        <f>IF(OR(DadosL[[#This Row],[Analise_Risco]]="Negado",DadosL[[#This Row],[Analise_Credito]]="Negado"),0,IF(DadosL[[#This Row],[status]]="Ativo",DadosL[[#This Row],[valor_solicitado]]*1.08,0))</f>
        <v>102600</v>
      </c>
    </row>
    <row r="185" spans="1:16">
      <c r="A18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85" s="1" t="str">
        <f>PROPER(TRIM(DadosBrutos[[#This Row],[nome]]))</f>
        <v>Rhaegar Tallhart</v>
      </c>
      <c r="C185" s="1" t="str">
        <f>IF(LEN(SUBSTITUTE(SUBSTITUTE(SUBSTITUTE(DadosBrutos[[#This Row],[cpf]],".",""),"-","")," ",""))=11,DadosBrutos[[#This Row],[cpf]],"-")</f>
        <v>-</v>
      </c>
      <c r="D18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26</v>
      </c>
      <c r="E185" s="45">
        <f>IF(DadosBrutos[[#This Row],[data_nascimento]]="","-",DadosBrutos[[#This Row],[data_nascimento]])</f>
        <v>36596</v>
      </c>
      <c r="F185" s="1" t="str">
        <f>IF(ISNUMBER(SEARCH("|",DadosBrutos[[#This Row],[cidade]])),TRIM(LEFT(DadosBrutos[[#This Row],[cidade]],SEARCH("|",DadosBrutos[[#This Row],[cidade]])-1)),TRIM(DadosBrutos[[#This Row],[cidade]]))</f>
        <v>Ilha dos Ursos</v>
      </c>
      <c r="G18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85" s="37">
        <f>IF(DadosBrutos[[#This Row],[renda_mensal]]="","-",IF(ISNUMBER(DadosBrutos[[#This Row],[renda_mensal]]),DadosBrutos[[#This Row],[renda_mensal]],IFERROR(VALUE(SUBSTITUTE(DadosBrutos[[#This Row],[renda_mensal]]," moedas","")),"-")))</f>
        <v>3500</v>
      </c>
      <c r="I185" s="37">
        <f>IF(DadosBrutos[[#This Row],[credito_tomado]]="","-",IF(ISNUMBER(DadosBrutos[[#This Row],[credito_tomado]]),DadosBrutos[[#This Row],[credito_tomado]],IFERROR(VALUE(SUBSTITUTE(DadosBrutos[[#This Row],[credito_tomado]]," moedas","")),"-")))</f>
        <v>50000</v>
      </c>
      <c r="J18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85" s="1">
        <f>IF(DadosBrutos[[#This Row],[qtde_batalhas]]="","-",IF(ISNUMBER(DadosBrutos[[#This Row],[qtde_batalhas]]),DadosBrutos[[#This Row],[qtde_batalhas]],IFERROR(VALUE(SUBSTITUTE(DadosBrutos[[#This Row],[qtde_batalhas]]," batalhas","")),"-")))</f>
        <v>40</v>
      </c>
      <c r="L185" s="1" t="str">
        <f>IF(DadosL[[#This Row],[qtde_batalhas]]="-","-",IF(DadosL[[#This Row],[qtde_batalhas]]&lt;=10,"Baixo",IF(DadosL[[#This Row],[qtde_batalhas]]&lt;=25,"Médio","Alto")))</f>
        <v>Alto</v>
      </c>
      <c r="M18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46500</v>
      </c>
      <c r="N185" s="1" t="str">
        <f>IF(AND(DadosL[[#This Row],[nivel_risco]]="Alto",DadosL[[#This Row],[flag_inadimplente]]="Sim"),"Negado","Aprovado")</f>
        <v>Aprovado</v>
      </c>
      <c r="O185" s="1" t="str">
        <f>IF(AND(ISNUMBER(DadosL[[#This Row],[credito_tomado]]),DadosL[[#This Row],[credito_tomado]]&gt;50000,DadosL[[#This Row],[flag_inadimplente]]="Sim"),"Negado","Aprovado")</f>
        <v>Aprovado</v>
      </c>
      <c r="P185" s="46">
        <f>IF(OR(DadosL[[#This Row],[Analise_Risco]]="Negado",DadosL[[#This Row],[Analise_Credito]]="Negado"),0,IF(DadosL[[#This Row],[status]]="Ativo",DadosL[[#This Row],[valor_solicitado]]*1.08,0))</f>
        <v>50220</v>
      </c>
    </row>
    <row r="186" spans="1:16">
      <c r="A18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86" s="1" t="str">
        <f>PROPER(TRIM(DadosBrutos[[#This Row],[nome]]))</f>
        <v>Petyr Greyjoy</v>
      </c>
      <c r="C186" s="1" t="str">
        <f>IF(LEN(SUBSTITUTE(SUBSTITUTE(SUBSTITUTE(DadosBrutos[[#This Row],[cpf]],".",""),"-","")," ",""))=11,DadosBrutos[[#This Row],[cpf]],"-")</f>
        <v>000.000.301-00</v>
      </c>
      <c r="D18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42</v>
      </c>
      <c r="E186" s="45">
        <f>IF(DadosBrutos[[#This Row],[data_nascimento]]="","-",DadosBrutos[[#This Row],[data_nascimento]])</f>
        <v>30898</v>
      </c>
      <c r="F186" s="1" t="str">
        <f>IF(ISNUMBER(SEARCH("|",DadosBrutos[[#This Row],[cidade]])),TRIM(LEFT(DadosBrutos[[#This Row],[cidade]],SEARCH("|",DadosBrutos[[#This Row],[cidade]])-1)),TRIM(DadosBrutos[[#This Row],[cidade]]))</f>
        <v>Lannisporto</v>
      </c>
      <c r="G18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186" s="37">
        <f>IF(DadosBrutos[[#This Row],[renda_mensal]]="","-",IF(ISNUMBER(DadosBrutos[[#This Row],[renda_mensal]]),DadosBrutos[[#This Row],[renda_mensal]],IFERROR(VALUE(SUBSTITUTE(DadosBrutos[[#This Row],[renda_mensal]]," moedas","")),"-")))</f>
        <v>20800</v>
      </c>
      <c r="I186" s="37">
        <f>IF(DadosBrutos[[#This Row],[credito_tomado]]="","-",IF(ISNUMBER(DadosBrutos[[#This Row],[credito_tomado]]),DadosBrutos[[#This Row],[credito_tomado]],IFERROR(VALUE(SUBSTITUTE(DadosBrutos[[#This Row],[credito_tomado]]," moedas","")),"-")))</f>
        <v>54000</v>
      </c>
      <c r="J18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86" s="1">
        <f>IF(DadosBrutos[[#This Row],[qtde_batalhas]]="","-",IF(ISNUMBER(DadosBrutos[[#This Row],[qtde_batalhas]]),DadosBrutos[[#This Row],[qtde_batalhas]],IFERROR(VALUE(SUBSTITUTE(DadosBrutos[[#This Row],[qtde_batalhas]]," batalhas","")),"-")))</f>
        <v>4</v>
      </c>
      <c r="L186" s="1" t="str">
        <f>IF(DadosL[[#This Row],[qtde_batalhas]]="-","-",IF(DadosL[[#This Row],[qtde_batalhas]]&lt;=10,"Baixo",IF(DadosL[[#This Row],[qtde_batalhas]]&lt;=25,"Médio","Alto")))</f>
        <v>Baixo</v>
      </c>
      <c r="M18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73500</v>
      </c>
      <c r="N186" s="1" t="str">
        <f>IF(AND(DadosL[[#This Row],[nivel_risco]]="Alto",DadosL[[#This Row],[flag_inadimplente]]="Sim"),"Negado","Aprovado")</f>
        <v>Aprovado</v>
      </c>
      <c r="O186" s="1" t="str">
        <f>IF(AND(ISNUMBER(DadosL[[#This Row],[credito_tomado]]),DadosL[[#This Row],[credito_tomado]]&gt;50000,DadosL[[#This Row],[flag_inadimplente]]="Sim"),"Negado","Aprovado")</f>
        <v>Aprovado</v>
      </c>
      <c r="P186" s="46">
        <f>IF(OR(DadosL[[#This Row],[Analise_Risco]]="Negado",DadosL[[#This Row],[Analise_Credito]]="Negado"),0,IF(DadosL[[#This Row],[status]]="Ativo",DadosL[[#This Row],[valor_solicitado]]*1.08,0))</f>
        <v>79380</v>
      </c>
    </row>
    <row r="187" spans="1:16">
      <c r="A18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87" s="1" t="str">
        <f>PROPER(TRIM(DadosBrutos[[#This Row],[nome]]))</f>
        <v>Renly Redwyne</v>
      </c>
      <c r="C187" s="1" t="str">
        <f>IF(LEN(SUBSTITUTE(SUBSTITUTE(SUBSTITUTE(DadosBrutos[[#This Row],[cpf]],".",""),"-","")," ",""))=11,DadosBrutos[[#This Row],[cpf]],"-")</f>
        <v>000.000.045-00</v>
      </c>
      <c r="D18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66</v>
      </c>
      <c r="E187" s="45">
        <f>IF(DadosBrutos[[#This Row],[data_nascimento]]="","-",DadosBrutos[[#This Row],[data_nascimento]])</f>
        <v>21954</v>
      </c>
      <c r="F187" s="1" t="str">
        <f>IF(ISNUMBER(SEARCH("|",DadosBrutos[[#This Row],[cidade]])),TRIM(LEFT(DadosBrutos[[#This Row],[cidade]],SEARCH("|",DadosBrutos[[#This Row],[cidade]])-1)),TRIM(DadosBrutos[[#This Row],[cidade]]))</f>
        <v>Porto Real</v>
      </c>
      <c r="G18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187" s="37">
        <f>IF(DadosBrutos[[#This Row],[renda_mensal]]="","-",IF(ISNUMBER(DadosBrutos[[#This Row],[renda_mensal]]),DadosBrutos[[#This Row],[renda_mensal]],IFERROR(VALUE(SUBSTITUTE(DadosBrutos[[#This Row],[renda_mensal]]," moedas","")),"-")))</f>
        <v>3400</v>
      </c>
      <c r="I187" s="37">
        <f>IF(DadosBrutos[[#This Row],[credito_tomado]]="","-",IF(ISNUMBER(DadosBrutos[[#This Row],[credito_tomado]]),DadosBrutos[[#This Row],[credito_tomado]],IFERROR(VALUE(SUBSTITUTE(DadosBrutos[[#This Row],[credito_tomado]]," moedas","")),"-")))</f>
        <v>78000</v>
      </c>
      <c r="J18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87" s="1">
        <f>IF(DadosBrutos[[#This Row],[qtde_batalhas]]="","-",IF(ISNUMBER(DadosBrutos[[#This Row],[qtde_batalhas]]),DadosBrutos[[#This Row],[qtde_batalhas]],IFERROR(VALUE(SUBSTITUTE(DadosBrutos[[#This Row],[qtde_batalhas]]," batalhas","")),"-")))</f>
        <v>9</v>
      </c>
      <c r="L187" s="1" t="str">
        <f>IF(DadosL[[#This Row],[qtde_batalhas]]="-","-",IF(DadosL[[#This Row],[qtde_batalhas]]&lt;=10,"Baixo",IF(DadosL[[#This Row],[qtde_batalhas]]&lt;=25,"Médio","Alto")))</f>
        <v>Baixo</v>
      </c>
      <c r="M18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51500</v>
      </c>
      <c r="N187" s="1" t="str">
        <f>IF(AND(DadosL[[#This Row],[nivel_risco]]="Alto",DadosL[[#This Row],[flag_inadimplente]]="Sim"),"Negado","Aprovado")</f>
        <v>Aprovado</v>
      </c>
      <c r="O187" s="1" t="str">
        <f>IF(AND(ISNUMBER(DadosL[[#This Row],[credito_tomado]]),DadosL[[#This Row],[credito_tomado]]&gt;50000,DadosL[[#This Row],[flag_inadimplente]]="Sim"),"Negado","Aprovado")</f>
        <v>Aprovado</v>
      </c>
      <c r="P187" s="46">
        <f>IF(OR(DadosL[[#This Row],[Analise_Risco]]="Negado",DadosL[[#This Row],[Analise_Credito]]="Negado"),0,IF(DadosL[[#This Row],[status]]="Ativo",DadosL[[#This Row],[valor_solicitado]]*1.08,0))</f>
        <v>0</v>
      </c>
    </row>
    <row r="188" spans="1:16">
      <c r="A18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88" s="1" t="str">
        <f>PROPER(TRIM(DadosBrutos[[#This Row],[nome]]))</f>
        <v>Asha Arryn</v>
      </c>
      <c r="C188" s="1" t="str">
        <f>IF(LEN(SUBSTITUTE(SUBSTITUTE(SUBSTITUTE(DadosBrutos[[#This Row],[cpf]],".",""),"-","")," ",""))=11,DadosBrutos[[#This Row],[cpf]],"-")</f>
        <v>000.000.122-00</v>
      </c>
      <c r="D18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49</v>
      </c>
      <c r="E188" s="45">
        <f>IF(DadosBrutos[[#This Row],[data_nascimento]]="","-",DadosBrutos[[#This Row],[data_nascimento]])</f>
        <v>28049</v>
      </c>
      <c r="F188" s="1" t="str">
        <f>IF(ISNUMBER(SEARCH("|",DadosBrutos[[#This Row],[cidade]])),TRIM(LEFT(DadosBrutos[[#This Row],[cidade]],SEARCH("|",DadosBrutos[[#This Row],[cidade]])-1)),TRIM(DadosBrutos[[#This Row],[cidade]]))</f>
        <v>Castelo Negro</v>
      </c>
      <c r="G18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88" s="37">
        <f>IF(DadosBrutos[[#This Row],[renda_mensal]]="","-",IF(ISNUMBER(DadosBrutos[[#This Row],[renda_mensal]]),DadosBrutos[[#This Row],[renda_mensal]],IFERROR(VALUE(SUBSTITUTE(DadosBrutos[[#This Row],[renda_mensal]]," moedas","")),"-")))</f>
        <v>25200</v>
      </c>
      <c r="I188" s="37">
        <f>IF(DadosBrutos[[#This Row],[credito_tomado]]="","-",IF(ISNUMBER(DadosBrutos[[#This Row],[credito_tomado]]),DadosBrutos[[#This Row],[credito_tomado]],IFERROR(VALUE(SUBSTITUTE(DadosBrutos[[#This Row],[credito_tomado]]," moedas","")),"-")))</f>
        <v>59500</v>
      </c>
      <c r="J18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88" s="1">
        <f>IF(DadosBrutos[[#This Row],[qtde_batalhas]]="","-",IF(ISNUMBER(DadosBrutos[[#This Row],[qtde_batalhas]]),DadosBrutos[[#This Row],[qtde_batalhas]],IFERROR(VALUE(SUBSTITUTE(DadosBrutos[[#This Row],[qtde_batalhas]]," batalhas","")),"-")))</f>
        <v>37</v>
      </c>
      <c r="L188" s="1" t="str">
        <f>IF(DadosL[[#This Row],[qtde_batalhas]]="-","-",IF(DadosL[[#This Row],[qtde_batalhas]]&lt;=10,"Baixo",IF(DadosL[[#This Row],[qtde_batalhas]]&lt;=25,"Médio","Alto")))</f>
        <v>Alto</v>
      </c>
      <c r="M18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86500</v>
      </c>
      <c r="N188" s="1" t="str">
        <f>IF(AND(DadosL[[#This Row],[nivel_risco]]="Alto",DadosL[[#This Row],[flag_inadimplente]]="Sim"),"Negado","Aprovado")</f>
        <v>Aprovado</v>
      </c>
      <c r="O188" s="1" t="str">
        <f>IF(AND(ISNUMBER(DadosL[[#This Row],[credito_tomado]]),DadosL[[#This Row],[credito_tomado]]&gt;50000,DadosL[[#This Row],[flag_inadimplente]]="Sim"),"Negado","Aprovado")</f>
        <v>Aprovado</v>
      </c>
      <c r="P188" s="46">
        <f>IF(OR(DadosL[[#This Row],[Analise_Risco]]="Negado",DadosL[[#This Row],[Analise_Credito]]="Negado"),0,IF(DadosL[[#This Row],[status]]="Ativo",DadosL[[#This Row],[valor_solicitado]]*1.08,0))</f>
        <v>0</v>
      </c>
    </row>
    <row r="189" spans="1:16">
      <c r="A18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89" s="1" t="str">
        <f>PROPER(TRIM(DadosBrutos[[#This Row],[nome]]))</f>
        <v>Podrick Florent</v>
      </c>
      <c r="C189" s="1" t="str">
        <f>IF(LEN(SUBSTITUTE(SUBSTITUTE(SUBSTITUTE(DadosBrutos[[#This Row],[cpf]],".",""),"-","")," ",""))=11,DadosBrutos[[#This Row],[cpf]],"-")</f>
        <v>000.000.354-00</v>
      </c>
      <c r="D18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60</v>
      </c>
      <c r="E189" s="45">
        <f>IF(DadosBrutos[[#This Row],[data_nascimento]]="","-",DadosBrutos[[#This Row],[data_nascimento]])</f>
        <v>24021</v>
      </c>
      <c r="F189" s="1" t="str">
        <f>IF(ISNUMBER(SEARCH("|",DadosBrutos[[#This Row],[cidade]])),TRIM(LEFT(DadosBrutos[[#This Row],[cidade]],SEARCH("|",DadosBrutos[[#This Row],[cidade]])-1)),TRIM(DadosBrutos[[#This Row],[cidade]]))</f>
        <v>Winterfell</v>
      </c>
      <c r="G18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89" s="37">
        <f>IF(DadosBrutos[[#This Row],[renda_mensal]]="","-",IF(ISNUMBER(DadosBrutos[[#This Row],[renda_mensal]]),DadosBrutos[[#This Row],[renda_mensal]],IFERROR(VALUE(SUBSTITUTE(DadosBrutos[[#This Row],[renda_mensal]]," moedas","")),"-")))</f>
        <v>22900</v>
      </c>
      <c r="I189" s="37">
        <f>IF(DadosBrutos[[#This Row],[credito_tomado]]="","-",IF(ISNUMBER(DadosBrutos[[#This Row],[credito_tomado]]),DadosBrutos[[#This Row],[credito_tomado]],IFERROR(VALUE(SUBSTITUTE(DadosBrutos[[#This Row],[credito_tomado]]," moedas","")),"-")))</f>
        <v>4500</v>
      </c>
      <c r="J18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189" s="1">
        <f>IF(DadosBrutos[[#This Row],[qtde_batalhas]]="","-",IF(ISNUMBER(DadosBrutos[[#This Row],[qtde_batalhas]]),DadosBrutos[[#This Row],[qtde_batalhas]],IFERROR(VALUE(SUBSTITUTE(DadosBrutos[[#This Row],[qtde_batalhas]]," batalhas","")),"-")))</f>
        <v>29</v>
      </c>
      <c r="L189" s="1" t="str">
        <f>IF(DadosL[[#This Row],[qtde_batalhas]]="-","-",IF(DadosL[[#This Row],[qtde_batalhas]]&lt;=10,"Baixo",IF(DadosL[[#This Row],[qtde_batalhas]]&lt;=25,"Médio","Alto")))</f>
        <v>Alto</v>
      </c>
      <c r="M18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43500</v>
      </c>
      <c r="N189" s="1" t="str">
        <f>IF(AND(DadosL[[#This Row],[nivel_risco]]="Alto",DadosL[[#This Row],[flag_inadimplente]]="Sim"),"Negado","Aprovado")</f>
        <v>Negado</v>
      </c>
      <c r="O189" s="1" t="str">
        <f>IF(AND(ISNUMBER(DadosL[[#This Row],[credito_tomado]]),DadosL[[#This Row],[credito_tomado]]&gt;50000,DadosL[[#This Row],[flag_inadimplente]]="Sim"),"Negado","Aprovado")</f>
        <v>Aprovado</v>
      </c>
      <c r="P189" s="46">
        <f>IF(OR(DadosL[[#This Row],[Analise_Risco]]="Negado",DadosL[[#This Row],[Analise_Credito]]="Negado"),0,IF(DadosL[[#This Row],[status]]="Ativo",DadosL[[#This Row],[valor_solicitado]]*1.08,0))</f>
        <v>0</v>
      </c>
    </row>
    <row r="190" spans="1:16">
      <c r="A19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90" s="1" t="str">
        <f>PROPER(TRIM(DadosBrutos[[#This Row],[nome]]))</f>
        <v>Daario Cerwyn</v>
      </c>
      <c r="C190" s="1" t="str">
        <f>IF(LEN(SUBSTITUTE(SUBSTITUTE(SUBSTITUTE(DadosBrutos[[#This Row],[cpf]],".",""),"-","")," ",""))=11,DadosBrutos[[#This Row],[cpf]],"-")</f>
        <v>-</v>
      </c>
      <c r="D19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60</v>
      </c>
      <c r="E190" s="45">
        <f>IF(DadosBrutos[[#This Row],[data_nascimento]]="","-",DadosBrutos[[#This Row],[data_nascimento]])</f>
        <v>24091</v>
      </c>
      <c r="F190" s="1" t="str">
        <f>IF(ISNUMBER(SEARCH("|",DadosBrutos[[#This Row],[cidade]])),TRIM(LEFT(DadosBrutos[[#This Row],[cidade]],SEARCH("|",DadosBrutos[[#This Row],[cidade]])-1)),TRIM(DadosBrutos[[#This Row],[cidade]]))</f>
        <v>Lannisporto</v>
      </c>
      <c r="G19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190" s="37">
        <f>IF(DadosBrutos[[#This Row],[renda_mensal]]="","-",IF(ISNUMBER(DadosBrutos[[#This Row],[renda_mensal]]),DadosBrutos[[#This Row],[renda_mensal]],IFERROR(VALUE(SUBSTITUTE(DadosBrutos[[#This Row],[renda_mensal]]," moedas","")),"-")))</f>
        <v>10100</v>
      </c>
      <c r="I190" s="37">
        <f>IF(DadosBrutos[[#This Row],[credito_tomado]]="","-",IF(ISNUMBER(DadosBrutos[[#This Row],[credito_tomado]]),DadosBrutos[[#This Row],[credito_tomado]],IFERROR(VALUE(SUBSTITUTE(DadosBrutos[[#This Row],[credito_tomado]]," moedas","")),"-")))</f>
        <v>55000</v>
      </c>
      <c r="J19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90" s="1">
        <f>IF(DadosBrutos[[#This Row],[qtde_batalhas]]="","-",IF(ISNUMBER(DadosBrutos[[#This Row],[qtde_batalhas]]),DadosBrutos[[#This Row],[qtde_batalhas]],IFERROR(VALUE(SUBSTITUTE(DadosBrutos[[#This Row],[qtde_batalhas]]," batalhas","")),"-")))</f>
        <v>26</v>
      </c>
      <c r="L190" s="1" t="str">
        <f>IF(DadosL[[#This Row],[qtde_batalhas]]="-","-",IF(DadosL[[#This Row],[qtde_batalhas]]&lt;=10,"Baixo",IF(DadosL[[#This Row],[qtde_batalhas]]&lt;=25,"Médio","Alto")))</f>
        <v>Alto</v>
      </c>
      <c r="M19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54000</v>
      </c>
      <c r="N190" s="1" t="str">
        <f>IF(AND(DadosL[[#This Row],[nivel_risco]]="Alto",DadosL[[#This Row],[flag_inadimplente]]="Sim"),"Negado","Aprovado")</f>
        <v>Aprovado</v>
      </c>
      <c r="O190" s="1" t="str">
        <f>IF(AND(ISNUMBER(DadosL[[#This Row],[credito_tomado]]),DadosL[[#This Row],[credito_tomado]]&gt;50000,DadosL[[#This Row],[flag_inadimplente]]="Sim"),"Negado","Aprovado")</f>
        <v>Aprovado</v>
      </c>
      <c r="P190" s="46">
        <f>IF(OR(DadosL[[#This Row],[Analise_Risco]]="Negado",DadosL[[#This Row],[Analise_Credito]]="Negado"),0,IF(DadosL[[#This Row],[status]]="Ativo",DadosL[[#This Row],[valor_solicitado]]*1.08,0))</f>
        <v>0</v>
      </c>
    </row>
    <row r="191" spans="1:16">
      <c r="A19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91" s="1" t="str">
        <f>PROPER(TRIM(DadosBrutos[[#This Row],[nome]]))</f>
        <v>Catelyn Tarly</v>
      </c>
      <c r="C191" s="1" t="str">
        <f>IF(LEN(SUBSTITUTE(SUBSTITUTE(SUBSTITUTE(DadosBrutos[[#This Row],[cpf]],".",""),"-","")," ",""))=11,DadosBrutos[[#This Row],[cpf]],"-")</f>
        <v>-</v>
      </c>
      <c r="D191" s="15" t="str">
        <f ca="1">IF(DadosBrutos[[#This Row],[idade]]="",IF(DadosBrutos[[#This Row],[data_nascimento]]="","-",YEAR(TODAY())-YEAR(DadosBrutos[[#This Row],[data_nascimento]])),IF(ISNUMBER(DadosBrutos[[#This Row],[idade]]),DadosBrutos[[#This Row],[idade]],"-"))</f>
        <v>-</v>
      </c>
      <c r="E191" s="45">
        <f>IF(DadosBrutos[[#This Row],[data_nascimento]]="","-",DadosBrutos[[#This Row],[data_nascimento]])</f>
        <v>36255</v>
      </c>
      <c r="F191" s="1" t="str">
        <f>IF(ISNUMBER(SEARCH("|",DadosBrutos[[#This Row],[cidade]])),TRIM(LEFT(DadosBrutos[[#This Row],[cidade]],SEARCH("|",DadosBrutos[[#This Row],[cidade]])-1)),TRIM(DadosBrutos[[#This Row],[cidade]]))</f>
        <v>Castelo Negro</v>
      </c>
      <c r="G19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91" s="37">
        <f>IF(DadosBrutos[[#This Row],[renda_mensal]]="","-",IF(ISNUMBER(DadosBrutos[[#This Row],[renda_mensal]]),DadosBrutos[[#This Row],[renda_mensal]],IFERROR(VALUE(SUBSTITUTE(DadosBrutos[[#This Row],[renda_mensal]]," moedas","")),"-")))</f>
        <v>14000</v>
      </c>
      <c r="I191" s="37">
        <f>IF(DadosBrutos[[#This Row],[credito_tomado]]="","-",IF(ISNUMBER(DadosBrutos[[#This Row],[credito_tomado]]),DadosBrutos[[#This Row],[credito_tomado]],IFERROR(VALUE(SUBSTITUTE(DadosBrutos[[#This Row],[credito_tomado]]," moedas","")),"-")))</f>
        <v>63500</v>
      </c>
      <c r="J19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91" s="1">
        <f>IF(DadosBrutos[[#This Row],[qtde_batalhas]]="","-",IF(ISNUMBER(DadosBrutos[[#This Row],[qtde_batalhas]]),DadosBrutos[[#This Row],[qtde_batalhas]],IFERROR(VALUE(SUBSTITUTE(DadosBrutos[[#This Row],[qtde_batalhas]]," batalhas","")),"-")))</f>
        <v>24</v>
      </c>
      <c r="L191" s="1" t="str">
        <f>IF(DadosL[[#This Row],[qtde_batalhas]]="-","-",IF(DadosL[[#This Row],[qtde_batalhas]]&lt;=10,"Baixo",IF(DadosL[[#This Row],[qtde_batalhas]]&lt;=25,"Médio","Alto")))</f>
        <v>Médio</v>
      </c>
      <c r="M19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87000</v>
      </c>
      <c r="N191" s="1" t="str">
        <f>IF(AND(DadosL[[#This Row],[nivel_risco]]="Alto",DadosL[[#This Row],[flag_inadimplente]]="Sim"),"Negado","Aprovado")</f>
        <v>Aprovado</v>
      </c>
      <c r="O191" s="1" t="str">
        <f>IF(AND(ISNUMBER(DadosL[[#This Row],[credito_tomado]]),DadosL[[#This Row],[credito_tomado]]&gt;50000,DadosL[[#This Row],[flag_inadimplente]]="Sim"),"Negado","Aprovado")</f>
        <v>Aprovado</v>
      </c>
      <c r="P191" s="46">
        <f>IF(OR(DadosL[[#This Row],[Analise_Risco]]="Negado",DadosL[[#This Row],[Analise_Credito]]="Negado"),0,IF(DadosL[[#This Row],[status]]="Ativo",DadosL[[#This Row],[valor_solicitado]]*1.08,0))</f>
        <v>93960</v>
      </c>
    </row>
    <row r="192" spans="1:16">
      <c r="A19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92" s="1" t="str">
        <f>PROPER(TRIM(DadosBrutos[[#This Row],[nome]]))</f>
        <v>Rickon Lannister</v>
      </c>
      <c r="C192" s="1" t="str">
        <f>IF(LEN(SUBSTITUTE(SUBSTITUTE(SUBSTITUTE(DadosBrutos[[#This Row],[cpf]],".",""),"-","")," ",""))=11,DadosBrutos[[#This Row],[cpf]],"-")</f>
        <v>000.000.197-00</v>
      </c>
      <c r="D19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53</v>
      </c>
      <c r="E192" s="45">
        <f>IF(DadosBrutos[[#This Row],[data_nascimento]]="","-",DadosBrutos[[#This Row],[data_nascimento]])</f>
        <v>26898</v>
      </c>
      <c r="F192" s="1" t="str">
        <f>IF(ISNUMBER(SEARCH("|",DadosBrutos[[#This Row],[cidade]])),TRIM(LEFT(DadosBrutos[[#This Row],[cidade]],SEARCH("|",DadosBrutos[[#This Row],[cidade]])-1)),TRIM(DadosBrutos[[#This Row],[cidade]]))</f>
        <v>Fosso Cailin</v>
      </c>
      <c r="G19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92" s="37">
        <f>IF(DadosBrutos[[#This Row],[renda_mensal]]="","-",IF(ISNUMBER(DadosBrutos[[#This Row],[renda_mensal]]),DadosBrutos[[#This Row],[renda_mensal]],IFERROR(VALUE(SUBSTITUTE(DadosBrutos[[#This Row],[renda_mensal]]," moedas","")),"-")))</f>
        <v>27100</v>
      </c>
      <c r="I192" s="37">
        <f>IF(DadosBrutos[[#This Row],[credito_tomado]]="","-",IF(ISNUMBER(DadosBrutos[[#This Row],[credito_tomado]]),DadosBrutos[[#This Row],[credito_tomado]],IFERROR(VALUE(SUBSTITUTE(DadosBrutos[[#This Row],[credito_tomado]]," moedas","")),"-")))</f>
        <v>68000</v>
      </c>
      <c r="J19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92" s="1">
        <f>IF(DadosBrutos[[#This Row],[qtde_batalhas]]="","-",IF(ISNUMBER(DadosBrutos[[#This Row],[qtde_batalhas]]),DadosBrutos[[#This Row],[qtde_batalhas]],IFERROR(VALUE(SUBSTITUTE(DadosBrutos[[#This Row],[qtde_batalhas]]," batalhas","")),"-")))</f>
        <v>40</v>
      </c>
      <c r="L192" s="1" t="str">
        <f>IF(DadosL[[#This Row],[qtde_batalhas]]="-","-",IF(DadosL[[#This Row],[qtde_batalhas]]&lt;=10,"Baixo",IF(DadosL[[#This Row],[qtde_batalhas]]&lt;=25,"Médio","Alto")))</f>
        <v>Alto</v>
      </c>
      <c r="M19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49500</v>
      </c>
      <c r="N192" s="1" t="str">
        <f>IF(AND(DadosL[[#This Row],[nivel_risco]]="Alto",DadosL[[#This Row],[flag_inadimplente]]="Sim"),"Negado","Aprovado")</f>
        <v>Aprovado</v>
      </c>
      <c r="O192" s="1" t="str">
        <f>IF(AND(ISNUMBER(DadosL[[#This Row],[credito_tomado]]),DadosL[[#This Row],[credito_tomado]]&gt;50000,DadosL[[#This Row],[flag_inadimplente]]="Sim"),"Negado","Aprovado")</f>
        <v>Aprovado</v>
      </c>
      <c r="P192" s="46">
        <f>IF(OR(DadosL[[#This Row],[Analise_Risco]]="Negado",DadosL[[#This Row],[Analise_Credito]]="Negado"),0,IF(DadosL[[#This Row],[status]]="Ativo",DadosL[[#This Row],[valor_solicitado]]*1.08,0))</f>
        <v>53460</v>
      </c>
    </row>
    <row r="193" spans="1:16">
      <c r="A19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93" s="1" t="str">
        <f>PROPER(TRIM(DadosBrutos[[#This Row],[nome]]))</f>
        <v>Jorah Marbrand</v>
      </c>
      <c r="C193" s="1" t="str">
        <f>IF(LEN(SUBSTITUTE(SUBSTITUTE(SUBSTITUTE(DadosBrutos[[#This Row],[cpf]],".",""),"-","")," ",""))=11,DadosBrutos[[#This Row],[cpf]],"-")</f>
        <v>000.000.168-00</v>
      </c>
      <c r="D19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37</v>
      </c>
      <c r="E193" s="45">
        <f>IF(DadosBrutos[[#This Row],[data_nascimento]]="","-",DadosBrutos[[#This Row],[data_nascimento]])</f>
        <v>32414</v>
      </c>
      <c r="F193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19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193" s="37">
        <f>IF(DadosBrutos[[#This Row],[renda_mensal]]="","-",IF(ISNUMBER(DadosBrutos[[#This Row],[renda_mensal]]),DadosBrutos[[#This Row],[renda_mensal]],IFERROR(VALUE(SUBSTITUTE(DadosBrutos[[#This Row],[renda_mensal]]," moedas","")),"-")))</f>
        <v>12800</v>
      </c>
      <c r="I193" s="37">
        <f>IF(DadosBrutos[[#This Row],[credito_tomado]]="","-",IF(ISNUMBER(DadosBrutos[[#This Row],[credito_tomado]]),DadosBrutos[[#This Row],[credito_tomado]],IFERROR(VALUE(SUBSTITUTE(DadosBrutos[[#This Row],[credito_tomado]]," moedas","")),"-")))</f>
        <v>76500</v>
      </c>
      <c r="J19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93" s="1">
        <f>IF(DadosBrutos[[#This Row],[qtde_batalhas]]="","-",IF(ISNUMBER(DadosBrutos[[#This Row],[qtde_batalhas]]),DadosBrutos[[#This Row],[qtde_batalhas]],IFERROR(VALUE(SUBSTITUTE(DadosBrutos[[#This Row],[qtde_batalhas]]," batalhas","")),"-")))</f>
        <v>30</v>
      </c>
      <c r="L193" s="1" t="str">
        <f>IF(DadosL[[#This Row],[qtde_batalhas]]="-","-",IF(DadosL[[#This Row],[qtde_batalhas]]&lt;=10,"Baixo",IF(DadosL[[#This Row],[qtde_batalhas]]&lt;=25,"Médio","Alto")))</f>
        <v>Alto</v>
      </c>
      <c r="M19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18500</v>
      </c>
      <c r="N193" s="1" t="str">
        <f>IF(AND(DadosL[[#This Row],[nivel_risco]]="Alto",DadosL[[#This Row],[flag_inadimplente]]="Sim"),"Negado","Aprovado")</f>
        <v>Aprovado</v>
      </c>
      <c r="O193" s="1" t="str">
        <f>IF(AND(ISNUMBER(DadosL[[#This Row],[credito_tomado]]),DadosL[[#This Row],[credito_tomado]]&gt;50000,DadosL[[#This Row],[flag_inadimplente]]="Sim"),"Negado","Aprovado")</f>
        <v>Aprovado</v>
      </c>
      <c r="P193" s="46">
        <f>IF(OR(DadosL[[#This Row],[Analise_Risco]]="Negado",DadosL[[#This Row],[Analise_Credito]]="Negado"),0,IF(DadosL[[#This Row],[status]]="Ativo",DadosL[[#This Row],[valor_solicitado]]*1.08,0))</f>
        <v>19980</v>
      </c>
    </row>
    <row r="194" spans="1:16">
      <c r="A19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94" s="1" t="str">
        <f>PROPER(TRIM(DadosBrutos[[#This Row],[nome]]))</f>
        <v>Renly Seaworth</v>
      </c>
      <c r="C194" s="1" t="str">
        <f>IF(LEN(SUBSTITUTE(SUBSTITUTE(SUBSTITUTE(DadosBrutos[[#This Row],[cpf]],".",""),"-","")," ",""))=11,DadosBrutos[[#This Row],[cpf]],"-")</f>
        <v>-</v>
      </c>
      <c r="D19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18</v>
      </c>
      <c r="E194" s="45">
        <f>IF(DadosBrutos[[#This Row],[data_nascimento]]="","-",DadosBrutos[[#This Row],[data_nascimento]])</f>
        <v>39342</v>
      </c>
      <c r="F194" s="1" t="str">
        <f>IF(ISNUMBER(SEARCH("|",DadosBrutos[[#This Row],[cidade]])),TRIM(LEFT(DadosBrutos[[#This Row],[cidade]],SEARCH("|",DadosBrutos[[#This Row],[cidade]])-1)),TRIM(DadosBrutos[[#This Row],[cidade]]))</f>
        <v>Vilavelha</v>
      </c>
      <c r="G19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194" s="37">
        <f>IF(DadosBrutos[[#This Row],[renda_mensal]]="","-",IF(ISNUMBER(DadosBrutos[[#This Row],[renda_mensal]]),DadosBrutos[[#This Row],[renda_mensal]],IFERROR(VALUE(SUBSTITUTE(DadosBrutos[[#This Row],[renda_mensal]]," moedas","")),"-")))</f>
        <v>28900</v>
      </c>
      <c r="I194" s="37">
        <f>IF(DadosBrutos[[#This Row],[credito_tomado]]="","-",IF(ISNUMBER(DadosBrutos[[#This Row],[credito_tomado]]),DadosBrutos[[#This Row],[credito_tomado]],IFERROR(VALUE(SUBSTITUTE(DadosBrutos[[#This Row],[credito_tomado]]," moedas","")),"-")))</f>
        <v>22000</v>
      </c>
      <c r="J19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94" s="1">
        <f>IF(DadosBrutos[[#This Row],[qtde_batalhas]]="","-",IF(ISNUMBER(DadosBrutos[[#This Row],[qtde_batalhas]]),DadosBrutos[[#This Row],[qtde_batalhas]],IFERROR(VALUE(SUBSTITUTE(DadosBrutos[[#This Row],[qtde_batalhas]]," batalhas","")),"-")))</f>
        <v>23</v>
      </c>
      <c r="L194" s="1" t="str">
        <f>IF(DadosL[[#This Row],[qtde_batalhas]]="-","-",IF(DadosL[[#This Row],[qtde_batalhas]]&lt;=10,"Baixo",IF(DadosL[[#This Row],[qtde_batalhas]]&lt;=25,"Médio","Alto")))</f>
        <v>Médio</v>
      </c>
      <c r="M19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90000</v>
      </c>
      <c r="N194" s="1" t="str">
        <f>IF(AND(DadosL[[#This Row],[nivel_risco]]="Alto",DadosL[[#This Row],[flag_inadimplente]]="Sim"),"Negado","Aprovado")</f>
        <v>Aprovado</v>
      </c>
      <c r="O194" s="1" t="str">
        <f>IF(AND(ISNUMBER(DadosL[[#This Row],[credito_tomado]]),DadosL[[#This Row],[credito_tomado]]&gt;50000,DadosL[[#This Row],[flag_inadimplente]]="Sim"),"Negado","Aprovado")</f>
        <v>Aprovado</v>
      </c>
      <c r="P194" s="46">
        <f>IF(OR(DadosL[[#This Row],[Analise_Risco]]="Negado",DadosL[[#This Row],[Analise_Credito]]="Negado"),0,IF(DadosL[[#This Row],[status]]="Ativo",DadosL[[#This Row],[valor_solicitado]]*1.08,0))</f>
        <v>97200</v>
      </c>
    </row>
    <row r="195" spans="1:16">
      <c r="A19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95" s="1" t="str">
        <f>PROPER(TRIM(DadosBrutos[[#This Row],[nome]]))</f>
        <v>Lyanna Marbrand</v>
      </c>
      <c r="C195" s="1" t="str">
        <f>IF(LEN(SUBSTITUTE(SUBSTITUTE(SUBSTITUTE(DadosBrutos[[#This Row],[cpf]],".",""),"-","")," ",""))=11,DadosBrutos[[#This Row],[cpf]],"-")</f>
        <v>000.000.283-00</v>
      </c>
      <c r="D19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27</v>
      </c>
      <c r="E195" s="45">
        <f>IF(DadosBrutos[[#This Row],[data_nascimento]]="","-",DadosBrutos[[#This Row],[data_nascimento]])</f>
        <v>36308</v>
      </c>
      <c r="F195" s="1" t="str">
        <f>IF(ISNUMBER(SEARCH("|",DadosBrutos[[#This Row],[cidade]])),TRIM(LEFT(DadosBrutos[[#This Row],[cidade]],SEARCH("|",DadosBrutos[[#This Row],[cidade]])-1)),TRIM(DadosBrutos[[#This Row],[cidade]]))</f>
        <v>Correrrio</v>
      </c>
      <c r="G19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195" s="37">
        <f>IF(DadosBrutos[[#This Row],[renda_mensal]]="","-",IF(ISNUMBER(DadosBrutos[[#This Row],[renda_mensal]]),DadosBrutos[[#This Row],[renda_mensal]],IFERROR(VALUE(SUBSTITUTE(DadosBrutos[[#This Row],[renda_mensal]]," moedas","")),"-")))</f>
        <v>5300</v>
      </c>
      <c r="I195" s="37">
        <f>IF(DadosBrutos[[#This Row],[credito_tomado]]="","-",IF(ISNUMBER(DadosBrutos[[#This Row],[credito_tomado]]),DadosBrutos[[#This Row],[credito_tomado]],IFERROR(VALUE(SUBSTITUTE(DadosBrutos[[#This Row],[credito_tomado]]," moedas","")),"-")))</f>
        <v>22000</v>
      </c>
      <c r="J19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95" s="1">
        <f>IF(DadosBrutos[[#This Row],[qtde_batalhas]]="","-",IF(ISNUMBER(DadosBrutos[[#This Row],[qtde_batalhas]]),DadosBrutos[[#This Row],[qtde_batalhas]],IFERROR(VALUE(SUBSTITUTE(DadosBrutos[[#This Row],[qtde_batalhas]]," batalhas","")),"-")))</f>
        <v>11</v>
      </c>
      <c r="L195" s="1" t="str">
        <f>IF(DadosL[[#This Row],[qtde_batalhas]]="-","-",IF(DadosL[[#This Row],[qtde_batalhas]]&lt;=10,"Baixo",IF(DadosL[[#This Row],[qtde_batalhas]]&lt;=25,"Médio","Alto")))</f>
        <v>Médio</v>
      </c>
      <c r="M19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4500</v>
      </c>
      <c r="N195" s="1" t="str">
        <f>IF(AND(DadosL[[#This Row],[nivel_risco]]="Alto",DadosL[[#This Row],[flag_inadimplente]]="Sim"),"Negado","Aprovado")</f>
        <v>Aprovado</v>
      </c>
      <c r="O195" s="1" t="str">
        <f>IF(AND(ISNUMBER(DadosL[[#This Row],[credito_tomado]]),DadosL[[#This Row],[credito_tomado]]&gt;50000,DadosL[[#This Row],[flag_inadimplente]]="Sim"),"Negado","Aprovado")</f>
        <v>Aprovado</v>
      </c>
      <c r="P195" s="46">
        <f>IF(OR(DadosL[[#This Row],[Analise_Risco]]="Negado",DadosL[[#This Row],[Analise_Credito]]="Negado"),0,IF(DadosL[[#This Row],[status]]="Ativo",DadosL[[#This Row],[valor_solicitado]]*1.08,0))</f>
        <v>4860</v>
      </c>
    </row>
    <row r="196" spans="1:16">
      <c r="A19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96" s="1" t="str">
        <f>PROPER(TRIM(DadosBrutos[[#This Row],[nome]]))</f>
        <v>Robert Mallister</v>
      </c>
      <c r="C196" s="1" t="str">
        <f>IF(LEN(SUBSTITUTE(SUBSTITUTE(SUBSTITUTE(DadosBrutos[[#This Row],[cpf]],".",""),"-","")," ",""))=11,DadosBrutos[[#This Row],[cpf]],"-")</f>
        <v>000.000.037-00</v>
      </c>
      <c r="D19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25</v>
      </c>
      <c r="E196" s="45">
        <f>IF(DadosBrutos[[#This Row],[data_nascimento]]="","-",DadosBrutos[[#This Row],[data_nascimento]])</f>
        <v>36824</v>
      </c>
      <c r="F196" s="1" t="str">
        <f>IF(ISNUMBER(SEARCH("|",DadosBrutos[[#This Row],[cidade]])),TRIM(LEFT(DadosBrutos[[#This Row],[cidade]],SEARCH("|",DadosBrutos[[#This Row],[cidade]])-1)),TRIM(DadosBrutos[[#This Row],[cidade]]))</f>
        <v>Castelo Negro</v>
      </c>
      <c r="G19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196" s="37">
        <f>IF(DadosBrutos[[#This Row],[renda_mensal]]="","-",IF(ISNUMBER(DadosBrutos[[#This Row],[renda_mensal]]),DadosBrutos[[#This Row],[renda_mensal]],IFERROR(VALUE(SUBSTITUTE(DadosBrutos[[#This Row],[renda_mensal]]," moedas","")),"-")))</f>
        <v>18300</v>
      </c>
      <c r="I196" s="37">
        <f>IF(DadosBrutos[[#This Row],[credito_tomado]]="","-",IF(ISNUMBER(DadosBrutos[[#This Row],[credito_tomado]]),DadosBrutos[[#This Row],[credito_tomado]],IFERROR(VALUE(SUBSTITUTE(DadosBrutos[[#This Row],[credito_tomado]]," moedas","")),"-")))</f>
        <v>41000</v>
      </c>
      <c r="J19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96" s="1">
        <f>IF(DadosBrutos[[#This Row],[qtde_batalhas]]="","-",IF(ISNUMBER(DadosBrutos[[#This Row],[qtde_batalhas]]),DadosBrutos[[#This Row],[qtde_batalhas]],IFERROR(VALUE(SUBSTITUTE(DadosBrutos[[#This Row],[qtde_batalhas]]," batalhas","")),"-")))</f>
        <v>9</v>
      </c>
      <c r="L196" s="1" t="str">
        <f>IF(DadosL[[#This Row],[qtde_batalhas]]="-","-",IF(DadosL[[#This Row],[qtde_batalhas]]&lt;=10,"Baixo",IF(DadosL[[#This Row],[qtde_batalhas]]&lt;=25,"Médio","Alto")))</f>
        <v>Baixo</v>
      </c>
      <c r="M19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32500</v>
      </c>
      <c r="N196" s="1" t="str">
        <f>IF(AND(DadosL[[#This Row],[nivel_risco]]="Alto",DadosL[[#This Row],[flag_inadimplente]]="Sim"),"Negado","Aprovado")</f>
        <v>Aprovado</v>
      </c>
      <c r="O196" s="1" t="str">
        <f>IF(AND(ISNUMBER(DadosL[[#This Row],[credito_tomado]]),DadosL[[#This Row],[credito_tomado]]&gt;50000,DadosL[[#This Row],[flag_inadimplente]]="Sim"),"Negado","Aprovado")</f>
        <v>Aprovado</v>
      </c>
      <c r="P196" s="46">
        <f>IF(OR(DadosL[[#This Row],[Analise_Risco]]="Negado",DadosL[[#This Row],[Analise_Credito]]="Negado"),0,IF(DadosL[[#This Row],[status]]="Ativo",DadosL[[#This Row],[valor_solicitado]]*1.08,0))</f>
        <v>35100</v>
      </c>
    </row>
    <row r="197" spans="1:16">
      <c r="A19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97" s="1" t="str">
        <f>PROPER(TRIM(DadosBrutos[[#This Row],[nome]]))</f>
        <v>Ramsay Dayne</v>
      </c>
      <c r="C197" s="1" t="str">
        <f>IF(LEN(SUBSTITUTE(SUBSTITUTE(SUBSTITUTE(DadosBrutos[[#This Row],[cpf]],".",""),"-","")," ",""))=11,DadosBrutos[[#This Row],[cpf]],"-")</f>
        <v>000.000.224-00</v>
      </c>
      <c r="D19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55</v>
      </c>
      <c r="E197" s="45">
        <f>IF(DadosBrutos[[#This Row],[data_nascimento]]="","-",DadosBrutos[[#This Row],[data_nascimento]])</f>
        <v>26103</v>
      </c>
      <c r="F197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19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197" s="37">
        <f>IF(DadosBrutos[[#This Row],[renda_mensal]]="","-",IF(ISNUMBER(DadosBrutos[[#This Row],[renda_mensal]]),DadosBrutos[[#This Row],[renda_mensal]],IFERROR(VALUE(SUBSTITUTE(DadosBrutos[[#This Row],[renda_mensal]]," moedas","")),"-")))</f>
        <v>9600</v>
      </c>
      <c r="I197" s="37">
        <f>IF(DadosBrutos[[#This Row],[credito_tomado]]="","-",IF(ISNUMBER(DadosBrutos[[#This Row],[credito_tomado]]),DadosBrutos[[#This Row],[credito_tomado]],IFERROR(VALUE(SUBSTITUTE(DadosBrutos[[#This Row],[credito_tomado]]," moedas","")),"-")))</f>
        <v>43000</v>
      </c>
      <c r="J19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97" s="1">
        <f>IF(DadosBrutos[[#This Row],[qtde_batalhas]]="","-",IF(ISNUMBER(DadosBrutos[[#This Row],[qtde_batalhas]]),DadosBrutos[[#This Row],[qtde_batalhas]],IFERROR(VALUE(SUBSTITUTE(DadosBrutos[[#This Row],[qtde_batalhas]]," batalhas","")),"-")))</f>
        <v>36</v>
      </c>
      <c r="L197" s="1" t="str">
        <f>IF(DadosL[[#This Row],[qtde_batalhas]]="-","-",IF(DadosL[[#This Row],[qtde_batalhas]]&lt;=10,"Baixo",IF(DadosL[[#This Row],[qtde_batalhas]]&lt;=25,"Médio","Alto")))</f>
        <v>Alto</v>
      </c>
      <c r="M19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67500</v>
      </c>
      <c r="N197" s="1" t="str">
        <f>IF(AND(DadosL[[#This Row],[nivel_risco]]="Alto",DadosL[[#This Row],[flag_inadimplente]]="Sim"),"Negado","Aprovado")</f>
        <v>Aprovado</v>
      </c>
      <c r="O197" s="1" t="str">
        <f>IF(AND(ISNUMBER(DadosL[[#This Row],[credito_tomado]]),DadosL[[#This Row],[credito_tomado]]&gt;50000,DadosL[[#This Row],[flag_inadimplente]]="Sim"),"Negado","Aprovado")</f>
        <v>Aprovado</v>
      </c>
      <c r="P197" s="46">
        <f>IF(OR(DadosL[[#This Row],[Analise_Risco]]="Negado",DadosL[[#This Row],[Analise_Credito]]="Negado"),0,IF(DadosL[[#This Row],[status]]="Ativo",DadosL[[#This Row],[valor_solicitado]]*1.08,0))</f>
        <v>72900</v>
      </c>
    </row>
    <row r="198" spans="1:16">
      <c r="A19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198" s="1" t="str">
        <f>PROPER(TRIM(DadosBrutos[[#This Row],[nome]]))</f>
        <v>Brienne Karstark</v>
      </c>
      <c r="C198" s="1" t="str">
        <f>IF(LEN(SUBSTITUTE(SUBSTITUTE(SUBSTITUTE(DadosBrutos[[#This Row],[cpf]],".",""),"-","")," ",""))=11,DadosBrutos[[#This Row],[cpf]],"-")</f>
        <v>000.000.031-00</v>
      </c>
      <c r="D19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23</v>
      </c>
      <c r="E198" s="45">
        <f>IF(DadosBrutos[[#This Row],[data_nascimento]]="","-",DadosBrutos[[#This Row],[data_nascimento]])</f>
        <v>37530</v>
      </c>
      <c r="F198" s="1" t="str">
        <f>IF(ISNUMBER(SEARCH("|",DadosBrutos[[#This Row],[cidade]])),TRIM(LEFT(DadosBrutos[[#This Row],[cidade]],SEARCH("|",DadosBrutos[[#This Row],[cidade]])-1)),TRIM(DadosBrutos[[#This Row],[cidade]]))</f>
        <v>Pyke</v>
      </c>
      <c r="G19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198" s="37">
        <f>IF(DadosBrutos[[#This Row],[renda_mensal]]="","-",IF(ISNUMBER(DadosBrutos[[#This Row],[renda_mensal]]),DadosBrutos[[#This Row],[renda_mensal]],IFERROR(VALUE(SUBSTITUTE(DadosBrutos[[#This Row],[renda_mensal]]," moedas","")),"-")))</f>
        <v>10700</v>
      </c>
      <c r="I198" s="37">
        <f>IF(DadosBrutos[[#This Row],[credito_tomado]]="","-",IF(ISNUMBER(DadosBrutos[[#This Row],[credito_tomado]]),DadosBrutos[[#This Row],[credito_tomado]],IFERROR(VALUE(SUBSTITUTE(DadosBrutos[[#This Row],[credito_tomado]]," moedas","")),"-")))</f>
        <v>15000</v>
      </c>
      <c r="J19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98" s="1">
        <f>IF(DadosBrutos[[#This Row],[qtde_batalhas]]="","-",IF(ISNUMBER(DadosBrutos[[#This Row],[qtde_batalhas]]),DadosBrutos[[#This Row],[qtde_batalhas]],IFERROR(VALUE(SUBSTITUTE(DadosBrutos[[#This Row],[qtde_batalhas]]," batalhas","")),"-")))</f>
        <v>42</v>
      </c>
      <c r="L198" s="1" t="str">
        <f>IF(DadosL[[#This Row],[qtde_batalhas]]="-","-",IF(DadosL[[#This Row],[qtde_batalhas]]&lt;=10,"Baixo",IF(DadosL[[#This Row],[qtde_batalhas]]&lt;=25,"Médio","Alto")))</f>
        <v>Alto</v>
      </c>
      <c r="M19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81500</v>
      </c>
      <c r="N198" s="1" t="str">
        <f>IF(AND(DadosL[[#This Row],[nivel_risco]]="Alto",DadosL[[#This Row],[flag_inadimplente]]="Sim"),"Negado","Aprovado")</f>
        <v>Aprovado</v>
      </c>
      <c r="O198" s="1" t="str">
        <f>IF(AND(ISNUMBER(DadosL[[#This Row],[credito_tomado]]),DadosL[[#This Row],[credito_tomado]]&gt;50000,DadosL[[#This Row],[flag_inadimplente]]="Sim"),"Negado","Aprovado")</f>
        <v>Aprovado</v>
      </c>
      <c r="P198" s="46">
        <f>IF(OR(DadosL[[#This Row],[Analise_Risco]]="Negado",DadosL[[#This Row],[Analise_Credito]]="Negado"),0,IF(DadosL[[#This Row],[status]]="Ativo",DadosL[[#This Row],[valor_solicitado]]*1.08,0))</f>
        <v>88020</v>
      </c>
    </row>
    <row r="199" spans="1:16">
      <c r="A19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199" s="1" t="str">
        <f>PROPER(TRIM(DadosBrutos[[#This Row],[nome]]))</f>
        <v>Tormund Greyjoy</v>
      </c>
      <c r="C199" s="1" t="str">
        <f>IF(LEN(SUBSTITUTE(SUBSTITUTE(SUBSTITUTE(DadosBrutos[[#This Row],[cpf]],".",""),"-","")," ",""))=11,DadosBrutos[[#This Row],[cpf]],"-")</f>
        <v>000.000.009-00</v>
      </c>
      <c r="D19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58</v>
      </c>
      <c r="E199" s="45">
        <f>IF(DadosBrutos[[#This Row],[data_nascimento]]="","-",DadosBrutos[[#This Row],[data_nascimento]])</f>
        <v>24872</v>
      </c>
      <c r="F199" s="1" t="str">
        <f>IF(ISNUMBER(SEARCH("|",DadosBrutos[[#This Row],[cidade]])),TRIM(LEFT(DadosBrutos[[#This Row],[cidade]],SEARCH("|",DadosBrutos[[#This Row],[cidade]])-1)),TRIM(DadosBrutos[[#This Row],[cidade]]))</f>
        <v>Pyke</v>
      </c>
      <c r="G19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199" s="37">
        <f>IF(DadosBrutos[[#This Row],[renda_mensal]]="","-",IF(ISNUMBER(DadosBrutos[[#This Row],[renda_mensal]]),DadosBrutos[[#This Row],[renda_mensal]],IFERROR(VALUE(SUBSTITUTE(DadosBrutos[[#This Row],[renda_mensal]]," moedas","")),"-")))</f>
        <v>12500</v>
      </c>
      <c r="I199" s="37">
        <f>IF(DadosBrutos[[#This Row],[credito_tomado]]="","-",IF(ISNUMBER(DadosBrutos[[#This Row],[credito_tomado]]),DadosBrutos[[#This Row],[credito_tomado]],IFERROR(VALUE(SUBSTITUTE(DadosBrutos[[#This Row],[credito_tomado]]," moedas","")),"-")))</f>
        <v>44500</v>
      </c>
      <c r="J19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199" s="1">
        <f>IF(DadosBrutos[[#This Row],[qtde_batalhas]]="","-",IF(ISNUMBER(DadosBrutos[[#This Row],[qtde_batalhas]]),DadosBrutos[[#This Row],[qtde_batalhas]],IFERROR(VALUE(SUBSTITUTE(DadosBrutos[[#This Row],[qtde_batalhas]]," batalhas","")),"-")))</f>
        <v>13</v>
      </c>
      <c r="L199" s="1" t="str">
        <f>IF(DadosL[[#This Row],[qtde_batalhas]]="-","-",IF(DadosL[[#This Row],[qtde_batalhas]]&lt;=10,"Baixo",IF(DadosL[[#This Row],[qtde_batalhas]]&lt;=25,"Médio","Alto")))</f>
        <v>Médio</v>
      </c>
      <c r="M19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16000</v>
      </c>
      <c r="N199" s="1" t="str">
        <f>IF(AND(DadosL[[#This Row],[nivel_risco]]="Alto",DadosL[[#This Row],[flag_inadimplente]]="Sim"),"Negado","Aprovado")</f>
        <v>Aprovado</v>
      </c>
      <c r="O199" s="1" t="str">
        <f>IF(AND(ISNUMBER(DadosL[[#This Row],[credito_tomado]]),DadosL[[#This Row],[credito_tomado]]&gt;50000,DadosL[[#This Row],[flag_inadimplente]]="Sim"),"Negado","Aprovado")</f>
        <v>Aprovado</v>
      </c>
      <c r="P199" s="46">
        <f>IF(OR(DadosL[[#This Row],[Analise_Risco]]="Negado",DadosL[[#This Row],[Analise_Credito]]="Negado"),0,IF(DadosL[[#This Row],[status]]="Ativo",DadosL[[#This Row],[valor_solicitado]]*1.08,0))</f>
        <v>0</v>
      </c>
    </row>
    <row r="200" spans="1:16">
      <c r="A20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00" s="1" t="str">
        <f>PROPER(TRIM(DadosBrutos[[#This Row],[nome]]))</f>
        <v>Jaime Yronwood</v>
      </c>
      <c r="C200" s="1" t="str">
        <f>IF(LEN(SUBSTITUTE(SUBSTITUTE(SUBSTITUTE(DadosBrutos[[#This Row],[cpf]],".",""),"-","")," ",""))=11,DadosBrutos[[#This Row],[cpf]],"-")</f>
        <v>-</v>
      </c>
      <c r="D20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24</v>
      </c>
      <c r="E200" s="45" t="str">
        <f>IF(DadosBrutos[[#This Row],[data_nascimento]]="","-",DadosBrutos[[#This Row],[data_nascimento]])</f>
        <v>-</v>
      </c>
      <c r="F200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20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200" s="37">
        <f>IF(DadosBrutos[[#This Row],[renda_mensal]]="","-",IF(ISNUMBER(DadosBrutos[[#This Row],[renda_mensal]]),DadosBrutos[[#This Row],[renda_mensal]],IFERROR(VALUE(SUBSTITUTE(DadosBrutos[[#This Row],[renda_mensal]]," moedas","")),"-")))</f>
        <v>17000</v>
      </c>
      <c r="I200" s="37">
        <f>IF(DadosBrutos[[#This Row],[credito_tomado]]="","-",IF(ISNUMBER(DadosBrutos[[#This Row],[credito_tomado]]),DadosBrutos[[#This Row],[credito_tomado]],IFERROR(VALUE(SUBSTITUTE(DadosBrutos[[#This Row],[credito_tomado]]," moedas","")),"-")))</f>
        <v>41000</v>
      </c>
      <c r="J20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00" s="1">
        <f>IF(DadosBrutos[[#This Row],[qtde_batalhas]]="","-",IF(ISNUMBER(DadosBrutos[[#This Row],[qtde_batalhas]]),DadosBrutos[[#This Row],[qtde_batalhas]],IFERROR(VALUE(SUBSTITUTE(DadosBrutos[[#This Row],[qtde_batalhas]]," batalhas","")),"-")))</f>
        <v>37</v>
      </c>
      <c r="L200" s="1" t="str">
        <f>IF(DadosL[[#This Row],[qtde_batalhas]]="-","-",IF(DadosL[[#This Row],[qtde_batalhas]]&lt;=10,"Baixo",IF(DadosL[[#This Row],[qtde_batalhas]]&lt;=25,"Médio","Alto")))</f>
        <v>Alto</v>
      </c>
      <c r="M20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33000</v>
      </c>
      <c r="N200" s="1" t="str">
        <f>IF(AND(DadosL[[#This Row],[nivel_risco]]="Alto",DadosL[[#This Row],[flag_inadimplente]]="Sim"),"Negado","Aprovado")</f>
        <v>Aprovado</v>
      </c>
      <c r="O200" s="1" t="str">
        <f>IF(AND(ISNUMBER(DadosL[[#This Row],[credito_tomado]]),DadosL[[#This Row],[credito_tomado]]&gt;50000,DadosL[[#This Row],[flag_inadimplente]]="Sim"),"Negado","Aprovado")</f>
        <v>Aprovado</v>
      </c>
      <c r="P200" s="46">
        <f>IF(OR(DadosL[[#This Row],[Analise_Risco]]="Negado",DadosL[[#This Row],[Analise_Credito]]="Negado"),0,IF(DadosL[[#This Row],[status]]="Ativo",DadosL[[#This Row],[valor_solicitado]]*1.08,0))</f>
        <v>35640</v>
      </c>
    </row>
    <row r="201" spans="1:16">
      <c r="A20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01" s="1" t="str">
        <f>PROPER(TRIM(DadosBrutos[[#This Row],[nome]]))</f>
        <v>Thoros Payne</v>
      </c>
      <c r="C201" s="1" t="str">
        <f>IF(LEN(SUBSTITUTE(SUBSTITUTE(SUBSTITUTE(DadosBrutos[[#This Row],[cpf]],".",""),"-","")," ",""))=11,DadosBrutos[[#This Row],[cpf]],"-")</f>
        <v>-</v>
      </c>
      <c r="D20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41</v>
      </c>
      <c r="E201" s="45">
        <f>IF(DadosBrutos[[#This Row],[data_nascimento]]="","-",DadosBrutos[[#This Row],[data_nascimento]])</f>
        <v>31337</v>
      </c>
      <c r="F201" s="1" t="str">
        <f>IF(ISNUMBER(SEARCH("|",DadosBrutos[[#This Row],[cidade]])),TRIM(LEFT(DadosBrutos[[#This Row],[cidade]],SEARCH("|",DadosBrutos[[#This Row],[cidade]])-1)),TRIM(DadosBrutos[[#This Row],[cidade]]))</f>
        <v>Harrenhal</v>
      </c>
      <c r="G20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201" s="37">
        <f>IF(DadosBrutos[[#This Row],[renda_mensal]]="","-",IF(ISNUMBER(DadosBrutos[[#This Row],[renda_mensal]]),DadosBrutos[[#This Row],[renda_mensal]],IFERROR(VALUE(SUBSTITUTE(DadosBrutos[[#This Row],[renda_mensal]]," moedas","")),"-")))</f>
        <v>14000</v>
      </c>
      <c r="I201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20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01" s="1">
        <f>IF(DadosBrutos[[#This Row],[qtde_batalhas]]="","-",IF(ISNUMBER(DadosBrutos[[#This Row],[qtde_batalhas]]),DadosBrutos[[#This Row],[qtde_batalhas]],IFERROR(VALUE(SUBSTITUTE(DadosBrutos[[#This Row],[qtde_batalhas]]," batalhas","")),"-")))</f>
        <v>24</v>
      </c>
      <c r="L201" s="1" t="str">
        <f>IF(DadosL[[#This Row],[qtde_batalhas]]="-","-",IF(DadosL[[#This Row],[qtde_batalhas]]&lt;=10,"Baixo",IF(DadosL[[#This Row],[qtde_batalhas]]&lt;=25,"Médio","Alto")))</f>
        <v>Médio</v>
      </c>
      <c r="M20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82000</v>
      </c>
      <c r="N201" s="1" t="str">
        <f>IF(AND(DadosL[[#This Row],[nivel_risco]]="Alto",DadosL[[#This Row],[flag_inadimplente]]="Sim"),"Negado","Aprovado")</f>
        <v>Aprovado</v>
      </c>
      <c r="O201" s="1" t="str">
        <f>IF(AND(ISNUMBER(DadosL[[#This Row],[credito_tomado]]),DadosL[[#This Row],[credito_tomado]]&gt;50000,DadosL[[#This Row],[flag_inadimplente]]="Sim"),"Negado","Aprovado")</f>
        <v>Aprovado</v>
      </c>
      <c r="P201" s="46">
        <f>IF(OR(DadosL[[#This Row],[Analise_Risco]]="Negado",DadosL[[#This Row],[Analise_Credito]]="Negado"),0,IF(DadosL[[#This Row],[status]]="Ativo",DadosL[[#This Row],[valor_solicitado]]*1.08,0))</f>
        <v>88560</v>
      </c>
    </row>
    <row r="202" spans="1:16">
      <c r="A20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02" s="1" t="str">
        <f>PROPER(TRIM(DadosBrutos[[#This Row],[nome]]))</f>
        <v>Asha Tallhart</v>
      </c>
      <c r="C202" s="1" t="str">
        <f>IF(LEN(SUBSTITUTE(SUBSTITUTE(SUBSTITUTE(DadosBrutos[[#This Row],[cpf]],".",""),"-","")," ",""))=11,DadosBrutos[[#This Row],[cpf]],"-")</f>
        <v>000.000.006-00</v>
      </c>
      <c r="D20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59</v>
      </c>
      <c r="E202" s="45">
        <f>IF(DadosBrutos[[#This Row],[data_nascimento]]="","-",DadosBrutos[[#This Row],[data_nascimento]])</f>
        <v>24710</v>
      </c>
      <c r="F202" s="1" t="str">
        <f>IF(ISNUMBER(SEARCH("|",DadosBrutos[[#This Row],[cidade]])),TRIM(LEFT(DadosBrutos[[#This Row],[cidade]],SEARCH("|",DadosBrutos[[#This Row],[cidade]])-1)),TRIM(DadosBrutos[[#This Row],[cidade]]))</f>
        <v>Correrrio</v>
      </c>
      <c r="G20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202" s="37">
        <f>IF(DadosBrutos[[#This Row],[renda_mensal]]="","-",IF(ISNUMBER(DadosBrutos[[#This Row],[renda_mensal]]),DadosBrutos[[#This Row],[renda_mensal]],IFERROR(VALUE(SUBSTITUTE(DadosBrutos[[#This Row],[renda_mensal]]," moedas","")),"-")))</f>
        <v>19900</v>
      </c>
      <c r="I202" s="37">
        <f>IF(DadosBrutos[[#This Row],[credito_tomado]]="","-",IF(ISNUMBER(DadosBrutos[[#This Row],[credito_tomado]]),DadosBrutos[[#This Row],[credito_tomado]],IFERROR(VALUE(SUBSTITUTE(DadosBrutos[[#This Row],[credito_tomado]]," moedas","")),"-")))</f>
        <v>55000</v>
      </c>
      <c r="J20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02" s="1">
        <f>IF(DadosBrutos[[#This Row],[qtde_batalhas]]="","-",IF(ISNUMBER(DadosBrutos[[#This Row],[qtde_batalhas]]),DadosBrutos[[#This Row],[qtde_batalhas]],IFERROR(VALUE(SUBSTITUTE(DadosBrutos[[#This Row],[qtde_batalhas]]," batalhas","")),"-")))</f>
        <v>26</v>
      </c>
      <c r="L202" s="1" t="str">
        <f>IF(DadosL[[#This Row],[qtde_batalhas]]="-","-",IF(DadosL[[#This Row],[qtde_batalhas]]&lt;=10,"Baixo",IF(DadosL[[#This Row],[qtde_batalhas]]&lt;=25,"Médio","Alto")))</f>
        <v>Alto</v>
      </c>
      <c r="M20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100000</v>
      </c>
      <c r="N202" s="1" t="str">
        <f>IF(AND(DadosL[[#This Row],[nivel_risco]]="Alto",DadosL[[#This Row],[flag_inadimplente]]="Sim"),"Negado","Aprovado")</f>
        <v>Aprovado</v>
      </c>
      <c r="O202" s="1" t="str">
        <f>IF(AND(ISNUMBER(DadosL[[#This Row],[credito_tomado]]),DadosL[[#This Row],[credito_tomado]]&gt;50000,DadosL[[#This Row],[flag_inadimplente]]="Sim"),"Negado","Aprovado")</f>
        <v>Aprovado</v>
      </c>
      <c r="P202" s="46">
        <f>IF(OR(DadosL[[#This Row],[Analise_Risco]]="Negado",DadosL[[#This Row],[Analise_Credito]]="Negado"),0,IF(DadosL[[#This Row],[status]]="Ativo",DadosL[[#This Row],[valor_solicitado]]*1.08,0))</f>
        <v>108000</v>
      </c>
    </row>
    <row r="203" spans="1:16">
      <c r="A20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03" s="1" t="str">
        <f>PROPER(TRIM(DadosBrutos[[#This Row],[nome]]))</f>
        <v>Theon Tarth</v>
      </c>
      <c r="C203" s="1" t="str">
        <f>IF(LEN(SUBSTITUTE(SUBSTITUTE(SUBSTITUTE(DadosBrutos[[#This Row],[cpf]],".",""),"-","")," ",""))=11,DadosBrutos[[#This Row],[cpf]],"-")</f>
        <v>000.000.289-00</v>
      </c>
      <c r="D20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74</v>
      </c>
      <c r="E203" s="45">
        <f>IF(DadosBrutos[[#This Row],[data_nascimento]]="","-",DadosBrutos[[#This Row],[data_nascimento]])</f>
        <v>19073</v>
      </c>
      <c r="F203" s="1" t="str">
        <f>IF(ISNUMBER(SEARCH("|",DadosBrutos[[#This Row],[cidade]])),TRIM(LEFT(DadosBrutos[[#This Row],[cidade]],SEARCH("|",DadosBrutos[[#This Row],[cidade]])-1)),TRIM(DadosBrutos[[#This Row],[cidade]]))</f>
        <v>Lannisporto</v>
      </c>
      <c r="G20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203" s="37">
        <f>IF(DadosBrutos[[#This Row],[renda_mensal]]="","-",IF(ISNUMBER(DadosBrutos[[#This Row],[renda_mensal]]),DadosBrutos[[#This Row],[renda_mensal]],IFERROR(VALUE(SUBSTITUTE(DadosBrutos[[#This Row],[renda_mensal]]," moedas","")),"-")))</f>
        <v>7100</v>
      </c>
      <c r="I203" s="37">
        <f>IF(DadosBrutos[[#This Row],[credito_tomado]]="","-",IF(ISNUMBER(DadosBrutos[[#This Row],[credito_tomado]]),DadosBrutos[[#This Row],[credito_tomado]],IFERROR(VALUE(SUBSTITUTE(DadosBrutos[[#This Row],[credito_tomado]]," moedas","")),"-")))</f>
        <v>61500</v>
      </c>
      <c r="J20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03" s="1">
        <f>IF(DadosBrutos[[#This Row],[qtde_batalhas]]="","-",IF(ISNUMBER(DadosBrutos[[#This Row],[qtde_batalhas]]),DadosBrutos[[#This Row],[qtde_batalhas]],IFERROR(VALUE(SUBSTITUTE(DadosBrutos[[#This Row],[qtde_batalhas]]," batalhas","")),"-")))</f>
        <v>1</v>
      </c>
      <c r="L203" s="1" t="str">
        <f>IF(DadosL[[#This Row],[qtde_batalhas]]="-","-",IF(DadosL[[#This Row],[qtde_batalhas]]&lt;=10,"Baixo",IF(DadosL[[#This Row],[qtde_batalhas]]&lt;=25,"Médio","Alto")))</f>
        <v>Baixo</v>
      </c>
      <c r="M20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50500</v>
      </c>
      <c r="N203" s="1" t="str">
        <f>IF(AND(DadosL[[#This Row],[nivel_risco]]="Alto",DadosL[[#This Row],[flag_inadimplente]]="Sim"),"Negado","Aprovado")</f>
        <v>Aprovado</v>
      </c>
      <c r="O203" s="1" t="str">
        <f>IF(AND(ISNUMBER(DadosL[[#This Row],[credito_tomado]]),DadosL[[#This Row],[credito_tomado]]&gt;50000,DadosL[[#This Row],[flag_inadimplente]]="Sim"),"Negado","Aprovado")</f>
        <v>Aprovado</v>
      </c>
      <c r="P203" s="46">
        <f>IF(OR(DadosL[[#This Row],[Analise_Risco]]="Negado",DadosL[[#This Row],[Analise_Credito]]="Negado"),0,IF(DadosL[[#This Row],[status]]="Ativo",DadosL[[#This Row],[valor_solicitado]]*1.08,0))</f>
        <v>0</v>
      </c>
    </row>
    <row r="204" spans="1:16">
      <c r="A20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04" s="1" t="str">
        <f>PROPER(TRIM(DadosBrutos[[#This Row],[nome]]))</f>
        <v>Stannis Seaworth</v>
      </c>
      <c r="C204" s="1" t="str">
        <f>IF(LEN(SUBSTITUTE(SUBSTITUTE(SUBSTITUTE(DadosBrutos[[#This Row],[cpf]],".",""),"-","")," ",""))=11,DadosBrutos[[#This Row],[cpf]],"-")</f>
        <v>000.000.316-00</v>
      </c>
      <c r="D20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64</v>
      </c>
      <c r="E204" s="45">
        <f>IF(DadosBrutos[[#This Row],[data_nascimento]]="","-",DadosBrutos[[#This Row],[data_nascimento]])</f>
        <v>22886</v>
      </c>
      <c r="F204" s="1" t="str">
        <f>IF(ISNUMBER(SEARCH("|",DadosBrutos[[#This Row],[cidade]])),TRIM(LEFT(DadosBrutos[[#This Row],[cidade]],SEARCH("|",DadosBrutos[[#This Row],[cidade]])-1)),TRIM(DadosBrutos[[#This Row],[cidade]]))</f>
        <v>Pyke</v>
      </c>
      <c r="G20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204" s="37">
        <f>IF(DadosBrutos[[#This Row],[renda_mensal]]="","-",IF(ISNUMBER(DadosBrutos[[#This Row],[renda_mensal]]),DadosBrutos[[#This Row],[renda_mensal]],IFERROR(VALUE(SUBSTITUTE(DadosBrutos[[#This Row],[renda_mensal]]," moedas","")),"-")))</f>
        <v>8800</v>
      </c>
      <c r="I204" s="37">
        <f>IF(DadosBrutos[[#This Row],[credito_tomado]]="","-",IF(ISNUMBER(DadosBrutos[[#This Row],[credito_tomado]]),DadosBrutos[[#This Row],[credito_tomado]],IFERROR(VALUE(SUBSTITUTE(DadosBrutos[[#This Row],[credito_tomado]]," moedas","")),"-")))</f>
        <v>66000</v>
      </c>
      <c r="J20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04" s="1">
        <f>IF(DadosBrutos[[#This Row],[qtde_batalhas]]="","-",IF(ISNUMBER(DadosBrutos[[#This Row],[qtde_batalhas]]),DadosBrutos[[#This Row],[qtde_batalhas]],IFERROR(VALUE(SUBSTITUTE(DadosBrutos[[#This Row],[qtde_batalhas]]," batalhas","")),"-")))</f>
        <v>28</v>
      </c>
      <c r="L204" s="1" t="str">
        <f>IF(DadosL[[#This Row],[qtde_batalhas]]="-","-",IF(DadosL[[#This Row],[qtde_batalhas]]&lt;=10,"Baixo",IF(DadosL[[#This Row],[qtde_batalhas]]&lt;=25,"Médio","Alto")))</f>
        <v>Alto</v>
      </c>
      <c r="M20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5000</v>
      </c>
      <c r="N204" s="1" t="str">
        <f>IF(AND(DadosL[[#This Row],[nivel_risco]]="Alto",DadosL[[#This Row],[flag_inadimplente]]="Sim"),"Negado","Aprovado")</f>
        <v>Aprovado</v>
      </c>
      <c r="O204" s="1" t="str">
        <f>IF(AND(ISNUMBER(DadosL[[#This Row],[credito_tomado]]),DadosL[[#This Row],[credito_tomado]]&gt;50000,DadosL[[#This Row],[flag_inadimplente]]="Sim"),"Negado","Aprovado")</f>
        <v>Aprovado</v>
      </c>
      <c r="P204" s="46">
        <f>IF(OR(DadosL[[#This Row],[Analise_Risco]]="Negado",DadosL[[#This Row],[Analise_Credito]]="Negado"),0,IF(DadosL[[#This Row],[status]]="Ativo",DadosL[[#This Row],[valor_solicitado]]*1.08,0))</f>
        <v>5400</v>
      </c>
    </row>
    <row r="205" spans="1:16">
      <c r="A20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05" s="1" t="str">
        <f>PROPER(TRIM(DadosBrutos[[#This Row],[nome]]))</f>
        <v>Tormund Greyjoy</v>
      </c>
      <c r="C205" s="1" t="str">
        <f>IF(LEN(SUBSTITUTE(SUBSTITUTE(SUBSTITUTE(DadosBrutos[[#This Row],[cpf]],".",""),"-","")," ",""))=11,DadosBrutos[[#This Row],[cpf]],"-")</f>
        <v>000.000.009-00</v>
      </c>
      <c r="D20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58</v>
      </c>
      <c r="E205" s="45">
        <f>IF(DadosBrutos[[#This Row],[data_nascimento]]="","-",DadosBrutos[[#This Row],[data_nascimento]])</f>
        <v>24872</v>
      </c>
      <c r="F205" s="1" t="str">
        <f>IF(ISNUMBER(SEARCH("|",DadosBrutos[[#This Row],[cidade]])),TRIM(LEFT(DadosBrutos[[#This Row],[cidade]],SEARCH("|",DadosBrutos[[#This Row],[cidade]])-1)),TRIM(DadosBrutos[[#This Row],[cidade]]))</f>
        <v>Pyke</v>
      </c>
      <c r="G20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205" s="37">
        <f>IF(DadosBrutos[[#This Row],[renda_mensal]]="","-",IF(ISNUMBER(DadosBrutos[[#This Row],[renda_mensal]]),DadosBrutos[[#This Row],[renda_mensal]],IFERROR(VALUE(SUBSTITUTE(DadosBrutos[[#This Row],[renda_mensal]]," moedas","")),"-")))</f>
        <v>12500</v>
      </c>
      <c r="I205" s="37">
        <f>IF(DadosBrutos[[#This Row],[credito_tomado]]="","-",IF(ISNUMBER(DadosBrutos[[#This Row],[credito_tomado]]),DadosBrutos[[#This Row],[credito_tomado]],IFERROR(VALUE(SUBSTITUTE(DadosBrutos[[#This Row],[credito_tomado]]," moedas","")),"-")))</f>
        <v>44500</v>
      </c>
      <c r="J20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05" s="1">
        <f>IF(DadosBrutos[[#This Row],[qtde_batalhas]]="","-",IF(ISNUMBER(DadosBrutos[[#This Row],[qtde_batalhas]]),DadosBrutos[[#This Row],[qtde_batalhas]],IFERROR(VALUE(SUBSTITUTE(DadosBrutos[[#This Row],[qtde_batalhas]]," batalhas","")),"-")))</f>
        <v>13</v>
      </c>
      <c r="L205" s="1" t="str">
        <f>IF(DadosL[[#This Row],[qtde_batalhas]]="-","-",IF(DadosL[[#This Row],[qtde_batalhas]]&lt;=10,"Baixo",IF(DadosL[[#This Row],[qtde_batalhas]]&lt;=25,"Médio","Alto")))</f>
        <v>Médio</v>
      </c>
      <c r="M20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98500</v>
      </c>
      <c r="N205" s="1" t="str">
        <f>IF(AND(DadosL[[#This Row],[nivel_risco]]="Alto",DadosL[[#This Row],[flag_inadimplente]]="Sim"),"Negado","Aprovado")</f>
        <v>Aprovado</v>
      </c>
      <c r="O205" s="1" t="str">
        <f>IF(AND(ISNUMBER(DadosL[[#This Row],[credito_tomado]]),DadosL[[#This Row],[credito_tomado]]&gt;50000,DadosL[[#This Row],[flag_inadimplente]]="Sim"),"Negado","Aprovado")</f>
        <v>Aprovado</v>
      </c>
      <c r="P205" s="46">
        <f>IF(OR(DadosL[[#This Row],[Analise_Risco]]="Negado",DadosL[[#This Row],[Analise_Credito]]="Negado"),0,IF(DadosL[[#This Row],[status]]="Ativo",DadosL[[#This Row],[valor_solicitado]]*1.08,0))</f>
        <v>0</v>
      </c>
    </row>
    <row r="206" spans="1:16">
      <c r="A20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06" s="1" t="str">
        <f>PROPER(TRIM(DadosBrutos[[#This Row],[nome]]))</f>
        <v>Grey Worm Dondarrion</v>
      </c>
      <c r="C206" s="1" t="str">
        <f>IF(LEN(SUBSTITUTE(SUBSTITUTE(SUBSTITUTE(DadosBrutos[[#This Row],[cpf]],".",""),"-","")," ",""))=11,DadosBrutos[[#This Row],[cpf]],"-")</f>
        <v>-</v>
      </c>
      <c r="D20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38</v>
      </c>
      <c r="E206" s="45">
        <f>IF(DadosBrutos[[#This Row],[data_nascimento]]="","-",DadosBrutos[[#This Row],[data_nascimento]])</f>
        <v>32066</v>
      </c>
      <c r="F206" s="1" t="str">
        <f>IF(ISNUMBER(SEARCH("|",DadosBrutos[[#This Row],[cidade]])),TRIM(LEFT(DadosBrutos[[#This Row],[cidade]],SEARCH("|",DadosBrutos[[#This Row],[cidade]])-1)),TRIM(DadosBrutos[[#This Row],[cidade]]))</f>
        <v>Meereen</v>
      </c>
      <c r="G20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206" s="37">
        <f>IF(DadosBrutos[[#This Row],[renda_mensal]]="","-",IF(ISNUMBER(DadosBrutos[[#This Row],[renda_mensal]]),DadosBrutos[[#This Row],[renda_mensal]],IFERROR(VALUE(SUBSTITUTE(DadosBrutos[[#This Row],[renda_mensal]]," moedas","")),"-")))</f>
        <v>9700</v>
      </c>
      <c r="I206" s="37">
        <f>IF(DadosBrutos[[#This Row],[credito_tomado]]="","-",IF(ISNUMBER(DadosBrutos[[#This Row],[credito_tomado]]),DadosBrutos[[#This Row],[credito_tomado]],IFERROR(VALUE(SUBSTITUTE(DadosBrutos[[#This Row],[credito_tomado]]," moedas","")),"-")))</f>
        <v>25000</v>
      </c>
      <c r="J20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06" s="1">
        <f>IF(DadosBrutos[[#This Row],[qtde_batalhas]]="","-",IF(ISNUMBER(DadosBrutos[[#This Row],[qtde_batalhas]]),DadosBrutos[[#This Row],[qtde_batalhas]],IFERROR(VALUE(SUBSTITUTE(DadosBrutos[[#This Row],[qtde_batalhas]]," batalhas","")),"-")))</f>
        <v>0</v>
      </c>
      <c r="L206" s="1" t="str">
        <f>IF(DadosL[[#This Row],[qtde_batalhas]]="-","-",IF(DadosL[[#This Row],[qtde_batalhas]]&lt;=10,"Baixo",IF(DadosL[[#This Row],[qtde_batalhas]]&lt;=25,"Médio","Alto")))</f>
        <v>Baixo</v>
      </c>
      <c r="M20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55500</v>
      </c>
      <c r="N206" s="1" t="str">
        <f>IF(AND(DadosL[[#This Row],[nivel_risco]]="Alto",DadosL[[#This Row],[flag_inadimplente]]="Sim"),"Negado","Aprovado")</f>
        <v>Aprovado</v>
      </c>
      <c r="O206" s="1" t="str">
        <f>IF(AND(ISNUMBER(DadosL[[#This Row],[credito_tomado]]),DadosL[[#This Row],[credito_tomado]]&gt;50000,DadosL[[#This Row],[flag_inadimplente]]="Sim"),"Negado","Aprovado")</f>
        <v>Aprovado</v>
      </c>
      <c r="P206" s="46">
        <f>IF(OR(DadosL[[#This Row],[Analise_Risco]]="Negado",DadosL[[#This Row],[Analise_Credito]]="Negado"),0,IF(DadosL[[#This Row],[status]]="Ativo",DadosL[[#This Row],[valor_solicitado]]*1.08,0))</f>
        <v>59940.000000000007</v>
      </c>
    </row>
    <row r="207" spans="1:16">
      <c r="A20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07" s="1" t="str">
        <f>PROPER(TRIM(DadosBrutos[[#This Row],[nome]]))</f>
        <v>Olenna Arryn</v>
      </c>
      <c r="C207" s="1" t="str">
        <f>IF(LEN(SUBSTITUTE(SUBSTITUTE(SUBSTITUTE(DadosBrutos[[#This Row],[cpf]],".",""),"-","")," ",""))=11,DadosBrutos[[#This Row],[cpf]],"-")</f>
        <v>-</v>
      </c>
      <c r="D20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49</v>
      </c>
      <c r="E207" s="45">
        <f>IF(DadosBrutos[[#This Row],[data_nascimento]]="","-",DadosBrutos[[#This Row],[data_nascimento]])</f>
        <v>28330</v>
      </c>
      <c r="F207" s="1" t="str">
        <f>IF(ISNUMBER(SEARCH("|",DadosBrutos[[#This Row],[cidade]])),TRIM(LEFT(DadosBrutos[[#This Row],[cidade]],SEARCH("|",DadosBrutos[[#This Row],[cidade]])-1)),TRIM(DadosBrutos[[#This Row],[cidade]]))</f>
        <v>Braavos</v>
      </c>
      <c r="G20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207" s="37">
        <f>IF(DadosBrutos[[#This Row],[renda_mensal]]="","-",IF(ISNUMBER(DadosBrutos[[#This Row],[renda_mensal]]),DadosBrutos[[#This Row],[renda_mensal]],IFERROR(VALUE(SUBSTITUTE(DadosBrutos[[#This Row],[renda_mensal]]," moedas","")),"-")))</f>
        <v>11500</v>
      </c>
      <c r="I207" s="37">
        <f>IF(DadosBrutos[[#This Row],[credito_tomado]]="","-",IF(ISNUMBER(DadosBrutos[[#This Row],[credito_tomado]]),DadosBrutos[[#This Row],[credito_tomado]],IFERROR(VALUE(SUBSTITUTE(DadosBrutos[[#This Row],[credito_tomado]]," moedas","")),"-")))</f>
        <v>44500</v>
      </c>
      <c r="J20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07" s="1">
        <f>IF(DadosBrutos[[#This Row],[qtde_batalhas]]="","-",IF(ISNUMBER(DadosBrutos[[#This Row],[qtde_batalhas]]),DadosBrutos[[#This Row],[qtde_batalhas]],IFERROR(VALUE(SUBSTITUTE(DadosBrutos[[#This Row],[qtde_batalhas]]," batalhas","")),"-")))</f>
        <v>45</v>
      </c>
      <c r="L207" s="1" t="str">
        <f>IF(DadosL[[#This Row],[qtde_batalhas]]="-","-",IF(DadosL[[#This Row],[qtde_batalhas]]&lt;=10,"Baixo",IF(DadosL[[#This Row],[qtde_batalhas]]&lt;=25,"Médio","Alto")))</f>
        <v>Alto</v>
      </c>
      <c r="M20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3000</v>
      </c>
      <c r="N207" s="1" t="str">
        <f>IF(AND(DadosL[[#This Row],[nivel_risco]]="Alto",DadosL[[#This Row],[flag_inadimplente]]="Sim"),"Negado","Aprovado")</f>
        <v>Aprovado</v>
      </c>
      <c r="O207" s="1" t="str">
        <f>IF(AND(ISNUMBER(DadosL[[#This Row],[credito_tomado]]),DadosL[[#This Row],[credito_tomado]]&gt;50000,DadosL[[#This Row],[flag_inadimplente]]="Sim"),"Negado","Aprovado")</f>
        <v>Aprovado</v>
      </c>
      <c r="P207" s="46">
        <f>IF(OR(DadosL[[#This Row],[Analise_Risco]]="Negado",DadosL[[#This Row],[Analise_Credito]]="Negado"),0,IF(DadosL[[#This Row],[status]]="Ativo",DadosL[[#This Row],[valor_solicitado]]*1.08,0))</f>
        <v>3240</v>
      </c>
    </row>
    <row r="208" spans="1:16">
      <c r="A20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08" s="1" t="str">
        <f>PROPER(TRIM(DadosBrutos[[#This Row],[nome]]))</f>
        <v>Tyrion Tyrell</v>
      </c>
      <c r="C208" s="1" t="str">
        <f>IF(LEN(SUBSTITUTE(SUBSTITUTE(SUBSTITUTE(DadosBrutos[[#This Row],[cpf]],".",""),"-","")," ",""))=11,DadosBrutos[[#This Row],[cpf]],"-")</f>
        <v>-</v>
      </c>
      <c r="D20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42</v>
      </c>
      <c r="E208" s="45">
        <f>IF(DadosBrutos[[#This Row],[data_nascimento]]="","-",DadosBrutos[[#This Row],[data_nascimento]])</f>
        <v>30724</v>
      </c>
      <c r="F208" s="1" t="str">
        <f>IF(ISNUMBER(SEARCH("|",DadosBrutos[[#This Row],[cidade]])),TRIM(LEFT(DadosBrutos[[#This Row],[cidade]],SEARCH("|",DadosBrutos[[#This Row],[cidade]])-1)),TRIM(DadosBrutos[[#This Row],[cidade]]))</f>
        <v>Ilha dos Ursos</v>
      </c>
      <c r="G20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08" s="37">
        <f>IF(DadosBrutos[[#This Row],[renda_mensal]]="","-",IF(ISNUMBER(DadosBrutos[[#This Row],[renda_mensal]]),DadosBrutos[[#This Row],[renda_mensal]],IFERROR(VALUE(SUBSTITUTE(DadosBrutos[[#This Row],[renda_mensal]]," moedas","")),"-")))</f>
        <v>18500</v>
      </c>
      <c r="I208" s="37">
        <f>IF(DadosBrutos[[#This Row],[credito_tomado]]="","-",IF(ISNUMBER(DadosBrutos[[#This Row],[credito_tomado]]),DadosBrutos[[#This Row],[credito_tomado]],IFERROR(VALUE(SUBSTITUTE(DadosBrutos[[#This Row],[credito_tomado]]," moedas","")),"-")))</f>
        <v>59000</v>
      </c>
      <c r="J20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08" s="1">
        <f>IF(DadosBrutos[[#This Row],[qtde_batalhas]]="","-",IF(ISNUMBER(DadosBrutos[[#This Row],[qtde_batalhas]]),DadosBrutos[[#This Row],[qtde_batalhas]],IFERROR(VALUE(SUBSTITUTE(DadosBrutos[[#This Row],[qtde_batalhas]]," batalhas","")),"-")))</f>
        <v>44</v>
      </c>
      <c r="L208" s="1" t="str">
        <f>IF(DadosL[[#This Row],[qtde_batalhas]]="-","-",IF(DadosL[[#This Row],[qtde_batalhas]]&lt;=10,"Baixo",IF(DadosL[[#This Row],[qtde_batalhas]]&lt;=25,"Médio","Alto")))</f>
        <v>Alto</v>
      </c>
      <c r="M20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16500</v>
      </c>
      <c r="N208" s="1" t="str">
        <f>IF(AND(DadosL[[#This Row],[nivel_risco]]="Alto",DadosL[[#This Row],[flag_inadimplente]]="Sim"),"Negado","Aprovado")</f>
        <v>Aprovado</v>
      </c>
      <c r="O208" s="1" t="str">
        <f>IF(AND(ISNUMBER(DadosL[[#This Row],[credito_tomado]]),DadosL[[#This Row],[credito_tomado]]&gt;50000,DadosL[[#This Row],[flag_inadimplente]]="Sim"),"Negado","Aprovado")</f>
        <v>Aprovado</v>
      </c>
      <c r="P208" s="46">
        <f>IF(OR(DadosL[[#This Row],[Analise_Risco]]="Negado",DadosL[[#This Row],[Analise_Credito]]="Negado"),0,IF(DadosL[[#This Row],[status]]="Ativo",DadosL[[#This Row],[valor_solicitado]]*1.08,0))</f>
        <v>17820</v>
      </c>
    </row>
    <row r="209" spans="1:16">
      <c r="A20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09" s="1" t="str">
        <f>PROPER(TRIM(DadosBrutos[[#This Row],[nome]]))</f>
        <v>Robb Clegane</v>
      </c>
      <c r="C209" s="1" t="str">
        <f>IF(LEN(SUBSTITUTE(SUBSTITUTE(SUBSTITUTE(DadosBrutos[[#This Row],[cpf]],".",""),"-","")," ",""))=11,DadosBrutos[[#This Row],[cpf]],"-")</f>
        <v>000.000.304-00</v>
      </c>
      <c r="D20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18</v>
      </c>
      <c r="E209" s="45">
        <f>IF(DadosBrutos[[#This Row],[data_nascimento]]="","-",DadosBrutos[[#This Row],[data_nascimento]])</f>
        <v>39338</v>
      </c>
      <c r="F209" s="1" t="str">
        <f>IF(ISNUMBER(SEARCH("|",DadosBrutos[[#This Row],[cidade]])),TRIM(LEFT(DadosBrutos[[#This Row],[cidade]],SEARCH("|",DadosBrutos[[#This Row],[cidade]])-1)),TRIM(DadosBrutos[[#This Row],[cidade]]))</f>
        <v>Fosso Cailin</v>
      </c>
      <c r="G20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09" s="37">
        <f>IF(DadosBrutos[[#This Row],[renda_mensal]]="","-",IF(ISNUMBER(DadosBrutos[[#This Row],[renda_mensal]]),DadosBrutos[[#This Row],[renda_mensal]],IFERROR(VALUE(SUBSTITUTE(DadosBrutos[[#This Row],[renda_mensal]]," moedas","")),"-")))</f>
        <v>14100</v>
      </c>
      <c r="I209" s="37">
        <f>IF(DadosBrutos[[#This Row],[credito_tomado]]="","-",IF(ISNUMBER(DadosBrutos[[#This Row],[credito_tomado]]),DadosBrutos[[#This Row],[credito_tomado]],IFERROR(VALUE(SUBSTITUTE(DadosBrutos[[#This Row],[credito_tomado]]," moedas","")),"-")))</f>
        <v>38500</v>
      </c>
      <c r="J20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09" s="1">
        <f>IF(DadosBrutos[[#This Row],[qtde_batalhas]]="","-",IF(ISNUMBER(DadosBrutos[[#This Row],[qtde_batalhas]]),DadosBrutos[[#This Row],[qtde_batalhas]],IFERROR(VALUE(SUBSTITUTE(DadosBrutos[[#This Row],[qtde_batalhas]]," batalhas","")),"-")))</f>
        <v>7</v>
      </c>
      <c r="L209" s="1" t="str">
        <f>IF(DadosL[[#This Row],[qtde_batalhas]]="-","-",IF(DadosL[[#This Row],[qtde_batalhas]]&lt;=10,"Baixo",IF(DadosL[[#This Row],[qtde_batalhas]]&lt;=25,"Médio","Alto")))</f>
        <v>Baixo</v>
      </c>
      <c r="M20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11000</v>
      </c>
      <c r="N209" s="1" t="str">
        <f>IF(AND(DadosL[[#This Row],[nivel_risco]]="Alto",DadosL[[#This Row],[flag_inadimplente]]="Sim"),"Negado","Aprovado")</f>
        <v>Aprovado</v>
      </c>
      <c r="O209" s="1" t="str">
        <f>IF(AND(ISNUMBER(DadosL[[#This Row],[credito_tomado]]),DadosL[[#This Row],[credito_tomado]]&gt;50000,DadosL[[#This Row],[flag_inadimplente]]="Sim"),"Negado","Aprovado")</f>
        <v>Aprovado</v>
      </c>
      <c r="P209" s="46">
        <f>IF(OR(DadosL[[#This Row],[Analise_Risco]]="Negado",DadosL[[#This Row],[Analise_Credito]]="Negado"),0,IF(DadosL[[#This Row],[status]]="Ativo",DadosL[[#This Row],[valor_solicitado]]*1.08,0))</f>
        <v>11880</v>
      </c>
    </row>
    <row r="210" spans="1:16">
      <c r="A21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10" s="1" t="str">
        <f>PROPER(TRIM(DadosBrutos[[#This Row],[nome]]))</f>
        <v>Bran Dondarrion</v>
      </c>
      <c r="C210" s="1" t="str">
        <f>IF(LEN(SUBSTITUTE(SUBSTITUTE(SUBSTITUTE(DadosBrutos[[#This Row],[cpf]],".",""),"-","")," ",""))=11,DadosBrutos[[#This Row],[cpf]],"-")</f>
        <v>-</v>
      </c>
      <c r="D21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18</v>
      </c>
      <c r="E210" s="45">
        <f>IF(DadosBrutos[[#This Row],[data_nascimento]]="","-",DadosBrutos[[#This Row],[data_nascimento]])</f>
        <v>39369</v>
      </c>
      <c r="F210" s="1" t="str">
        <f>IF(ISNUMBER(SEARCH("|",DadosBrutos[[#This Row],[cidade]])),TRIM(LEFT(DadosBrutos[[#This Row],[cidade]],SEARCH("|",DadosBrutos[[#This Row],[cidade]])-1)),TRIM(DadosBrutos[[#This Row],[cidade]]))</f>
        <v>Meereen</v>
      </c>
      <c r="G21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210" s="37">
        <f>IF(DadosBrutos[[#This Row],[renda_mensal]]="","-",IF(ISNUMBER(DadosBrutos[[#This Row],[renda_mensal]]),DadosBrutos[[#This Row],[renda_mensal]],IFERROR(VALUE(SUBSTITUTE(DadosBrutos[[#This Row],[renda_mensal]]," moedas","")),"-")))</f>
        <v>18500</v>
      </c>
      <c r="I210" s="37">
        <f>IF(DadosBrutos[[#This Row],[credito_tomado]]="","-",IF(ISNUMBER(DadosBrutos[[#This Row],[credito_tomado]]),DadosBrutos[[#This Row],[credito_tomado]],IFERROR(VALUE(SUBSTITUTE(DadosBrutos[[#This Row],[credito_tomado]]," moedas","")),"-")))</f>
        <v>74500</v>
      </c>
      <c r="J21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10" s="1">
        <f>IF(DadosBrutos[[#This Row],[qtde_batalhas]]="","-",IF(ISNUMBER(DadosBrutos[[#This Row],[qtde_batalhas]]),DadosBrutos[[#This Row],[qtde_batalhas]],IFERROR(VALUE(SUBSTITUTE(DadosBrutos[[#This Row],[qtde_batalhas]]," batalhas","")),"-")))</f>
        <v>20</v>
      </c>
      <c r="L210" s="1" t="str">
        <f>IF(DadosL[[#This Row],[qtde_batalhas]]="-","-",IF(DadosL[[#This Row],[qtde_batalhas]]&lt;=10,"Baixo",IF(DadosL[[#This Row],[qtde_batalhas]]&lt;=25,"Médio","Alto")))</f>
        <v>Médio</v>
      </c>
      <c r="M21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45500</v>
      </c>
      <c r="N210" s="1" t="str">
        <f>IF(AND(DadosL[[#This Row],[nivel_risco]]="Alto",DadosL[[#This Row],[flag_inadimplente]]="Sim"),"Negado","Aprovado")</f>
        <v>Aprovado</v>
      </c>
      <c r="O210" s="1" t="str">
        <f>IF(AND(ISNUMBER(DadosL[[#This Row],[credito_tomado]]),DadosL[[#This Row],[credito_tomado]]&gt;50000,DadosL[[#This Row],[flag_inadimplente]]="Sim"),"Negado","Aprovado")</f>
        <v>Negado</v>
      </c>
      <c r="P210" s="46">
        <f>IF(OR(DadosL[[#This Row],[Analise_Risco]]="Negado",DadosL[[#This Row],[Analise_Credito]]="Negado"),0,IF(DadosL[[#This Row],[status]]="Ativo",DadosL[[#This Row],[valor_solicitado]]*1.08,0))</f>
        <v>0</v>
      </c>
    </row>
    <row r="211" spans="1:16">
      <c r="A21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11" s="1" t="str">
        <f>PROPER(TRIM(DadosBrutos[[#This Row],[nome]]))</f>
        <v>Jeor Baelish</v>
      </c>
      <c r="C211" s="1" t="str">
        <f>IF(LEN(SUBSTITUTE(SUBSTITUTE(SUBSTITUTE(DadosBrutos[[#This Row],[cpf]],".",""),"-","")," ",""))=11,DadosBrutos[[#This Row],[cpf]],"-")</f>
        <v>000.000.332-00</v>
      </c>
      <c r="D21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66</v>
      </c>
      <c r="E211" s="45">
        <f>IF(DadosBrutos[[#This Row],[data_nascimento]]="","-",DadosBrutos[[#This Row],[data_nascimento]])</f>
        <v>22039</v>
      </c>
      <c r="F211" s="1" t="str">
        <f>IF(ISNUMBER(SEARCH("|",DadosBrutos[[#This Row],[cidade]])),TRIM(LEFT(DadosBrutos[[#This Row],[cidade]],SEARCH("|",DadosBrutos[[#This Row],[cidade]])-1)),TRIM(DadosBrutos[[#This Row],[cidade]]))</f>
        <v>Dorne</v>
      </c>
      <c r="G21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211" s="37">
        <f>IF(DadosBrutos[[#This Row],[renda_mensal]]="","-",IF(ISNUMBER(DadosBrutos[[#This Row],[renda_mensal]]),DadosBrutos[[#This Row],[renda_mensal]],IFERROR(VALUE(SUBSTITUTE(DadosBrutos[[#This Row],[renda_mensal]]," moedas","")),"-")))</f>
        <v>14300</v>
      </c>
      <c r="I211" s="37">
        <f>IF(DadosBrutos[[#This Row],[credito_tomado]]="","-",IF(ISNUMBER(DadosBrutos[[#This Row],[credito_tomado]]),DadosBrutos[[#This Row],[credito_tomado]],IFERROR(VALUE(SUBSTITUTE(DadosBrutos[[#This Row],[credito_tomado]]," moedas","")),"-")))</f>
        <v>78000</v>
      </c>
      <c r="J21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11" s="1">
        <f>IF(DadosBrutos[[#This Row],[qtde_batalhas]]="","-",IF(ISNUMBER(DadosBrutos[[#This Row],[qtde_batalhas]]),DadosBrutos[[#This Row],[qtde_batalhas]],IFERROR(VALUE(SUBSTITUTE(DadosBrutos[[#This Row],[qtde_batalhas]]," batalhas","")),"-")))</f>
        <v>28</v>
      </c>
      <c r="L211" s="1" t="str">
        <f>IF(DadosL[[#This Row],[qtde_batalhas]]="-","-",IF(DadosL[[#This Row],[qtde_batalhas]]&lt;=10,"Baixo",IF(DadosL[[#This Row],[qtde_batalhas]]&lt;=25,"Médio","Alto")))</f>
        <v>Alto</v>
      </c>
      <c r="M21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74500</v>
      </c>
      <c r="N211" s="1" t="str">
        <f>IF(AND(DadosL[[#This Row],[nivel_risco]]="Alto",DadosL[[#This Row],[flag_inadimplente]]="Sim"),"Negado","Aprovado")</f>
        <v>Aprovado</v>
      </c>
      <c r="O211" s="1" t="str">
        <f>IF(AND(ISNUMBER(DadosL[[#This Row],[credito_tomado]]),DadosL[[#This Row],[credito_tomado]]&gt;50000,DadosL[[#This Row],[flag_inadimplente]]="Sim"),"Negado","Aprovado")</f>
        <v>Aprovado</v>
      </c>
      <c r="P211" s="46">
        <f>IF(OR(DadosL[[#This Row],[Analise_Risco]]="Negado",DadosL[[#This Row],[Analise_Credito]]="Negado"),0,IF(DadosL[[#This Row],[status]]="Ativo",DadosL[[#This Row],[valor_solicitado]]*1.08,0))</f>
        <v>0</v>
      </c>
    </row>
    <row r="212" spans="1:16">
      <c r="A21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12" s="1" t="str">
        <f>PROPER(TRIM(DadosBrutos[[#This Row],[nome]]))</f>
        <v>Jaime Dondarrion</v>
      </c>
      <c r="C212" s="1" t="str">
        <f>IF(LEN(SUBSTITUTE(SUBSTITUTE(SUBSTITUTE(DadosBrutos[[#This Row],[cpf]],".",""),"-","")," ",""))=11,DadosBrutos[[#This Row],[cpf]],"-")</f>
        <v>000.000.056-00</v>
      </c>
      <c r="D21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35</v>
      </c>
      <c r="E212" s="45">
        <f>IF(DadosBrutos[[#This Row],[data_nascimento]]="","-",DadosBrutos[[#This Row],[data_nascimento]])</f>
        <v>33336</v>
      </c>
      <c r="F212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21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212" s="37">
        <f>IF(DadosBrutos[[#This Row],[renda_mensal]]="","-",IF(ISNUMBER(DadosBrutos[[#This Row],[renda_mensal]]),DadosBrutos[[#This Row],[renda_mensal]],IFERROR(VALUE(SUBSTITUTE(DadosBrutos[[#This Row],[renda_mensal]]," moedas","")),"-")))</f>
        <v>20900</v>
      </c>
      <c r="I212" s="37">
        <f>IF(DadosBrutos[[#This Row],[credito_tomado]]="","-",IF(ISNUMBER(DadosBrutos[[#This Row],[credito_tomado]]),DadosBrutos[[#This Row],[credito_tomado]],IFERROR(VALUE(SUBSTITUTE(DadosBrutos[[#This Row],[credito_tomado]]," moedas","")),"-")))</f>
        <v>54000</v>
      </c>
      <c r="J21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12" s="1">
        <f>IF(DadosBrutos[[#This Row],[qtde_batalhas]]="","-",IF(ISNUMBER(DadosBrutos[[#This Row],[qtde_batalhas]]),DadosBrutos[[#This Row],[qtde_batalhas]],IFERROR(VALUE(SUBSTITUTE(DadosBrutos[[#This Row],[qtde_batalhas]]," batalhas","")),"-")))</f>
        <v>44</v>
      </c>
      <c r="L212" s="1" t="str">
        <f>IF(DadosL[[#This Row],[qtde_batalhas]]="-","-",IF(DadosL[[#This Row],[qtde_batalhas]]&lt;=10,"Baixo",IF(DadosL[[#This Row],[qtde_batalhas]]&lt;=25,"Médio","Alto")))</f>
        <v>Alto</v>
      </c>
      <c r="M21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18000</v>
      </c>
      <c r="N212" s="1" t="str">
        <f>IF(AND(DadosL[[#This Row],[nivel_risco]]="Alto",DadosL[[#This Row],[flag_inadimplente]]="Sim"),"Negado","Aprovado")</f>
        <v>Aprovado</v>
      </c>
      <c r="O212" s="1" t="str">
        <f>IF(AND(ISNUMBER(DadosL[[#This Row],[credito_tomado]]),DadosL[[#This Row],[credito_tomado]]&gt;50000,DadosL[[#This Row],[flag_inadimplente]]="Sim"),"Negado","Aprovado")</f>
        <v>Aprovado</v>
      </c>
      <c r="P212" s="46">
        <f>IF(OR(DadosL[[#This Row],[Analise_Risco]]="Negado",DadosL[[#This Row],[Analise_Credito]]="Negado"),0,IF(DadosL[[#This Row],[status]]="Ativo",DadosL[[#This Row],[valor_solicitado]]*1.08,0))</f>
        <v>19440</v>
      </c>
    </row>
    <row r="213" spans="1:16">
      <c r="A21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13" s="1" t="str">
        <f>PROPER(TRIM(DadosBrutos[[#This Row],[nome]]))</f>
        <v>Loras Manderly</v>
      </c>
      <c r="C213" s="1" t="str">
        <f>IF(LEN(SUBSTITUTE(SUBSTITUTE(SUBSTITUTE(DadosBrutos[[#This Row],[cpf]],".",""),"-","")," ",""))=11,DadosBrutos[[#This Row],[cpf]],"-")</f>
        <v>-</v>
      </c>
      <c r="D21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38</v>
      </c>
      <c r="E213" s="45">
        <f>IF(DadosBrutos[[#This Row],[data_nascimento]]="","-",DadosBrutos[[#This Row],[data_nascimento]])</f>
        <v>32152</v>
      </c>
      <c r="F213" s="1" t="str">
        <f>IF(ISNUMBER(SEARCH("|",DadosBrutos[[#This Row],[cidade]])),TRIM(LEFT(DadosBrutos[[#This Row],[cidade]],SEARCH("|",DadosBrutos[[#This Row],[cidade]])-1)),TRIM(DadosBrutos[[#This Row],[cidade]]))</f>
        <v>Monte Chifre</v>
      </c>
      <c r="G21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213" s="37">
        <f>IF(DadosBrutos[[#This Row],[renda_mensal]]="","-",IF(ISNUMBER(DadosBrutos[[#This Row],[renda_mensal]]),DadosBrutos[[#This Row],[renda_mensal]],IFERROR(VALUE(SUBSTITUTE(DadosBrutos[[#This Row],[renda_mensal]]," moedas","")),"-")))</f>
        <v>2000</v>
      </c>
      <c r="I213" s="37">
        <f>IF(DadosBrutos[[#This Row],[credito_tomado]]="","-",IF(ISNUMBER(DadosBrutos[[#This Row],[credito_tomado]]),DadosBrutos[[#This Row],[credito_tomado]],IFERROR(VALUE(SUBSTITUTE(DadosBrutos[[#This Row],[credito_tomado]]," moedas","")),"-")))</f>
        <v>60000</v>
      </c>
      <c r="J21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13" s="1">
        <f>IF(DadosBrutos[[#This Row],[qtde_batalhas]]="","-",IF(ISNUMBER(DadosBrutos[[#This Row],[qtde_batalhas]]),DadosBrutos[[#This Row],[qtde_batalhas]],IFERROR(VALUE(SUBSTITUTE(DadosBrutos[[#This Row],[qtde_batalhas]]," batalhas","")),"-")))</f>
        <v>18</v>
      </c>
      <c r="L213" s="1" t="str">
        <f>IF(DadosL[[#This Row],[qtde_batalhas]]="-","-",IF(DadosL[[#This Row],[qtde_batalhas]]&lt;=10,"Baixo",IF(DadosL[[#This Row],[qtde_batalhas]]&lt;=25,"Médio","Alto")))</f>
        <v>Médio</v>
      </c>
      <c r="M21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54000</v>
      </c>
      <c r="N213" s="1" t="str">
        <f>IF(AND(DadosL[[#This Row],[nivel_risco]]="Alto",DadosL[[#This Row],[flag_inadimplente]]="Sim"),"Negado","Aprovado")</f>
        <v>Aprovado</v>
      </c>
      <c r="O213" s="1" t="str">
        <f>IF(AND(ISNUMBER(DadosL[[#This Row],[credito_tomado]]),DadosL[[#This Row],[credito_tomado]]&gt;50000,DadosL[[#This Row],[flag_inadimplente]]="Sim"),"Negado","Aprovado")</f>
        <v>Aprovado</v>
      </c>
      <c r="P213" s="46">
        <f>IF(OR(DadosL[[#This Row],[Analise_Risco]]="Negado",DadosL[[#This Row],[Analise_Credito]]="Negado"),0,IF(DadosL[[#This Row],[status]]="Ativo",DadosL[[#This Row],[valor_solicitado]]*1.08,0))</f>
        <v>58320.000000000007</v>
      </c>
    </row>
    <row r="214" spans="1:16">
      <c r="A21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14" s="1" t="str">
        <f>PROPER(TRIM(DadosBrutos[[#This Row],[nome]]))</f>
        <v>Daario Marbrand</v>
      </c>
      <c r="C214" s="1" t="str">
        <f>IF(LEN(SUBSTITUTE(SUBSTITUTE(SUBSTITUTE(DadosBrutos[[#This Row],[cpf]],".",""),"-","")," ",""))=11,DadosBrutos[[#This Row],[cpf]],"-")</f>
        <v>000.000.014-00</v>
      </c>
      <c r="D214" s="15" t="str">
        <f ca="1">IF(DadosBrutos[[#This Row],[idade]]="",IF(DadosBrutos[[#This Row],[data_nascimento]]="","-",YEAR(TODAY())-YEAR(DadosBrutos[[#This Row],[data_nascimento]])),IF(ISNUMBER(DadosBrutos[[#This Row],[idade]]),DadosBrutos[[#This Row],[idade]],"-"))</f>
        <v>-</v>
      </c>
      <c r="E214" s="45">
        <f>IF(DadosBrutos[[#This Row],[data_nascimento]]="","-",DadosBrutos[[#This Row],[data_nascimento]])</f>
        <v>29113</v>
      </c>
      <c r="F214" s="1" t="str">
        <f>IF(ISNUMBER(SEARCH("|",DadosBrutos[[#This Row],[cidade]])),TRIM(LEFT(DadosBrutos[[#This Row],[cidade]],SEARCH("|",DadosBrutos[[#This Row],[cidade]])-1)),TRIM(DadosBrutos[[#This Row],[cidade]]))</f>
        <v>Fosso Cailin</v>
      </c>
      <c r="G21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14" s="37">
        <f>IF(DadosBrutos[[#This Row],[renda_mensal]]="","-",IF(ISNUMBER(DadosBrutos[[#This Row],[renda_mensal]]),DadosBrutos[[#This Row],[renda_mensal]],IFERROR(VALUE(SUBSTITUTE(DadosBrutos[[#This Row],[renda_mensal]]," moedas","")),"-")))</f>
        <v>15000</v>
      </c>
      <c r="I214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21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14" s="1">
        <f>IF(DadosBrutos[[#This Row],[qtde_batalhas]]="","-",IF(ISNUMBER(DadosBrutos[[#This Row],[qtde_batalhas]]),DadosBrutos[[#This Row],[qtde_batalhas]],IFERROR(VALUE(SUBSTITUTE(DadosBrutos[[#This Row],[qtde_batalhas]]," batalhas","")),"-")))</f>
        <v>40</v>
      </c>
      <c r="L214" s="1" t="str">
        <f>IF(DadosL[[#This Row],[qtde_batalhas]]="-","-",IF(DadosL[[#This Row],[qtde_batalhas]]&lt;=10,"Baixo",IF(DadosL[[#This Row],[qtde_batalhas]]&lt;=25,"Médio","Alto")))</f>
        <v>Alto</v>
      </c>
      <c r="M21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90500</v>
      </c>
      <c r="N214" s="1" t="str">
        <f>IF(AND(DadosL[[#This Row],[nivel_risco]]="Alto",DadosL[[#This Row],[flag_inadimplente]]="Sim"),"Negado","Aprovado")</f>
        <v>Aprovado</v>
      </c>
      <c r="O214" s="1" t="str">
        <f>IF(AND(ISNUMBER(DadosL[[#This Row],[credito_tomado]]),DadosL[[#This Row],[credito_tomado]]&gt;50000,DadosL[[#This Row],[flag_inadimplente]]="Sim"),"Negado","Aprovado")</f>
        <v>Aprovado</v>
      </c>
      <c r="P214" s="46">
        <f>IF(OR(DadosL[[#This Row],[Analise_Risco]]="Negado",DadosL[[#This Row],[Analise_Credito]]="Negado"),0,IF(DadosL[[#This Row],[status]]="Ativo",DadosL[[#This Row],[valor_solicitado]]*1.08,0))</f>
        <v>0</v>
      </c>
    </row>
    <row r="215" spans="1:16">
      <c r="A21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15" s="1" t="str">
        <f>PROPER(TRIM(DadosBrutos[[#This Row],[nome]]))</f>
        <v>Beric Seaworth</v>
      </c>
      <c r="C215" s="1" t="str">
        <f>IF(LEN(SUBSTITUTE(SUBSTITUTE(SUBSTITUTE(DadosBrutos[[#This Row],[cpf]],".",""),"-","")," ",""))=11,DadosBrutos[[#This Row],[cpf]],"-")</f>
        <v>000.000.025-00</v>
      </c>
      <c r="D21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72</v>
      </c>
      <c r="E215" s="45">
        <f>IF(DadosBrutos[[#This Row],[data_nascimento]]="","-",DadosBrutos[[#This Row],[data_nascimento]])</f>
        <v>19800</v>
      </c>
      <c r="F215" s="1" t="str">
        <f>IF(ISNUMBER(SEARCH("|",DadosBrutos[[#This Row],[cidade]])),TRIM(LEFT(DadosBrutos[[#This Row],[cidade]],SEARCH("|",DadosBrutos[[#This Row],[cidade]])-1)),TRIM(DadosBrutos[[#This Row],[cidade]]))</f>
        <v>Correrrio</v>
      </c>
      <c r="G21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215" s="37">
        <f>IF(DadosBrutos[[#This Row],[renda_mensal]]="","-",IF(ISNUMBER(DadosBrutos[[#This Row],[renda_mensal]]),DadosBrutos[[#This Row],[renda_mensal]],IFERROR(VALUE(SUBSTITUTE(DadosBrutos[[#This Row],[renda_mensal]]," moedas","")),"-")))</f>
        <v>24300</v>
      </c>
      <c r="I215" s="37">
        <f>IF(DadosBrutos[[#This Row],[credito_tomado]]="","-",IF(ISNUMBER(DadosBrutos[[#This Row],[credito_tomado]]),DadosBrutos[[#This Row],[credito_tomado]],IFERROR(VALUE(SUBSTITUTE(DadosBrutos[[#This Row],[credito_tomado]]," moedas","")),"-")))</f>
        <v>13500</v>
      </c>
      <c r="J21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15" s="1">
        <f>IF(DadosBrutos[[#This Row],[qtde_batalhas]]="","-",IF(ISNUMBER(DadosBrutos[[#This Row],[qtde_batalhas]]),DadosBrutos[[#This Row],[qtde_batalhas]],IFERROR(VALUE(SUBSTITUTE(DadosBrutos[[#This Row],[qtde_batalhas]]," batalhas","")),"-")))</f>
        <v>33</v>
      </c>
      <c r="L215" s="1" t="str">
        <f>IF(DadosL[[#This Row],[qtde_batalhas]]="-","-",IF(DadosL[[#This Row],[qtde_batalhas]]&lt;=10,"Baixo",IF(DadosL[[#This Row],[qtde_batalhas]]&lt;=25,"Médio","Alto")))</f>
        <v>Alto</v>
      </c>
      <c r="M21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14500</v>
      </c>
      <c r="N215" s="1" t="str">
        <f>IF(AND(DadosL[[#This Row],[nivel_risco]]="Alto",DadosL[[#This Row],[flag_inadimplente]]="Sim"),"Negado","Aprovado")</f>
        <v>Aprovado</v>
      </c>
      <c r="O215" s="1" t="str">
        <f>IF(AND(ISNUMBER(DadosL[[#This Row],[credito_tomado]]),DadosL[[#This Row],[credito_tomado]]&gt;50000,DadosL[[#This Row],[flag_inadimplente]]="Sim"),"Negado","Aprovado")</f>
        <v>Aprovado</v>
      </c>
      <c r="P215" s="46">
        <f>IF(OR(DadosL[[#This Row],[Analise_Risco]]="Negado",DadosL[[#This Row],[Analise_Credito]]="Negado"),0,IF(DadosL[[#This Row],[status]]="Ativo",DadosL[[#This Row],[valor_solicitado]]*1.08,0))</f>
        <v>15660.000000000002</v>
      </c>
    </row>
    <row r="216" spans="1:16">
      <c r="A21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16" s="1" t="str">
        <f>PROPER(TRIM(DadosBrutos[[#This Row],[nome]]))</f>
        <v>Lyanna Seaworth</v>
      </c>
      <c r="C216" s="1" t="str">
        <f>IF(LEN(SUBSTITUTE(SUBSTITUTE(SUBSTITUTE(DadosBrutos[[#This Row],[cpf]],".",""),"-","")," ",""))=11,DadosBrutos[[#This Row],[cpf]],"-")</f>
        <v>000.000.041-00</v>
      </c>
      <c r="D21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69</v>
      </c>
      <c r="E216" s="45" t="str">
        <f>IF(DadosBrutos[[#This Row],[data_nascimento]]="","-",DadosBrutos[[#This Row],[data_nascimento]])</f>
        <v>-</v>
      </c>
      <c r="F216" s="1" t="str">
        <f>IF(ISNUMBER(SEARCH("|",DadosBrutos[[#This Row],[cidade]])),TRIM(LEFT(DadosBrutos[[#This Row],[cidade]],SEARCH("|",DadosBrutos[[#This Row],[cidade]])-1)),TRIM(DadosBrutos[[#This Row],[cidade]]))</f>
        <v>Braavos</v>
      </c>
      <c r="G21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216" s="37">
        <f>IF(DadosBrutos[[#This Row],[renda_mensal]]="","-",IF(ISNUMBER(DadosBrutos[[#This Row],[renda_mensal]]),DadosBrutos[[#This Row],[renda_mensal]],IFERROR(VALUE(SUBSTITUTE(DadosBrutos[[#This Row],[renda_mensal]]," moedas","")),"-")))</f>
        <v>4500</v>
      </c>
      <c r="I216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21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16" s="1">
        <f>IF(DadosBrutos[[#This Row],[qtde_batalhas]]="","-",IF(ISNUMBER(DadosBrutos[[#This Row],[qtde_batalhas]]),DadosBrutos[[#This Row],[qtde_batalhas]],IFERROR(VALUE(SUBSTITUTE(DadosBrutos[[#This Row],[qtde_batalhas]]," batalhas","")),"-")))</f>
        <v>32</v>
      </c>
      <c r="L216" s="1" t="str">
        <f>IF(DadosL[[#This Row],[qtde_batalhas]]="-","-",IF(DadosL[[#This Row],[qtde_batalhas]]&lt;=10,"Baixo",IF(DadosL[[#This Row],[qtde_batalhas]]&lt;=25,"Médio","Alto")))</f>
        <v>Alto</v>
      </c>
      <c r="M21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56500</v>
      </c>
      <c r="N216" s="1" t="str">
        <f>IF(AND(DadosL[[#This Row],[nivel_risco]]="Alto",DadosL[[#This Row],[flag_inadimplente]]="Sim"),"Negado","Aprovado")</f>
        <v>Negado</v>
      </c>
      <c r="O216" s="1" t="str">
        <f>IF(AND(ISNUMBER(DadosL[[#This Row],[credito_tomado]]),DadosL[[#This Row],[credito_tomado]]&gt;50000,DadosL[[#This Row],[flag_inadimplente]]="Sim"),"Negado","Aprovado")</f>
        <v>Aprovado</v>
      </c>
      <c r="P216" s="46">
        <f>IF(OR(DadosL[[#This Row],[Analise_Risco]]="Negado",DadosL[[#This Row],[Analise_Credito]]="Negado"),0,IF(DadosL[[#This Row],[status]]="Ativo",DadosL[[#This Row],[valor_solicitado]]*1.08,0))</f>
        <v>0</v>
      </c>
    </row>
    <row r="217" spans="1:16">
      <c r="A21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17" s="1" t="str">
        <f>PROPER(TRIM(DadosBrutos[[#This Row],[nome]]))</f>
        <v>Margaery Marbrand</v>
      </c>
      <c r="C217" s="1" t="str">
        <f>IF(LEN(SUBSTITUTE(SUBSTITUTE(SUBSTITUTE(DadosBrutos[[#This Row],[cpf]],".",""),"-","")," ",""))=11,DadosBrutos[[#This Row],[cpf]],"-")</f>
        <v>000.000.146-00</v>
      </c>
      <c r="D21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22</v>
      </c>
      <c r="E217" s="45">
        <f>IF(DadosBrutos[[#This Row],[data_nascimento]]="","-",DadosBrutos[[#This Row],[data_nascimento]])</f>
        <v>38079</v>
      </c>
      <c r="F217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21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217" s="37">
        <f>IF(DadosBrutos[[#This Row],[renda_mensal]]="","-",IF(ISNUMBER(DadosBrutos[[#This Row],[renda_mensal]]),DadosBrutos[[#This Row],[renda_mensal]],IFERROR(VALUE(SUBSTITUTE(DadosBrutos[[#This Row],[renda_mensal]]," moedas","")),"-")))</f>
        <v>9200</v>
      </c>
      <c r="I217" s="37">
        <f>IF(DadosBrutos[[#This Row],[credito_tomado]]="","-",IF(ISNUMBER(DadosBrutos[[#This Row],[credito_tomado]]),DadosBrutos[[#This Row],[credito_tomado]],IFERROR(VALUE(SUBSTITUTE(DadosBrutos[[#This Row],[credito_tomado]]," moedas","")),"-")))</f>
        <v>5000</v>
      </c>
      <c r="J21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17" s="1">
        <f>IF(DadosBrutos[[#This Row],[qtde_batalhas]]="","-",IF(ISNUMBER(DadosBrutos[[#This Row],[qtde_batalhas]]),DadosBrutos[[#This Row],[qtde_batalhas]],IFERROR(VALUE(SUBSTITUTE(DadosBrutos[[#This Row],[qtde_batalhas]]," batalhas","")),"-")))</f>
        <v>42</v>
      </c>
      <c r="L217" s="1" t="str">
        <f>IF(DadosL[[#This Row],[qtde_batalhas]]="-","-",IF(DadosL[[#This Row],[qtde_batalhas]]&lt;=10,"Baixo",IF(DadosL[[#This Row],[qtde_batalhas]]&lt;=25,"Médio","Alto")))</f>
        <v>Alto</v>
      </c>
      <c r="M21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63500</v>
      </c>
      <c r="N217" s="1" t="str">
        <f>IF(AND(DadosL[[#This Row],[nivel_risco]]="Alto",DadosL[[#This Row],[flag_inadimplente]]="Sim"),"Negado","Aprovado")</f>
        <v>Aprovado</v>
      </c>
      <c r="O217" s="1" t="str">
        <f>IF(AND(ISNUMBER(DadosL[[#This Row],[credito_tomado]]),DadosL[[#This Row],[credito_tomado]]&gt;50000,DadosL[[#This Row],[flag_inadimplente]]="Sim"),"Negado","Aprovado")</f>
        <v>Aprovado</v>
      </c>
      <c r="P217" s="46">
        <f>IF(OR(DadosL[[#This Row],[Analise_Risco]]="Negado",DadosL[[#This Row],[Analise_Credito]]="Negado"),0,IF(DadosL[[#This Row],[status]]="Ativo",DadosL[[#This Row],[valor_solicitado]]*1.08,0))</f>
        <v>68580</v>
      </c>
    </row>
    <row r="218" spans="1:16">
      <c r="A21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18" s="1" t="str">
        <f>PROPER(TRIM(DadosBrutos[[#This Row],[nome]]))</f>
        <v>Tormund Yronwood</v>
      </c>
      <c r="C218" s="1" t="str">
        <f>IF(LEN(SUBSTITUTE(SUBSTITUTE(SUBSTITUTE(DadosBrutos[[#This Row],[cpf]],".",""),"-","")," ",""))=11,DadosBrutos[[#This Row],[cpf]],"-")</f>
        <v>000.000.187-00</v>
      </c>
      <c r="D21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39</v>
      </c>
      <c r="E218" s="45">
        <f>IF(DadosBrutos[[#This Row],[data_nascimento]]="","-",DadosBrutos[[#This Row],[data_nascimento]])</f>
        <v>31972</v>
      </c>
      <c r="F218" s="1" t="str">
        <f>IF(ISNUMBER(SEARCH("|",DadosBrutos[[#This Row],[cidade]])),TRIM(LEFT(DadosBrutos[[#This Row],[cidade]],SEARCH("|",DadosBrutos[[#This Row],[cidade]])-1)),TRIM(DadosBrutos[[#This Row],[cidade]]))</f>
        <v>Correrrio</v>
      </c>
      <c r="G21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218" s="37">
        <f>IF(DadosBrutos[[#This Row],[renda_mensal]]="","-",IF(ISNUMBER(DadosBrutos[[#This Row],[renda_mensal]]),DadosBrutos[[#This Row],[renda_mensal]],IFERROR(VALUE(SUBSTITUTE(DadosBrutos[[#This Row],[renda_mensal]]," moedas","")),"-")))</f>
        <v>8700</v>
      </c>
      <c r="I218" s="37">
        <f>IF(DadosBrutos[[#This Row],[credito_tomado]]="","-",IF(ISNUMBER(DadosBrutos[[#This Row],[credito_tomado]]),DadosBrutos[[#This Row],[credito_tomado]],IFERROR(VALUE(SUBSTITUTE(DadosBrutos[[#This Row],[credito_tomado]]," moedas","")),"-")))</f>
        <v>4500</v>
      </c>
      <c r="J21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18" s="1">
        <f>IF(DadosBrutos[[#This Row],[qtde_batalhas]]="","-",IF(ISNUMBER(DadosBrutos[[#This Row],[qtde_batalhas]]),DadosBrutos[[#This Row],[qtde_batalhas]],IFERROR(VALUE(SUBSTITUTE(DadosBrutos[[#This Row],[qtde_batalhas]]," batalhas","")),"-")))</f>
        <v>16</v>
      </c>
      <c r="L218" s="1" t="str">
        <f>IF(DadosL[[#This Row],[qtde_batalhas]]="-","-",IF(DadosL[[#This Row],[qtde_batalhas]]&lt;=10,"Baixo",IF(DadosL[[#This Row],[qtde_batalhas]]&lt;=25,"Médio","Alto")))</f>
        <v>Médio</v>
      </c>
      <c r="M21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93500</v>
      </c>
      <c r="N218" s="1" t="str">
        <f>IF(AND(DadosL[[#This Row],[nivel_risco]]="Alto",DadosL[[#This Row],[flag_inadimplente]]="Sim"),"Negado","Aprovado")</f>
        <v>Aprovado</v>
      </c>
      <c r="O218" s="1" t="str">
        <f>IF(AND(ISNUMBER(DadosL[[#This Row],[credito_tomado]]),DadosL[[#This Row],[credito_tomado]]&gt;50000,DadosL[[#This Row],[flag_inadimplente]]="Sim"),"Negado","Aprovado")</f>
        <v>Aprovado</v>
      </c>
      <c r="P218" s="46">
        <f>IF(OR(DadosL[[#This Row],[Analise_Risco]]="Negado",DadosL[[#This Row],[Analise_Credito]]="Negado"),0,IF(DadosL[[#This Row],[status]]="Ativo",DadosL[[#This Row],[valor_solicitado]]*1.08,0))</f>
        <v>100980</v>
      </c>
    </row>
    <row r="219" spans="1:16">
      <c r="A21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19" s="1" t="str">
        <f>PROPER(TRIM(DadosBrutos[[#This Row],[nome]]))</f>
        <v>Ramsay Tarly</v>
      </c>
      <c r="C219" s="1" t="str">
        <f>IF(LEN(SUBSTITUTE(SUBSTITUTE(SUBSTITUTE(DadosBrutos[[#This Row],[cpf]],".",""),"-","")," ",""))=11,DadosBrutos[[#This Row],[cpf]],"-")</f>
        <v>-</v>
      </c>
      <c r="D21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35</v>
      </c>
      <c r="E219" s="45">
        <f>IF(DadosBrutos[[#This Row],[data_nascimento]]="","-",DadosBrutos[[#This Row],[data_nascimento]])</f>
        <v>33440</v>
      </c>
      <c r="F219" s="1" t="str">
        <f>IF(ISNUMBER(SEARCH("|",DadosBrutos[[#This Row],[cidade]])),TRIM(LEFT(DadosBrutos[[#This Row],[cidade]],SEARCH("|",DadosBrutos[[#This Row],[cidade]])-1)),TRIM(DadosBrutos[[#This Row],[cidade]]))</f>
        <v>Pyke</v>
      </c>
      <c r="G21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219" s="37">
        <f>IF(DadosBrutos[[#This Row],[renda_mensal]]="","-",IF(ISNUMBER(DadosBrutos[[#This Row],[renda_mensal]]),DadosBrutos[[#This Row],[renda_mensal]],IFERROR(VALUE(SUBSTITUTE(DadosBrutos[[#This Row],[renda_mensal]]," moedas","")),"-")))</f>
        <v>2000</v>
      </c>
      <c r="I219" s="37">
        <f>IF(DadosBrutos[[#This Row],[credito_tomado]]="","-",IF(ISNUMBER(DadosBrutos[[#This Row],[credito_tomado]]),DadosBrutos[[#This Row],[credito_tomado]],IFERROR(VALUE(SUBSTITUTE(DadosBrutos[[#This Row],[credito_tomado]]," moedas","")),"-")))</f>
        <v>5500</v>
      </c>
      <c r="J21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19" s="1">
        <f>IF(DadosBrutos[[#This Row],[qtde_batalhas]]="","-",IF(ISNUMBER(DadosBrutos[[#This Row],[qtde_batalhas]]),DadosBrutos[[#This Row],[qtde_batalhas]],IFERROR(VALUE(SUBSTITUTE(DadosBrutos[[#This Row],[qtde_batalhas]]," batalhas","")),"-")))</f>
        <v>34</v>
      </c>
      <c r="L219" s="1" t="str">
        <f>IF(DadosL[[#This Row],[qtde_batalhas]]="-","-",IF(DadosL[[#This Row],[qtde_batalhas]]&lt;=10,"Baixo",IF(DadosL[[#This Row],[qtde_batalhas]]&lt;=25,"Médio","Alto")))</f>
        <v>Alto</v>
      </c>
      <c r="M21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71000</v>
      </c>
      <c r="N219" s="1" t="str">
        <f>IF(AND(DadosL[[#This Row],[nivel_risco]]="Alto",DadosL[[#This Row],[flag_inadimplente]]="Sim"),"Negado","Aprovado")</f>
        <v>Aprovado</v>
      </c>
      <c r="O219" s="1" t="str">
        <f>IF(AND(ISNUMBER(DadosL[[#This Row],[credito_tomado]]),DadosL[[#This Row],[credito_tomado]]&gt;50000,DadosL[[#This Row],[flag_inadimplente]]="Sim"),"Negado","Aprovado")</f>
        <v>Aprovado</v>
      </c>
      <c r="P219" s="46">
        <f>IF(OR(DadosL[[#This Row],[Analise_Risco]]="Negado",DadosL[[#This Row],[Analise_Credito]]="Negado"),0,IF(DadosL[[#This Row],[status]]="Ativo",DadosL[[#This Row],[valor_solicitado]]*1.08,0))</f>
        <v>76680</v>
      </c>
    </row>
    <row r="220" spans="1:16">
      <c r="A22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20" s="1" t="str">
        <f>PROPER(TRIM(DadosBrutos[[#This Row],[nome]]))</f>
        <v>Shae Mormont</v>
      </c>
      <c r="C220" s="1" t="str">
        <f>IF(LEN(SUBSTITUTE(SUBSTITUTE(SUBSTITUTE(DadosBrutos[[#This Row],[cpf]],".",""),"-","")," ",""))=11,DadosBrutos[[#This Row],[cpf]],"-")</f>
        <v>000.000.114-00</v>
      </c>
      <c r="D22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72</v>
      </c>
      <c r="E220" s="45">
        <f>IF(DadosBrutos[[#This Row],[data_nascimento]]="","-",DadosBrutos[[#This Row],[data_nascimento]])</f>
        <v>19623</v>
      </c>
      <c r="F220" s="1" t="str">
        <f>IF(ISNUMBER(SEARCH("|",DadosBrutos[[#This Row],[cidade]])),TRIM(LEFT(DadosBrutos[[#This Row],[cidade]],SEARCH("|",DadosBrutos[[#This Row],[cidade]])-1)),TRIM(DadosBrutos[[#This Row],[cidade]]))</f>
        <v>Lannisporto</v>
      </c>
      <c r="G22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220" s="37">
        <f>IF(DadosBrutos[[#This Row],[renda_mensal]]="","-",IF(ISNUMBER(DadosBrutos[[#This Row],[renda_mensal]]),DadosBrutos[[#This Row],[renda_mensal]],IFERROR(VALUE(SUBSTITUTE(DadosBrutos[[#This Row],[renda_mensal]]," moedas","")),"-")))</f>
        <v>12600</v>
      </c>
      <c r="I220" s="37">
        <f>IF(DadosBrutos[[#This Row],[credito_tomado]]="","-",IF(ISNUMBER(DadosBrutos[[#This Row],[credito_tomado]]),DadosBrutos[[#This Row],[credito_tomado]],IFERROR(VALUE(SUBSTITUTE(DadosBrutos[[#This Row],[credito_tomado]]," moedas","")),"-")))</f>
        <v>5500</v>
      </c>
      <c r="J22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20" s="1">
        <f>IF(DadosBrutos[[#This Row],[qtde_batalhas]]="","-",IF(ISNUMBER(DadosBrutos[[#This Row],[qtde_batalhas]]),DadosBrutos[[#This Row],[qtde_batalhas]],IFERROR(VALUE(SUBSTITUTE(DadosBrutos[[#This Row],[qtde_batalhas]]," batalhas","")),"-")))</f>
        <v>35</v>
      </c>
      <c r="L220" s="1" t="str">
        <f>IF(DadosL[[#This Row],[qtde_batalhas]]="-","-",IF(DadosL[[#This Row],[qtde_batalhas]]&lt;=10,"Baixo",IF(DadosL[[#This Row],[qtde_batalhas]]&lt;=25,"Médio","Alto")))</f>
        <v>Alto</v>
      </c>
      <c r="M22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21000</v>
      </c>
      <c r="N220" s="1" t="str">
        <f>IF(AND(DadosL[[#This Row],[nivel_risco]]="Alto",DadosL[[#This Row],[flag_inadimplente]]="Sim"),"Negado","Aprovado")</f>
        <v>Aprovado</v>
      </c>
      <c r="O220" s="1" t="str">
        <f>IF(AND(ISNUMBER(DadosL[[#This Row],[credito_tomado]]),DadosL[[#This Row],[credito_tomado]]&gt;50000,DadosL[[#This Row],[flag_inadimplente]]="Sim"),"Negado","Aprovado")</f>
        <v>Aprovado</v>
      </c>
      <c r="P220" s="46">
        <f>IF(OR(DadosL[[#This Row],[Analise_Risco]]="Negado",DadosL[[#This Row],[Analise_Credito]]="Negado"),0,IF(DadosL[[#This Row],[status]]="Ativo",DadosL[[#This Row],[valor_solicitado]]*1.08,0))</f>
        <v>22680</v>
      </c>
    </row>
    <row r="221" spans="1:16">
      <c r="A22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21" s="1" t="str">
        <f>PROPER(TRIM(DadosBrutos[[#This Row],[nome]]))</f>
        <v>Renly Bolton</v>
      </c>
      <c r="C221" s="1" t="str">
        <f>IF(LEN(SUBSTITUTE(SUBSTITUTE(SUBSTITUTE(DadosBrutos[[#This Row],[cpf]],".",""),"-","")," ",""))=11,DadosBrutos[[#This Row],[cpf]],"-")</f>
        <v>000.000.303-00</v>
      </c>
      <c r="D22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24</v>
      </c>
      <c r="E221" s="45" t="str">
        <f>IF(DadosBrutos[[#This Row],[data_nascimento]]="","-",DadosBrutos[[#This Row],[data_nascimento]])</f>
        <v>-</v>
      </c>
      <c r="F221" s="1" t="str">
        <f>IF(ISNUMBER(SEARCH("|",DadosBrutos[[#This Row],[cidade]])),TRIM(LEFT(DadosBrutos[[#This Row],[cidade]],SEARCH("|",DadosBrutos[[#This Row],[cidade]])-1)),TRIM(DadosBrutos[[#This Row],[cidade]]))</f>
        <v>Castelo Negro</v>
      </c>
      <c r="G22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21" s="37">
        <f>IF(DadosBrutos[[#This Row],[renda_mensal]]="","-",IF(ISNUMBER(DadosBrutos[[#This Row],[renda_mensal]]),DadosBrutos[[#This Row],[renda_mensal]],IFERROR(VALUE(SUBSTITUTE(DadosBrutos[[#This Row],[renda_mensal]]," moedas","")),"-")))</f>
        <v>29300</v>
      </c>
      <c r="I221" s="37">
        <f>IF(DadosBrutos[[#This Row],[credito_tomado]]="","-",IF(ISNUMBER(DadosBrutos[[#This Row],[credito_tomado]]),DadosBrutos[[#This Row],[credito_tomado]],IFERROR(VALUE(SUBSTITUTE(DadosBrutos[[#This Row],[credito_tomado]]," moedas","")),"-")))</f>
        <v>32000</v>
      </c>
      <c r="J22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21" s="1">
        <f>IF(DadosBrutos[[#This Row],[qtde_batalhas]]="","-",IF(ISNUMBER(DadosBrutos[[#This Row],[qtde_batalhas]]),DadosBrutos[[#This Row],[qtde_batalhas]],IFERROR(VALUE(SUBSTITUTE(DadosBrutos[[#This Row],[qtde_batalhas]]," batalhas","")),"-")))</f>
        <v>26</v>
      </c>
      <c r="L221" s="1" t="str">
        <f>IF(DadosL[[#This Row],[qtde_batalhas]]="-","-",IF(DadosL[[#This Row],[qtde_batalhas]]&lt;=10,"Baixo",IF(DadosL[[#This Row],[qtde_batalhas]]&lt;=25,"Médio","Alto")))</f>
        <v>Alto</v>
      </c>
      <c r="M22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59000</v>
      </c>
      <c r="N221" s="1" t="str">
        <f>IF(AND(DadosL[[#This Row],[nivel_risco]]="Alto",DadosL[[#This Row],[flag_inadimplente]]="Sim"),"Negado","Aprovado")</f>
        <v>Negado</v>
      </c>
      <c r="O221" s="1" t="str">
        <f>IF(AND(ISNUMBER(DadosL[[#This Row],[credito_tomado]]),DadosL[[#This Row],[credito_tomado]]&gt;50000,DadosL[[#This Row],[flag_inadimplente]]="Sim"),"Negado","Aprovado")</f>
        <v>Aprovado</v>
      </c>
      <c r="P221" s="46">
        <f>IF(OR(DadosL[[#This Row],[Analise_Risco]]="Negado",DadosL[[#This Row],[Analise_Credito]]="Negado"),0,IF(DadosL[[#This Row],[status]]="Ativo",DadosL[[#This Row],[valor_solicitado]]*1.08,0))</f>
        <v>0</v>
      </c>
    </row>
    <row r="222" spans="1:16">
      <c r="A22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22" s="1" t="str">
        <f>PROPER(TRIM(DadosBrutos[[#This Row],[nome]]))</f>
        <v>Grey Worm Hornwood</v>
      </c>
      <c r="C222" s="1" t="str">
        <f>IF(LEN(SUBSTITUTE(SUBSTITUTE(SUBSTITUTE(DadosBrutos[[#This Row],[cpf]],".",""),"-","")," ",""))=11,DadosBrutos[[#This Row],[cpf]],"-")</f>
        <v>000.000.322-00</v>
      </c>
      <c r="D22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26</v>
      </c>
      <c r="E222" s="45">
        <f>IF(DadosBrutos[[#This Row],[data_nascimento]]="","-",DadosBrutos[[#This Row],[data_nascimento]])</f>
        <v>36540</v>
      </c>
      <c r="F222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22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222" s="37">
        <f>IF(DadosBrutos[[#This Row],[renda_mensal]]="","-",IF(ISNUMBER(DadosBrutos[[#This Row],[renda_mensal]]),DadosBrutos[[#This Row],[renda_mensal]],IFERROR(VALUE(SUBSTITUTE(DadosBrutos[[#This Row],[renda_mensal]]," moedas","")),"-")))</f>
        <v>24000</v>
      </c>
      <c r="I222" s="37">
        <f>IF(DadosBrutos[[#This Row],[credito_tomado]]="","-",IF(ISNUMBER(DadosBrutos[[#This Row],[credito_tomado]]),DadosBrutos[[#This Row],[credito_tomado]],IFERROR(VALUE(SUBSTITUTE(DadosBrutos[[#This Row],[credito_tomado]]," moedas","")),"-")))</f>
        <v>52000</v>
      </c>
      <c r="J22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22" s="1">
        <f>IF(DadosBrutos[[#This Row],[qtde_batalhas]]="","-",IF(ISNUMBER(DadosBrutos[[#This Row],[qtde_batalhas]]),DadosBrutos[[#This Row],[qtde_batalhas]],IFERROR(VALUE(SUBSTITUTE(DadosBrutos[[#This Row],[qtde_batalhas]]," batalhas","")),"-")))</f>
        <v>30</v>
      </c>
      <c r="L222" s="1" t="str">
        <f>IF(DadosL[[#This Row],[qtde_batalhas]]="-","-",IF(DadosL[[#This Row],[qtde_batalhas]]&lt;=10,"Baixo",IF(DadosL[[#This Row],[qtde_batalhas]]&lt;=25,"Médio","Alto")))</f>
        <v>Alto</v>
      </c>
      <c r="M22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62500</v>
      </c>
      <c r="N222" s="1" t="str">
        <f>IF(AND(DadosL[[#This Row],[nivel_risco]]="Alto",DadosL[[#This Row],[flag_inadimplente]]="Sim"),"Negado","Aprovado")</f>
        <v>Aprovado</v>
      </c>
      <c r="O222" s="1" t="str">
        <f>IF(AND(ISNUMBER(DadosL[[#This Row],[credito_tomado]]),DadosL[[#This Row],[credito_tomado]]&gt;50000,DadosL[[#This Row],[flag_inadimplente]]="Sim"),"Negado","Aprovado")</f>
        <v>Aprovado</v>
      </c>
      <c r="P222" s="46">
        <f>IF(OR(DadosL[[#This Row],[Analise_Risco]]="Negado",DadosL[[#This Row],[Analise_Credito]]="Negado"),0,IF(DadosL[[#This Row],[status]]="Ativo",DadosL[[#This Row],[valor_solicitado]]*1.08,0))</f>
        <v>0</v>
      </c>
    </row>
    <row r="223" spans="1:16">
      <c r="A22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23" s="1" t="str">
        <f>PROPER(TRIM(DadosBrutos[[#This Row],[nome]]))</f>
        <v>Rhaegar Dayne</v>
      </c>
      <c r="C223" s="1" t="str">
        <f>IF(LEN(SUBSTITUTE(SUBSTITUTE(SUBSTITUTE(DadosBrutos[[#This Row],[cpf]],".",""),"-","")," ",""))=11,DadosBrutos[[#This Row],[cpf]],"-")</f>
        <v>000.000.335-00</v>
      </c>
      <c r="D22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35</v>
      </c>
      <c r="E223" s="45">
        <f>IF(DadosBrutos[[#This Row],[data_nascimento]]="","-",DadosBrutos[[#This Row],[data_nascimento]])</f>
        <v>33309</v>
      </c>
      <c r="F223" s="1" t="str">
        <f>IF(ISNUMBER(SEARCH("|",DadosBrutos[[#This Row],[cidade]])),TRIM(LEFT(DadosBrutos[[#This Row],[cidade]],SEARCH("|",DadosBrutos[[#This Row],[cidade]])-1)),TRIM(DadosBrutos[[#This Row],[cidade]]))</f>
        <v>Correrrio</v>
      </c>
      <c r="G22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223" s="37">
        <f>IF(DadosBrutos[[#This Row],[renda_mensal]]="","-",IF(ISNUMBER(DadosBrutos[[#This Row],[renda_mensal]]),DadosBrutos[[#This Row],[renda_mensal]],IFERROR(VALUE(SUBSTITUTE(DadosBrutos[[#This Row],[renda_mensal]]," moedas","")),"-")))</f>
        <v>28500</v>
      </c>
      <c r="I223" s="37">
        <f>IF(DadosBrutos[[#This Row],[credito_tomado]]="","-",IF(ISNUMBER(DadosBrutos[[#This Row],[credito_tomado]]),DadosBrutos[[#This Row],[credito_tomado]],IFERROR(VALUE(SUBSTITUTE(DadosBrutos[[#This Row],[credito_tomado]]," moedas","")),"-")))</f>
        <v>48500</v>
      </c>
      <c r="J22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23" s="1">
        <f>IF(DadosBrutos[[#This Row],[qtde_batalhas]]="","-",IF(ISNUMBER(DadosBrutos[[#This Row],[qtde_batalhas]]),DadosBrutos[[#This Row],[qtde_batalhas]],IFERROR(VALUE(SUBSTITUTE(DadosBrutos[[#This Row],[qtde_batalhas]]," batalhas","")),"-")))</f>
        <v>24</v>
      </c>
      <c r="L223" s="1" t="str">
        <f>IF(DadosL[[#This Row],[qtde_batalhas]]="-","-",IF(DadosL[[#This Row],[qtde_batalhas]]&lt;=10,"Baixo",IF(DadosL[[#This Row],[qtde_batalhas]]&lt;=25,"Médio","Alto")))</f>
        <v>Médio</v>
      </c>
      <c r="M22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80500</v>
      </c>
      <c r="N223" s="1" t="str">
        <f>IF(AND(DadosL[[#This Row],[nivel_risco]]="Alto",DadosL[[#This Row],[flag_inadimplente]]="Sim"),"Negado","Aprovado")</f>
        <v>Aprovado</v>
      </c>
      <c r="O223" s="1" t="str">
        <f>IF(AND(ISNUMBER(DadosL[[#This Row],[credito_tomado]]),DadosL[[#This Row],[credito_tomado]]&gt;50000,DadosL[[#This Row],[flag_inadimplente]]="Sim"),"Negado","Aprovado")</f>
        <v>Aprovado</v>
      </c>
      <c r="P223" s="46">
        <f>IF(OR(DadosL[[#This Row],[Analise_Risco]]="Negado",DadosL[[#This Row],[Analise_Credito]]="Negado"),0,IF(DadosL[[#This Row],[status]]="Ativo",DadosL[[#This Row],[valor_solicitado]]*1.08,0))</f>
        <v>86940</v>
      </c>
    </row>
    <row r="224" spans="1:16">
      <c r="A22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24" s="1" t="str">
        <f>PROPER(TRIM(DadosBrutos[[#This Row],[nome]]))</f>
        <v>Bran Bolton</v>
      </c>
      <c r="C224" s="1" t="str">
        <f>IF(LEN(SUBSTITUTE(SUBSTITUTE(SUBSTITUTE(DadosBrutos[[#This Row],[cpf]],".",""),"-","")," ",""))=11,DadosBrutos[[#This Row],[cpf]],"-")</f>
        <v>000.000.003-00</v>
      </c>
      <c r="D22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23</v>
      </c>
      <c r="E224" s="45">
        <f>IF(DadosBrutos[[#This Row],[data_nascimento]]="","-",DadosBrutos[[#This Row],[data_nascimento]])</f>
        <v>37785</v>
      </c>
      <c r="F224" s="1" t="str">
        <f>IF(ISNUMBER(SEARCH("|",DadosBrutos[[#This Row],[cidade]])),TRIM(LEFT(DadosBrutos[[#This Row],[cidade]],SEARCH("|",DadosBrutos[[#This Row],[cidade]])-1)),TRIM(DadosBrutos[[#This Row],[cidade]]))</f>
        <v>Porto Real</v>
      </c>
      <c r="G22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224" s="37">
        <f>IF(DadosBrutos[[#This Row],[renda_mensal]]="","-",IF(ISNUMBER(DadosBrutos[[#This Row],[renda_mensal]]),DadosBrutos[[#This Row],[renda_mensal]],IFERROR(VALUE(SUBSTITUTE(DadosBrutos[[#This Row],[renda_mensal]]," moedas","")),"-")))</f>
        <v>17900</v>
      </c>
      <c r="I224" s="37">
        <f>IF(DadosBrutos[[#This Row],[credito_tomado]]="","-",IF(ISNUMBER(DadosBrutos[[#This Row],[credito_tomado]]),DadosBrutos[[#This Row],[credito_tomado]],IFERROR(VALUE(SUBSTITUTE(DadosBrutos[[#This Row],[credito_tomado]]," moedas","")),"-")))</f>
        <v>28000</v>
      </c>
      <c r="J22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24" s="1">
        <f>IF(DadosBrutos[[#This Row],[qtde_batalhas]]="","-",IF(ISNUMBER(DadosBrutos[[#This Row],[qtde_batalhas]]),DadosBrutos[[#This Row],[qtde_batalhas]],IFERROR(VALUE(SUBSTITUTE(DadosBrutos[[#This Row],[qtde_batalhas]]," batalhas","")),"-")))</f>
        <v>41</v>
      </c>
      <c r="L224" s="1" t="str">
        <f>IF(DadosL[[#This Row],[qtde_batalhas]]="-","-",IF(DadosL[[#This Row],[qtde_batalhas]]&lt;=10,"Baixo",IF(DadosL[[#This Row],[qtde_batalhas]]&lt;=25,"Médio","Alto")))</f>
        <v>Alto</v>
      </c>
      <c r="M22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52500</v>
      </c>
      <c r="N224" s="1" t="str">
        <f>IF(AND(DadosL[[#This Row],[nivel_risco]]="Alto",DadosL[[#This Row],[flag_inadimplente]]="Sim"),"Negado","Aprovado")</f>
        <v>Aprovado</v>
      </c>
      <c r="O224" s="1" t="str">
        <f>IF(AND(ISNUMBER(DadosL[[#This Row],[credito_tomado]]),DadosL[[#This Row],[credito_tomado]]&gt;50000,DadosL[[#This Row],[flag_inadimplente]]="Sim"),"Negado","Aprovado")</f>
        <v>Aprovado</v>
      </c>
      <c r="P224" s="46">
        <f>IF(OR(DadosL[[#This Row],[Analise_Risco]]="Negado",DadosL[[#This Row],[Analise_Credito]]="Negado"),0,IF(DadosL[[#This Row],[status]]="Ativo",DadosL[[#This Row],[valor_solicitado]]*1.08,0))</f>
        <v>56700.000000000007</v>
      </c>
    </row>
    <row r="225" spans="1:16">
      <c r="A22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25" s="1" t="str">
        <f>PROPER(TRIM(DadosBrutos[[#This Row],[nome]]))</f>
        <v>Shae Tarly</v>
      </c>
      <c r="C225" s="1" t="str">
        <f>IF(LEN(SUBSTITUTE(SUBSTITUTE(SUBSTITUTE(DadosBrutos[[#This Row],[cpf]],".",""),"-","")," ",""))=11,DadosBrutos[[#This Row],[cpf]],"-")</f>
        <v>000.000.235-00</v>
      </c>
      <c r="D22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33</v>
      </c>
      <c r="E225" s="45">
        <f>IF(DadosBrutos[[#This Row],[data_nascimento]]="","-",DadosBrutos[[#This Row],[data_nascimento]])</f>
        <v>33902</v>
      </c>
      <c r="F225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22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225" s="37">
        <f>IF(DadosBrutos[[#This Row],[renda_mensal]]="","-",IF(ISNUMBER(DadosBrutos[[#This Row],[renda_mensal]]),DadosBrutos[[#This Row],[renda_mensal]],IFERROR(VALUE(SUBSTITUTE(DadosBrutos[[#This Row],[renda_mensal]]," moedas","")),"-")))</f>
        <v>12500</v>
      </c>
      <c r="I225" s="37">
        <f>IF(DadosBrutos[[#This Row],[credito_tomado]]="","-",IF(ISNUMBER(DadosBrutos[[#This Row],[credito_tomado]]),DadosBrutos[[#This Row],[credito_tomado]],IFERROR(VALUE(SUBSTITUTE(DadosBrutos[[#This Row],[credito_tomado]]," moedas","")),"-")))</f>
        <v>51500</v>
      </c>
      <c r="J22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25" s="1">
        <f>IF(DadosBrutos[[#This Row],[qtde_batalhas]]="","-",IF(ISNUMBER(DadosBrutos[[#This Row],[qtde_batalhas]]),DadosBrutos[[#This Row],[qtde_batalhas]],IFERROR(VALUE(SUBSTITUTE(DadosBrutos[[#This Row],[qtde_batalhas]]," batalhas","")),"-")))</f>
        <v>44</v>
      </c>
      <c r="L225" s="1" t="str">
        <f>IF(DadosL[[#This Row],[qtde_batalhas]]="-","-",IF(DadosL[[#This Row],[qtde_batalhas]]&lt;=10,"Baixo",IF(DadosL[[#This Row],[qtde_batalhas]]&lt;=25,"Médio","Alto")))</f>
        <v>Alto</v>
      </c>
      <c r="M22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24000</v>
      </c>
      <c r="N225" s="1" t="str">
        <f>IF(AND(DadosL[[#This Row],[nivel_risco]]="Alto",DadosL[[#This Row],[flag_inadimplente]]="Sim"),"Negado","Aprovado")</f>
        <v>Negado</v>
      </c>
      <c r="O225" s="1" t="str">
        <f>IF(AND(ISNUMBER(DadosL[[#This Row],[credito_tomado]]),DadosL[[#This Row],[credito_tomado]]&gt;50000,DadosL[[#This Row],[flag_inadimplente]]="Sim"),"Negado","Aprovado")</f>
        <v>Negado</v>
      </c>
      <c r="P225" s="46">
        <f>IF(OR(DadosL[[#This Row],[Analise_Risco]]="Negado",DadosL[[#This Row],[Analise_Credito]]="Negado"),0,IF(DadosL[[#This Row],[status]]="Ativo",DadosL[[#This Row],[valor_solicitado]]*1.08,0))</f>
        <v>0</v>
      </c>
    </row>
    <row r="226" spans="1:16">
      <c r="A22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26" s="1" t="str">
        <f>PROPER(TRIM(DadosBrutos[[#This Row],[nome]]))</f>
        <v>Shae Mormont</v>
      </c>
      <c r="C226" s="1" t="str">
        <f>IF(LEN(SUBSTITUTE(SUBSTITUTE(SUBSTITUTE(DadosBrutos[[#This Row],[cpf]],".",""),"-","")," ",""))=11,DadosBrutos[[#This Row],[cpf]],"-")</f>
        <v>000.000.307-00</v>
      </c>
      <c r="D22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63</v>
      </c>
      <c r="E226" s="45">
        <f>IF(DadosBrutos[[#This Row],[data_nascimento]]="","-",DadosBrutos[[#This Row],[data_nascimento]])</f>
        <v>22900</v>
      </c>
      <c r="F226" s="1" t="str">
        <f>IF(ISNUMBER(SEARCH("|",DadosBrutos[[#This Row],[cidade]])),TRIM(LEFT(DadosBrutos[[#This Row],[cidade]],SEARCH("|",DadosBrutos[[#This Row],[cidade]])-1)),TRIM(DadosBrutos[[#This Row],[cidade]]))</f>
        <v>Dorne</v>
      </c>
      <c r="G22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226" s="37">
        <f>IF(DadosBrutos[[#This Row],[renda_mensal]]="","-",IF(ISNUMBER(DadosBrutos[[#This Row],[renda_mensal]]),DadosBrutos[[#This Row],[renda_mensal]],IFERROR(VALUE(SUBSTITUTE(DadosBrutos[[#This Row],[renda_mensal]]," moedas","")),"-")))</f>
        <v>5500</v>
      </c>
      <c r="I226" s="37">
        <f>IF(DadosBrutos[[#This Row],[credito_tomado]]="","-",IF(ISNUMBER(DadosBrutos[[#This Row],[credito_tomado]]),DadosBrutos[[#This Row],[credito_tomado]],IFERROR(VALUE(SUBSTITUTE(DadosBrutos[[#This Row],[credito_tomado]]," moedas","")),"-")))</f>
        <v>41000</v>
      </c>
      <c r="J22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26" s="1">
        <f>IF(DadosBrutos[[#This Row],[qtde_batalhas]]="","-",IF(ISNUMBER(DadosBrutos[[#This Row],[qtde_batalhas]]),DadosBrutos[[#This Row],[qtde_batalhas]],IFERROR(VALUE(SUBSTITUTE(DadosBrutos[[#This Row],[qtde_batalhas]]," batalhas","")),"-")))</f>
        <v>2</v>
      </c>
      <c r="L226" s="1" t="str">
        <f>IF(DadosL[[#This Row],[qtde_batalhas]]="-","-",IF(DadosL[[#This Row],[qtde_batalhas]]&lt;=10,"Baixo",IF(DadosL[[#This Row],[qtde_batalhas]]&lt;=25,"Médio","Alto")))</f>
        <v>Baixo</v>
      </c>
      <c r="M22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54500</v>
      </c>
      <c r="N226" s="1" t="str">
        <f>IF(AND(DadosL[[#This Row],[nivel_risco]]="Alto",DadosL[[#This Row],[flag_inadimplente]]="Sim"),"Negado","Aprovado")</f>
        <v>Aprovado</v>
      </c>
      <c r="O226" s="1" t="str">
        <f>IF(AND(ISNUMBER(DadosL[[#This Row],[credito_tomado]]),DadosL[[#This Row],[credito_tomado]]&gt;50000,DadosL[[#This Row],[flag_inadimplente]]="Sim"),"Negado","Aprovado")</f>
        <v>Aprovado</v>
      </c>
      <c r="P226" s="46">
        <f>IF(OR(DadosL[[#This Row],[Analise_Risco]]="Negado",DadosL[[#This Row],[Analise_Credito]]="Negado"),0,IF(DadosL[[#This Row],[status]]="Ativo",DadosL[[#This Row],[valor_solicitado]]*1.08,0))</f>
        <v>58860.000000000007</v>
      </c>
    </row>
    <row r="227" spans="1:16">
      <c r="A22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27" s="1" t="str">
        <f>PROPER(TRIM(DadosBrutos[[#This Row],[nome]]))</f>
        <v>Melisandre Crakehall</v>
      </c>
      <c r="C227" s="1" t="str">
        <f>IF(LEN(SUBSTITUTE(SUBSTITUTE(SUBSTITUTE(DadosBrutos[[#This Row],[cpf]],".",""),"-","")," ",""))=11,DadosBrutos[[#This Row],[cpf]],"-")</f>
        <v>000.000.260-00</v>
      </c>
      <c r="D22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31</v>
      </c>
      <c r="E227" s="45">
        <f>IF(DadosBrutos[[#This Row],[data_nascimento]]="","-",DadosBrutos[[#This Row],[data_nascimento]])</f>
        <v>34885</v>
      </c>
      <c r="F227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22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227" s="37">
        <f>IF(DadosBrutos[[#This Row],[renda_mensal]]="","-",IF(ISNUMBER(DadosBrutos[[#This Row],[renda_mensal]]),DadosBrutos[[#This Row],[renda_mensal]],IFERROR(VALUE(SUBSTITUTE(DadosBrutos[[#This Row],[renda_mensal]]," moedas","")),"-")))</f>
        <v>16400</v>
      </c>
      <c r="I227" s="37">
        <f>IF(DadosBrutos[[#This Row],[credito_tomado]]="","-",IF(ISNUMBER(DadosBrutos[[#This Row],[credito_tomado]]),DadosBrutos[[#This Row],[credito_tomado]],IFERROR(VALUE(SUBSTITUTE(DadosBrutos[[#This Row],[credito_tomado]]," moedas","")),"-")))</f>
        <v>45500</v>
      </c>
      <c r="J22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27" s="1">
        <f>IF(DadosBrutos[[#This Row],[qtde_batalhas]]="","-",IF(ISNUMBER(DadosBrutos[[#This Row],[qtde_batalhas]]),DadosBrutos[[#This Row],[qtde_batalhas]],IFERROR(VALUE(SUBSTITUTE(DadosBrutos[[#This Row],[qtde_batalhas]]," batalhas","")),"-")))</f>
        <v>6</v>
      </c>
      <c r="L227" s="1" t="str">
        <f>IF(DadosL[[#This Row],[qtde_batalhas]]="-","-",IF(DadosL[[#This Row],[qtde_batalhas]]&lt;=10,"Baixo",IF(DadosL[[#This Row],[qtde_batalhas]]&lt;=25,"Médio","Alto")))</f>
        <v>Baixo</v>
      </c>
      <c r="M22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49500</v>
      </c>
      <c r="N227" s="1" t="str">
        <f>IF(AND(DadosL[[#This Row],[nivel_risco]]="Alto",DadosL[[#This Row],[flag_inadimplente]]="Sim"),"Negado","Aprovado")</f>
        <v>Aprovado</v>
      </c>
      <c r="O227" s="1" t="str">
        <f>IF(AND(ISNUMBER(DadosL[[#This Row],[credito_tomado]]),DadosL[[#This Row],[credito_tomado]]&gt;50000,DadosL[[#This Row],[flag_inadimplente]]="Sim"),"Negado","Aprovado")</f>
        <v>Aprovado</v>
      </c>
      <c r="P227" s="46">
        <f>IF(OR(DadosL[[#This Row],[Analise_Risco]]="Negado",DadosL[[#This Row],[Analise_Credito]]="Negado"),0,IF(DadosL[[#This Row],[status]]="Ativo",DadosL[[#This Row],[valor_solicitado]]*1.08,0))</f>
        <v>0</v>
      </c>
    </row>
    <row r="228" spans="1:16">
      <c r="A22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28" s="1" t="str">
        <f>PROPER(TRIM(DadosBrutos[[#This Row],[nome]]))</f>
        <v>Sandor Westerling</v>
      </c>
      <c r="C228" s="1" t="str">
        <f>IF(LEN(SUBSTITUTE(SUBSTITUTE(SUBSTITUTE(DadosBrutos[[#This Row],[cpf]],".",""),"-","")," ",""))=11,DadosBrutos[[#This Row],[cpf]],"-")</f>
        <v>000.000.008-00</v>
      </c>
      <c r="D22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71</v>
      </c>
      <c r="E228" s="45">
        <f>IF(DadosBrutos[[#This Row],[data_nascimento]]="","-",DadosBrutos[[#This Row],[data_nascimento]])</f>
        <v>20000</v>
      </c>
      <c r="F228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22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228" s="37">
        <f>IF(DadosBrutos[[#This Row],[renda_mensal]]="","-",IF(ISNUMBER(DadosBrutos[[#This Row],[renda_mensal]]),DadosBrutos[[#This Row],[renda_mensal]],IFERROR(VALUE(SUBSTITUTE(DadosBrutos[[#This Row],[renda_mensal]]," moedas","")),"-")))</f>
        <v>15100</v>
      </c>
      <c r="I228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22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28" s="1">
        <f>IF(DadosBrutos[[#This Row],[qtde_batalhas]]="","-",IF(ISNUMBER(DadosBrutos[[#This Row],[qtde_batalhas]]),DadosBrutos[[#This Row],[qtde_batalhas]],IFERROR(VALUE(SUBSTITUTE(DadosBrutos[[#This Row],[qtde_batalhas]]," batalhas","")),"-")))</f>
        <v>42</v>
      </c>
      <c r="L228" s="1" t="str">
        <f>IF(DadosL[[#This Row],[qtde_batalhas]]="-","-",IF(DadosL[[#This Row],[qtde_batalhas]]&lt;=10,"Baixo",IF(DadosL[[#This Row],[qtde_batalhas]]&lt;=25,"Médio","Alto")))</f>
        <v>Alto</v>
      </c>
      <c r="M22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77000</v>
      </c>
      <c r="N228" s="1" t="str">
        <f>IF(AND(DadosL[[#This Row],[nivel_risco]]="Alto",DadosL[[#This Row],[flag_inadimplente]]="Sim"),"Negado","Aprovado")</f>
        <v>Aprovado</v>
      </c>
      <c r="O228" s="1" t="str">
        <f>IF(AND(ISNUMBER(DadosL[[#This Row],[credito_tomado]]),DadosL[[#This Row],[credito_tomado]]&gt;50000,DadosL[[#This Row],[flag_inadimplente]]="Sim"),"Negado","Aprovado")</f>
        <v>Aprovado</v>
      </c>
      <c r="P228" s="46">
        <f>IF(OR(DadosL[[#This Row],[Analise_Risco]]="Negado",DadosL[[#This Row],[Analise_Credito]]="Negado"),0,IF(DadosL[[#This Row],[status]]="Ativo",DadosL[[#This Row],[valor_solicitado]]*1.08,0))</f>
        <v>83160</v>
      </c>
    </row>
    <row r="229" spans="1:16">
      <c r="A22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29" s="1" t="str">
        <f>PROPER(TRIM(DadosBrutos[[#This Row],[nome]]))</f>
        <v>Petyr Snow</v>
      </c>
      <c r="C229" s="1" t="str">
        <f>IF(LEN(SUBSTITUTE(SUBSTITUTE(SUBSTITUTE(DadosBrutos[[#This Row],[cpf]],".",""),"-","")," ",""))=11,DadosBrutos[[#This Row],[cpf]],"-")</f>
        <v>-</v>
      </c>
      <c r="D22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67</v>
      </c>
      <c r="E229" s="45">
        <f>IF(DadosBrutos[[#This Row],[data_nascimento]]="","-",DadosBrutos[[#This Row],[data_nascimento]])</f>
        <v>21619</v>
      </c>
      <c r="F229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22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229" s="37">
        <f>IF(DadosBrutos[[#This Row],[renda_mensal]]="","-",IF(ISNUMBER(DadosBrutos[[#This Row],[renda_mensal]]),DadosBrutos[[#This Row],[renda_mensal]],IFERROR(VALUE(SUBSTITUTE(DadosBrutos[[#This Row],[renda_mensal]]," moedas","")),"-")))</f>
        <v>20200</v>
      </c>
      <c r="I229" s="37">
        <f>IF(DadosBrutos[[#This Row],[credito_tomado]]="","-",IF(ISNUMBER(DadosBrutos[[#This Row],[credito_tomado]]),DadosBrutos[[#This Row],[credito_tomado]],IFERROR(VALUE(SUBSTITUTE(DadosBrutos[[#This Row],[credito_tomado]]," moedas","")),"-")))</f>
        <v>6500</v>
      </c>
      <c r="J22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29" s="1">
        <f>IF(DadosBrutos[[#This Row],[qtde_batalhas]]="","-",IF(ISNUMBER(DadosBrutos[[#This Row],[qtde_batalhas]]),DadosBrutos[[#This Row],[qtde_batalhas]],IFERROR(VALUE(SUBSTITUTE(DadosBrutos[[#This Row],[qtde_batalhas]]," batalhas","")),"-")))</f>
        <v>1</v>
      </c>
      <c r="L229" s="1" t="str">
        <f>IF(DadosL[[#This Row],[qtde_batalhas]]="-","-",IF(DadosL[[#This Row],[qtde_batalhas]]&lt;=10,"Baixo",IF(DadosL[[#This Row],[qtde_batalhas]]&lt;=25,"Médio","Alto")))</f>
        <v>Baixo</v>
      </c>
      <c r="M22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98500</v>
      </c>
      <c r="N229" s="1" t="str">
        <f>IF(AND(DadosL[[#This Row],[nivel_risco]]="Alto",DadosL[[#This Row],[flag_inadimplente]]="Sim"),"Negado","Aprovado")</f>
        <v>Aprovado</v>
      </c>
      <c r="O229" s="1" t="str">
        <f>IF(AND(ISNUMBER(DadosL[[#This Row],[credito_tomado]]),DadosL[[#This Row],[credito_tomado]]&gt;50000,DadosL[[#This Row],[flag_inadimplente]]="Sim"),"Negado","Aprovado")</f>
        <v>Aprovado</v>
      </c>
      <c r="P229" s="46">
        <f>IF(OR(DadosL[[#This Row],[Analise_Risco]]="Negado",DadosL[[#This Row],[Analise_Credito]]="Negado"),0,IF(DadosL[[#This Row],[status]]="Ativo",DadosL[[#This Row],[valor_solicitado]]*1.08,0))</f>
        <v>106380</v>
      </c>
    </row>
    <row r="230" spans="1:16">
      <c r="A23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30" s="1" t="str">
        <f>PROPER(TRIM(DadosBrutos[[#This Row],[nome]]))</f>
        <v>Robert Tarth</v>
      </c>
      <c r="C230" s="1" t="str">
        <f>IF(LEN(SUBSTITUTE(SUBSTITUTE(SUBSTITUTE(DadosBrutos[[#This Row],[cpf]],".",""),"-","")," ",""))=11,DadosBrutos[[#This Row],[cpf]],"-")</f>
        <v>000.000.001-00</v>
      </c>
      <c r="D23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27</v>
      </c>
      <c r="E230" s="45">
        <f>IF(DadosBrutos[[#This Row],[data_nascimento]]="","-",DadosBrutos[[#This Row],[data_nascimento]])</f>
        <v>36288</v>
      </c>
      <c r="F230" s="1" t="str">
        <f>IF(ISNUMBER(SEARCH("|",DadosBrutos[[#This Row],[cidade]])),TRIM(LEFT(DadosBrutos[[#This Row],[cidade]],SEARCH("|",DadosBrutos[[#This Row],[cidade]])-1)),TRIM(DadosBrutos[[#This Row],[cidade]]))</f>
        <v>Winterfell</v>
      </c>
      <c r="G23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30" s="37">
        <f>IF(DadosBrutos[[#This Row],[renda_mensal]]="","-",IF(ISNUMBER(DadosBrutos[[#This Row],[renda_mensal]]),DadosBrutos[[#This Row],[renda_mensal]],IFERROR(VALUE(SUBSTITUTE(DadosBrutos[[#This Row],[renda_mensal]]," moedas","")),"-")))</f>
        <v>29700</v>
      </c>
      <c r="I230" s="37">
        <f>IF(DadosBrutos[[#This Row],[credito_tomado]]="","-",IF(ISNUMBER(DadosBrutos[[#This Row],[credito_tomado]]),DadosBrutos[[#This Row],[credito_tomado]],IFERROR(VALUE(SUBSTITUTE(DadosBrutos[[#This Row],[credito_tomado]]," moedas","")),"-")))</f>
        <v>12000</v>
      </c>
      <c r="J23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30" s="1">
        <f>IF(DadosBrutos[[#This Row],[qtde_batalhas]]="","-",IF(ISNUMBER(DadosBrutos[[#This Row],[qtde_batalhas]]),DadosBrutos[[#This Row],[qtde_batalhas]],IFERROR(VALUE(SUBSTITUTE(DadosBrutos[[#This Row],[qtde_batalhas]]," batalhas","")),"-")))</f>
        <v>37</v>
      </c>
      <c r="L230" s="1" t="str">
        <f>IF(DadosL[[#This Row],[qtde_batalhas]]="-","-",IF(DadosL[[#This Row],[qtde_batalhas]]&lt;=10,"Baixo",IF(DadosL[[#This Row],[qtde_batalhas]]&lt;=25,"Médio","Alto")))</f>
        <v>Alto</v>
      </c>
      <c r="M23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49000</v>
      </c>
      <c r="N230" s="1" t="str">
        <f>IF(AND(DadosL[[#This Row],[nivel_risco]]="Alto",DadosL[[#This Row],[flag_inadimplente]]="Sim"),"Negado","Aprovado")</f>
        <v>Aprovado</v>
      </c>
      <c r="O230" s="1" t="str">
        <f>IF(AND(ISNUMBER(DadosL[[#This Row],[credito_tomado]]),DadosL[[#This Row],[credito_tomado]]&gt;50000,DadosL[[#This Row],[flag_inadimplente]]="Sim"),"Negado","Aprovado")</f>
        <v>Aprovado</v>
      </c>
      <c r="P230" s="46">
        <f>IF(OR(DadosL[[#This Row],[Analise_Risco]]="Negado",DadosL[[#This Row],[Analise_Credito]]="Negado"),0,IF(DadosL[[#This Row],[status]]="Ativo",DadosL[[#This Row],[valor_solicitado]]*1.08,0))</f>
        <v>52920</v>
      </c>
    </row>
    <row r="231" spans="1:16">
      <c r="A23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31" s="1" t="str">
        <f>PROPER(TRIM(DadosBrutos[[#This Row],[nome]]))</f>
        <v>Robb Greyjoy</v>
      </c>
      <c r="C231" s="1" t="str">
        <f>IF(LEN(SUBSTITUTE(SUBSTITUTE(SUBSTITUTE(DadosBrutos[[#This Row],[cpf]],".",""),"-","")," ",""))=11,DadosBrutos[[#This Row],[cpf]],"-")</f>
        <v>000.000.227-00</v>
      </c>
      <c r="D23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25</v>
      </c>
      <c r="E231" s="45">
        <f>IF(DadosBrutos[[#This Row],[data_nascimento]]="","-",DadosBrutos[[#This Row],[data_nascimento]])</f>
        <v>37056</v>
      </c>
      <c r="F231" s="1" t="str">
        <f>IF(ISNUMBER(SEARCH("|",DadosBrutos[[#This Row],[cidade]])),TRIM(LEFT(DadosBrutos[[#This Row],[cidade]],SEARCH("|",DadosBrutos[[#This Row],[cidade]])-1)),TRIM(DadosBrutos[[#This Row],[cidade]]))</f>
        <v>Fosso Cailin</v>
      </c>
      <c r="G23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31" s="37">
        <f>IF(DadosBrutos[[#This Row],[renda_mensal]]="","-",IF(ISNUMBER(DadosBrutos[[#This Row],[renda_mensal]]),DadosBrutos[[#This Row],[renda_mensal]],IFERROR(VALUE(SUBSTITUTE(DadosBrutos[[#This Row],[renda_mensal]]," moedas","")),"-")))</f>
        <v>25400</v>
      </c>
      <c r="I231" s="37">
        <f>IF(DadosBrutos[[#This Row],[credito_tomado]]="","-",IF(ISNUMBER(DadosBrutos[[#This Row],[credito_tomado]]),DadosBrutos[[#This Row],[credito_tomado]],IFERROR(VALUE(SUBSTITUTE(DadosBrutos[[#This Row],[credito_tomado]]," moedas","")),"-")))</f>
        <v>4000</v>
      </c>
      <c r="J23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31" s="1">
        <f>IF(DadosBrutos[[#This Row],[qtde_batalhas]]="","-",IF(ISNUMBER(DadosBrutos[[#This Row],[qtde_batalhas]]),DadosBrutos[[#This Row],[qtde_batalhas]],IFERROR(VALUE(SUBSTITUTE(DadosBrutos[[#This Row],[qtde_batalhas]]," batalhas","")),"-")))</f>
        <v>4</v>
      </c>
      <c r="L231" s="1" t="str">
        <f>IF(DadosL[[#This Row],[qtde_batalhas]]="-","-",IF(DadosL[[#This Row],[qtde_batalhas]]&lt;=10,"Baixo",IF(DadosL[[#This Row],[qtde_batalhas]]&lt;=25,"Médio","Alto")))</f>
        <v>Baixo</v>
      </c>
      <c r="M23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8500</v>
      </c>
      <c r="N231" s="1" t="str">
        <f>IF(AND(DadosL[[#This Row],[nivel_risco]]="Alto",DadosL[[#This Row],[flag_inadimplente]]="Sim"),"Negado","Aprovado")</f>
        <v>Aprovado</v>
      </c>
      <c r="O231" s="1" t="str">
        <f>IF(AND(ISNUMBER(DadosL[[#This Row],[credito_tomado]]),DadosL[[#This Row],[credito_tomado]]&gt;50000,DadosL[[#This Row],[flag_inadimplente]]="Sim"),"Negado","Aprovado")</f>
        <v>Aprovado</v>
      </c>
      <c r="P231" s="46">
        <f>IF(OR(DadosL[[#This Row],[Analise_Risco]]="Negado",DadosL[[#This Row],[Analise_Credito]]="Negado"),0,IF(DadosL[[#This Row],[status]]="Ativo",DadosL[[#This Row],[valor_solicitado]]*1.08,0))</f>
        <v>9180</v>
      </c>
    </row>
    <row r="232" spans="1:16">
      <c r="A23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32" s="1" t="str">
        <f>PROPER(TRIM(DadosBrutos[[#This Row],[nome]]))</f>
        <v>Yara  Marbrand</v>
      </c>
      <c r="C232" s="1" t="str">
        <f>IF(LEN(SUBSTITUTE(SUBSTITUTE(SUBSTITUTE(DadosBrutos[[#This Row],[cpf]],".",""),"-","")," ",""))=11,DadosBrutos[[#This Row],[cpf]],"-")</f>
        <v>000.000.266-00</v>
      </c>
      <c r="D23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70</v>
      </c>
      <c r="E232" s="45">
        <f>IF(DadosBrutos[[#This Row],[data_nascimento]]="","-",DadosBrutos[[#This Row],[data_nascimento]])</f>
        <v>20533</v>
      </c>
      <c r="F232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23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232" s="37">
        <f>IF(DadosBrutos[[#This Row],[renda_mensal]]="","-",IF(ISNUMBER(DadosBrutos[[#This Row],[renda_mensal]]),DadosBrutos[[#This Row],[renda_mensal]],IFERROR(VALUE(SUBSTITUTE(DadosBrutos[[#This Row],[renda_mensal]]," moedas","")),"-")))</f>
        <v>9100</v>
      </c>
      <c r="I232" s="37">
        <f>IF(DadosBrutos[[#This Row],[credito_tomado]]="","-",IF(ISNUMBER(DadosBrutos[[#This Row],[credito_tomado]]),DadosBrutos[[#This Row],[credito_tomado]],IFERROR(VALUE(SUBSTITUTE(DadosBrutos[[#This Row],[credito_tomado]]," moedas","")),"-")))</f>
        <v>40500</v>
      </c>
      <c r="J23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32" s="1">
        <f>IF(DadosBrutos[[#This Row],[qtde_batalhas]]="","-",IF(ISNUMBER(DadosBrutos[[#This Row],[qtde_batalhas]]),DadosBrutos[[#This Row],[qtde_batalhas]],IFERROR(VALUE(SUBSTITUTE(DadosBrutos[[#This Row],[qtde_batalhas]]," batalhas","")),"-")))</f>
        <v>35</v>
      </c>
      <c r="L232" s="1" t="str">
        <f>IF(DadosL[[#This Row],[qtde_batalhas]]="-","-",IF(DadosL[[#This Row],[qtde_batalhas]]&lt;=10,"Baixo",IF(DadosL[[#This Row],[qtde_batalhas]]&lt;=25,"Médio","Alto")))</f>
        <v>Alto</v>
      </c>
      <c r="M23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53000</v>
      </c>
      <c r="N232" s="1" t="str">
        <f>IF(AND(DadosL[[#This Row],[nivel_risco]]="Alto",DadosL[[#This Row],[flag_inadimplente]]="Sim"),"Negado","Aprovado")</f>
        <v>Aprovado</v>
      </c>
      <c r="O232" s="1" t="str">
        <f>IF(AND(ISNUMBER(DadosL[[#This Row],[credito_tomado]]),DadosL[[#This Row],[credito_tomado]]&gt;50000,DadosL[[#This Row],[flag_inadimplente]]="Sim"),"Negado","Aprovado")</f>
        <v>Aprovado</v>
      </c>
      <c r="P232" s="46">
        <f>IF(OR(DadosL[[#This Row],[Analise_Risco]]="Negado",DadosL[[#This Row],[Analise_Credito]]="Negado"),0,IF(DadosL[[#This Row],[status]]="Ativo",DadosL[[#This Row],[valor_solicitado]]*1.08,0))</f>
        <v>57240.000000000007</v>
      </c>
    </row>
    <row r="233" spans="1:16">
      <c r="A23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33" s="1" t="str">
        <f>PROPER(TRIM(DadosBrutos[[#This Row],[nome]]))</f>
        <v>Cersei  Marbrand</v>
      </c>
      <c r="C233" s="1" t="str">
        <f>IF(LEN(SUBSTITUTE(SUBSTITUTE(SUBSTITUTE(DadosBrutos[[#This Row],[cpf]],".",""),"-","")," ",""))=11,DadosBrutos[[#This Row],[cpf]],"-")</f>
        <v>000.000.158-00</v>
      </c>
      <c r="D23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57</v>
      </c>
      <c r="E233" s="45">
        <f>IF(DadosBrutos[[#This Row],[data_nascimento]]="","-",DadosBrutos[[#This Row],[data_nascimento]])</f>
        <v>25324</v>
      </c>
      <c r="F233" s="1" t="str">
        <f>IF(ISNUMBER(SEARCH("|",DadosBrutos[[#This Row],[cidade]])),TRIM(LEFT(DadosBrutos[[#This Row],[cidade]],SEARCH("|",DadosBrutos[[#This Row],[cidade]])-1)),TRIM(DadosBrutos[[#This Row],[cidade]]))</f>
        <v>Ilha dos Ursos</v>
      </c>
      <c r="G23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33" s="37">
        <f>IF(DadosBrutos[[#This Row],[renda_mensal]]="","-",IF(ISNUMBER(DadosBrutos[[#This Row],[renda_mensal]]),DadosBrutos[[#This Row],[renda_mensal]],IFERROR(VALUE(SUBSTITUTE(DadosBrutos[[#This Row],[renda_mensal]]," moedas","")),"-")))</f>
        <v>9500</v>
      </c>
      <c r="I233" s="37">
        <f>IF(DadosBrutos[[#This Row],[credito_tomado]]="","-",IF(ISNUMBER(DadosBrutos[[#This Row],[credito_tomado]]),DadosBrutos[[#This Row],[credito_tomado]],IFERROR(VALUE(SUBSTITUTE(DadosBrutos[[#This Row],[credito_tomado]]," moedas","")),"-")))</f>
        <v>58000</v>
      </c>
      <c r="J23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33" s="1">
        <f>IF(DadosBrutos[[#This Row],[qtde_batalhas]]="","-",IF(ISNUMBER(DadosBrutos[[#This Row],[qtde_batalhas]]),DadosBrutos[[#This Row],[qtde_batalhas]],IFERROR(VALUE(SUBSTITUTE(DadosBrutos[[#This Row],[qtde_batalhas]]," batalhas","")),"-")))</f>
        <v>23</v>
      </c>
      <c r="L233" s="1" t="str">
        <f>IF(DadosL[[#This Row],[qtde_batalhas]]="-","-",IF(DadosL[[#This Row],[qtde_batalhas]]&lt;=10,"Baixo",IF(DadosL[[#This Row],[qtde_batalhas]]&lt;=25,"Médio","Alto")))</f>
        <v>Médio</v>
      </c>
      <c r="M23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81500</v>
      </c>
      <c r="N233" s="1" t="str">
        <f>IF(AND(DadosL[[#This Row],[nivel_risco]]="Alto",DadosL[[#This Row],[flag_inadimplente]]="Sim"),"Negado","Aprovado")</f>
        <v>Aprovado</v>
      </c>
      <c r="O233" s="1" t="str">
        <f>IF(AND(ISNUMBER(DadosL[[#This Row],[credito_tomado]]),DadosL[[#This Row],[credito_tomado]]&gt;50000,DadosL[[#This Row],[flag_inadimplente]]="Sim"),"Negado","Aprovado")</f>
        <v>Aprovado</v>
      </c>
      <c r="P233" s="46">
        <f>IF(OR(DadosL[[#This Row],[Analise_Risco]]="Negado",DadosL[[#This Row],[Analise_Credito]]="Negado"),0,IF(DadosL[[#This Row],[status]]="Ativo",DadosL[[#This Row],[valor_solicitado]]*1.08,0))</f>
        <v>0</v>
      </c>
    </row>
    <row r="234" spans="1:16">
      <c r="A23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34" s="1" t="str">
        <f>PROPER(TRIM(DadosBrutos[[#This Row],[nome]]))</f>
        <v>Melisandre Baratheon</v>
      </c>
      <c r="C234" s="1" t="str">
        <f>IF(LEN(SUBSTITUTE(SUBSTITUTE(SUBSTITUTE(DadosBrutos[[#This Row],[cpf]],".",""),"-","")," ",""))=11,DadosBrutos[[#This Row],[cpf]],"-")</f>
        <v>000.000.020-00</v>
      </c>
      <c r="D23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58</v>
      </c>
      <c r="E234" s="45">
        <f>IF(DadosBrutos[[#This Row],[data_nascimento]]="","-",DadosBrutos[[#This Row],[data_nascimento]])</f>
        <v>25054</v>
      </c>
      <c r="F234" s="1" t="str">
        <f>IF(ISNUMBER(SEARCH("|",DadosBrutos[[#This Row],[cidade]])),TRIM(LEFT(DadosBrutos[[#This Row],[cidade]],SEARCH("|",DadosBrutos[[#This Row],[cidade]])-1)),TRIM(DadosBrutos[[#This Row],[cidade]]))</f>
        <v>Porto Real</v>
      </c>
      <c r="G23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234" s="37">
        <f>IF(DadosBrutos[[#This Row],[renda_mensal]]="","-",IF(ISNUMBER(DadosBrutos[[#This Row],[renda_mensal]]),DadosBrutos[[#This Row],[renda_mensal]],IFERROR(VALUE(SUBSTITUTE(DadosBrutos[[#This Row],[renda_mensal]]," moedas","")),"-")))</f>
        <v>4500</v>
      </c>
      <c r="I234" s="37">
        <f>IF(DadosBrutos[[#This Row],[credito_tomado]]="","-",IF(ISNUMBER(DadosBrutos[[#This Row],[credito_tomado]]),DadosBrutos[[#This Row],[credito_tomado]],IFERROR(VALUE(SUBSTITUTE(DadosBrutos[[#This Row],[credito_tomado]]," moedas","")),"-")))</f>
        <v>20000</v>
      </c>
      <c r="J23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34" s="1">
        <f>IF(DadosBrutos[[#This Row],[qtde_batalhas]]="","-",IF(ISNUMBER(DadosBrutos[[#This Row],[qtde_batalhas]]),DadosBrutos[[#This Row],[qtde_batalhas]],IFERROR(VALUE(SUBSTITUTE(DadosBrutos[[#This Row],[qtde_batalhas]]," batalhas","")),"-")))</f>
        <v>9</v>
      </c>
      <c r="L234" s="1" t="str">
        <f>IF(DadosL[[#This Row],[qtde_batalhas]]="-","-",IF(DadosL[[#This Row],[qtde_batalhas]]&lt;=10,"Baixo",IF(DadosL[[#This Row],[qtde_batalhas]]&lt;=25,"Médio","Alto")))</f>
        <v>Baixo</v>
      </c>
      <c r="M23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49000</v>
      </c>
      <c r="N234" s="1" t="str">
        <f>IF(AND(DadosL[[#This Row],[nivel_risco]]="Alto",DadosL[[#This Row],[flag_inadimplente]]="Sim"),"Negado","Aprovado")</f>
        <v>Aprovado</v>
      </c>
      <c r="O234" s="1" t="str">
        <f>IF(AND(ISNUMBER(DadosL[[#This Row],[credito_tomado]]),DadosL[[#This Row],[credito_tomado]]&gt;50000,DadosL[[#This Row],[flag_inadimplente]]="Sim"),"Negado","Aprovado")</f>
        <v>Aprovado</v>
      </c>
      <c r="P234" s="46">
        <f>IF(OR(DadosL[[#This Row],[Analise_Risco]]="Negado",DadosL[[#This Row],[Analise_Credito]]="Negado"),0,IF(DadosL[[#This Row],[status]]="Ativo",DadosL[[#This Row],[valor_solicitado]]*1.08,0))</f>
        <v>0</v>
      </c>
    </row>
    <row r="235" spans="1:16">
      <c r="A23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35" s="1" t="str">
        <f>PROPER(TRIM(DadosBrutos[[#This Row],[nome]]))</f>
        <v>Yara Tallhart</v>
      </c>
      <c r="C235" s="1" t="str">
        <f>IF(LEN(SUBSTITUTE(SUBSTITUTE(SUBSTITUTE(DadosBrutos[[#This Row],[cpf]],".",""),"-","")," ",""))=11,DadosBrutos[[#This Row],[cpf]],"-")</f>
        <v>-</v>
      </c>
      <c r="D23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57</v>
      </c>
      <c r="E235" s="45">
        <f>IF(DadosBrutos[[#This Row],[data_nascimento]]="","-",DadosBrutos[[#This Row],[data_nascimento]])</f>
        <v>25206</v>
      </c>
      <c r="F235" s="1" t="str">
        <f>IF(ISNUMBER(SEARCH("|",DadosBrutos[[#This Row],[cidade]])),TRIM(LEFT(DadosBrutos[[#This Row],[cidade]],SEARCH("|",DadosBrutos[[#This Row],[cidade]])-1)),TRIM(DadosBrutos[[#This Row],[cidade]]))</f>
        <v>Correrrio</v>
      </c>
      <c r="G23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235" s="37">
        <f>IF(DadosBrutos[[#This Row],[renda_mensal]]="","-",IF(ISNUMBER(DadosBrutos[[#This Row],[renda_mensal]]),DadosBrutos[[#This Row],[renda_mensal]],IFERROR(VALUE(SUBSTITUTE(DadosBrutos[[#This Row],[renda_mensal]]," moedas","")),"-")))</f>
        <v>3400</v>
      </c>
      <c r="I235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23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35" s="1">
        <f>IF(DadosBrutos[[#This Row],[qtde_batalhas]]="","-",IF(ISNUMBER(DadosBrutos[[#This Row],[qtde_batalhas]]),DadosBrutos[[#This Row],[qtde_batalhas]],IFERROR(VALUE(SUBSTITUTE(DadosBrutos[[#This Row],[qtde_batalhas]]," batalhas","")),"-")))</f>
        <v>20</v>
      </c>
      <c r="L235" s="1" t="str">
        <f>IF(DadosL[[#This Row],[qtde_batalhas]]="-","-",IF(DadosL[[#This Row],[qtde_batalhas]]&lt;=10,"Baixo",IF(DadosL[[#This Row],[qtde_batalhas]]&lt;=25,"Médio","Alto")))</f>
        <v>Médio</v>
      </c>
      <c r="M23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19500</v>
      </c>
      <c r="N235" s="1" t="str">
        <f>IF(AND(DadosL[[#This Row],[nivel_risco]]="Alto",DadosL[[#This Row],[flag_inadimplente]]="Sim"),"Negado","Aprovado")</f>
        <v>Aprovado</v>
      </c>
      <c r="O235" s="1" t="str">
        <f>IF(AND(ISNUMBER(DadosL[[#This Row],[credito_tomado]]),DadosL[[#This Row],[credito_tomado]]&gt;50000,DadosL[[#This Row],[flag_inadimplente]]="Sim"),"Negado","Aprovado")</f>
        <v>Aprovado</v>
      </c>
      <c r="P235" s="46">
        <f>IF(OR(DadosL[[#This Row],[Analise_Risco]]="Negado",DadosL[[#This Row],[Analise_Credito]]="Negado"),0,IF(DadosL[[#This Row],[status]]="Ativo",DadosL[[#This Row],[valor_solicitado]]*1.08,0))</f>
        <v>0</v>
      </c>
    </row>
    <row r="236" spans="1:16">
      <c r="A23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36" s="1" t="str">
        <f>PROPER(TRIM(DadosBrutos[[#This Row],[nome]]))</f>
        <v>Gilly Mormont</v>
      </c>
      <c r="C236" s="1" t="str">
        <f>IF(LEN(SUBSTITUTE(SUBSTITUTE(SUBSTITUTE(DadosBrutos[[#This Row],[cpf]],".",""),"-","")," ",""))=11,DadosBrutos[[#This Row],[cpf]],"-")</f>
        <v>000.000.220-00</v>
      </c>
      <c r="D23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65</v>
      </c>
      <c r="E236" s="45">
        <f>IF(DadosBrutos[[#This Row],[data_nascimento]]="","-",DadosBrutos[[#This Row],[data_nascimento]])</f>
        <v>22366</v>
      </c>
      <c r="F236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23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236" s="37">
        <f>IF(DadosBrutos[[#This Row],[renda_mensal]]="","-",IF(ISNUMBER(DadosBrutos[[#This Row],[renda_mensal]]),DadosBrutos[[#This Row],[renda_mensal]],IFERROR(VALUE(SUBSTITUTE(DadosBrutos[[#This Row],[renda_mensal]]," moedas","")),"-")))</f>
        <v>18000</v>
      </c>
      <c r="I236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23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36" s="1">
        <f>IF(DadosBrutos[[#This Row],[qtde_batalhas]]="","-",IF(ISNUMBER(DadosBrutos[[#This Row],[qtde_batalhas]]),DadosBrutos[[#This Row],[qtde_batalhas]],IFERROR(VALUE(SUBSTITUTE(DadosBrutos[[#This Row],[qtde_batalhas]]," batalhas","")),"-")))</f>
        <v>27</v>
      </c>
      <c r="L236" s="1" t="str">
        <f>IF(DadosL[[#This Row],[qtde_batalhas]]="-","-",IF(DadosL[[#This Row],[qtde_batalhas]]&lt;=10,"Baixo",IF(DadosL[[#This Row],[qtde_batalhas]]&lt;=25,"Médio","Alto")))</f>
        <v>Alto</v>
      </c>
      <c r="M23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38500</v>
      </c>
      <c r="N236" s="1" t="str">
        <f>IF(AND(DadosL[[#This Row],[nivel_risco]]="Alto",DadosL[[#This Row],[flag_inadimplente]]="Sim"),"Negado","Aprovado")</f>
        <v>Aprovado</v>
      </c>
      <c r="O236" s="1" t="str">
        <f>IF(AND(ISNUMBER(DadosL[[#This Row],[credito_tomado]]),DadosL[[#This Row],[credito_tomado]]&gt;50000,DadosL[[#This Row],[flag_inadimplente]]="Sim"),"Negado","Aprovado")</f>
        <v>Aprovado</v>
      </c>
      <c r="P236" s="46">
        <f>IF(OR(DadosL[[#This Row],[Analise_Risco]]="Negado",DadosL[[#This Row],[Analise_Credito]]="Negado"),0,IF(DadosL[[#This Row],[status]]="Ativo",DadosL[[#This Row],[valor_solicitado]]*1.08,0))</f>
        <v>41580</v>
      </c>
    </row>
    <row r="237" spans="1:16">
      <c r="A23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37" s="1" t="str">
        <f>PROPER(TRIM(DadosBrutos[[#This Row],[nome]]))</f>
        <v>Brienne Dondarrion</v>
      </c>
      <c r="C237" s="1" t="str">
        <f>IF(LEN(SUBSTITUTE(SUBSTITUTE(SUBSTITUTE(DadosBrutos[[#This Row],[cpf]],".",""),"-","")," ",""))=11,DadosBrutos[[#This Row],[cpf]],"-")</f>
        <v>000.000.256-00</v>
      </c>
      <c r="D23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39</v>
      </c>
      <c r="E237" s="45">
        <f>IF(DadosBrutos[[#This Row],[data_nascimento]]="","-",DadosBrutos[[#This Row],[data_nascimento]])</f>
        <v>31814</v>
      </c>
      <c r="F237" s="1" t="str">
        <f>IF(ISNUMBER(SEARCH("|",DadosBrutos[[#This Row],[cidade]])),TRIM(LEFT(DadosBrutos[[#This Row],[cidade]],SEARCH("|",DadosBrutos[[#This Row],[cidade]])-1)),TRIM(DadosBrutos[[#This Row],[cidade]]))</f>
        <v>Ilha dos Ursos</v>
      </c>
      <c r="G23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37" s="37">
        <f>IF(DadosBrutos[[#This Row],[renda_mensal]]="","-",IF(ISNUMBER(DadosBrutos[[#This Row],[renda_mensal]]),DadosBrutos[[#This Row],[renda_mensal]],IFERROR(VALUE(SUBSTITUTE(DadosBrutos[[#This Row],[renda_mensal]]," moedas","")),"-")))</f>
        <v>9300</v>
      </c>
      <c r="I237" s="37">
        <f>IF(DadosBrutos[[#This Row],[credito_tomado]]="","-",IF(ISNUMBER(DadosBrutos[[#This Row],[credito_tomado]]),DadosBrutos[[#This Row],[credito_tomado]],IFERROR(VALUE(SUBSTITUTE(DadosBrutos[[#This Row],[credito_tomado]]," moedas","")),"-")))</f>
        <v>36500</v>
      </c>
      <c r="J23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37" s="1" t="str">
        <f>IF(DadosBrutos[[#This Row],[qtde_batalhas]]="","-",IF(ISNUMBER(DadosBrutos[[#This Row],[qtde_batalhas]]),DadosBrutos[[#This Row],[qtde_batalhas]],IFERROR(VALUE(SUBSTITUTE(DadosBrutos[[#This Row],[qtde_batalhas]]," batalhas","")),"-")))</f>
        <v>-</v>
      </c>
      <c r="L237" s="1" t="str">
        <f>IF(DadosL[[#This Row],[qtde_batalhas]]="-","-",IF(DadosL[[#This Row],[qtde_batalhas]]&lt;=10,"Baixo",IF(DadosL[[#This Row],[qtde_batalhas]]&lt;=25,"Médio","Alto")))</f>
        <v>-</v>
      </c>
      <c r="M23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3000</v>
      </c>
      <c r="N237" s="1" t="str">
        <f>IF(AND(DadosL[[#This Row],[nivel_risco]]="Alto",DadosL[[#This Row],[flag_inadimplente]]="Sim"),"Negado","Aprovado")</f>
        <v>Aprovado</v>
      </c>
      <c r="O237" s="1" t="str">
        <f>IF(AND(ISNUMBER(DadosL[[#This Row],[credito_tomado]]),DadosL[[#This Row],[credito_tomado]]&gt;50000,DadosL[[#This Row],[flag_inadimplente]]="Sim"),"Negado","Aprovado")</f>
        <v>Aprovado</v>
      </c>
      <c r="P237" s="46">
        <f>IF(OR(DadosL[[#This Row],[Analise_Risco]]="Negado",DadosL[[#This Row],[Analise_Credito]]="Negado"),0,IF(DadosL[[#This Row],[status]]="Ativo",DadosL[[#This Row],[valor_solicitado]]*1.08,0))</f>
        <v>3240</v>
      </c>
    </row>
    <row r="238" spans="1:16">
      <c r="A23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38" s="1" t="str">
        <f>PROPER(TRIM(DadosBrutos[[#This Row],[nome]]))</f>
        <v>Missandei Glover</v>
      </c>
      <c r="C238" s="1" t="str">
        <f>IF(LEN(SUBSTITUTE(SUBSTITUTE(SUBSTITUTE(DadosBrutos[[#This Row],[cpf]],".",""),"-","")," ",""))=11,DadosBrutos[[#This Row],[cpf]],"-")</f>
        <v>-</v>
      </c>
      <c r="D23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62</v>
      </c>
      <c r="E238" s="45">
        <f>IF(DadosBrutos[[#This Row],[data_nascimento]]="","-",DadosBrutos[[#This Row],[data_nascimento]])</f>
        <v>23278</v>
      </c>
      <c r="F238" s="1" t="str">
        <f>IF(ISNUMBER(SEARCH("|",DadosBrutos[[#This Row],[cidade]])),TRIM(LEFT(DadosBrutos[[#This Row],[cidade]],SEARCH("|",DadosBrutos[[#This Row],[cidade]])-1)),TRIM(DadosBrutos[[#This Row],[cidade]]))</f>
        <v>Castelo Negro</v>
      </c>
      <c r="G23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38" s="37">
        <f>IF(DadosBrutos[[#This Row],[renda_mensal]]="","-",IF(ISNUMBER(DadosBrutos[[#This Row],[renda_mensal]]),DadosBrutos[[#This Row],[renda_mensal]],IFERROR(VALUE(SUBSTITUTE(DadosBrutos[[#This Row],[renda_mensal]]," moedas","")),"-")))</f>
        <v>17000</v>
      </c>
      <c r="I238" s="37">
        <f>IF(DadosBrutos[[#This Row],[credito_tomado]]="","-",IF(ISNUMBER(DadosBrutos[[#This Row],[credito_tomado]]),DadosBrutos[[#This Row],[credito_tomado]],IFERROR(VALUE(SUBSTITUTE(DadosBrutos[[#This Row],[credito_tomado]]," moedas","")),"-")))</f>
        <v>64000</v>
      </c>
      <c r="J23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38" s="1">
        <f>IF(DadosBrutos[[#This Row],[qtde_batalhas]]="","-",IF(ISNUMBER(DadosBrutos[[#This Row],[qtde_batalhas]]),DadosBrutos[[#This Row],[qtde_batalhas]],IFERROR(VALUE(SUBSTITUTE(DadosBrutos[[#This Row],[qtde_batalhas]]," batalhas","")),"-")))</f>
        <v>21</v>
      </c>
      <c r="L238" s="1" t="str">
        <f>IF(DadosL[[#This Row],[qtde_batalhas]]="-","-",IF(DadosL[[#This Row],[qtde_batalhas]]&lt;=10,"Baixo",IF(DadosL[[#This Row],[qtde_batalhas]]&lt;=25,"Médio","Alto")))</f>
        <v>Médio</v>
      </c>
      <c r="M23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19000</v>
      </c>
      <c r="N238" s="1" t="str">
        <f>IF(AND(DadosL[[#This Row],[nivel_risco]]="Alto",DadosL[[#This Row],[flag_inadimplente]]="Sim"),"Negado","Aprovado")</f>
        <v>Aprovado</v>
      </c>
      <c r="O238" s="1" t="str">
        <f>IF(AND(ISNUMBER(DadosL[[#This Row],[credito_tomado]]),DadosL[[#This Row],[credito_tomado]]&gt;50000,DadosL[[#This Row],[flag_inadimplente]]="Sim"),"Negado","Aprovado")</f>
        <v>Negado</v>
      </c>
      <c r="P238" s="46">
        <f>IF(OR(DadosL[[#This Row],[Analise_Risco]]="Negado",DadosL[[#This Row],[Analise_Credito]]="Negado"),0,IF(DadosL[[#This Row],[status]]="Ativo",DadosL[[#This Row],[valor_solicitado]]*1.08,0))</f>
        <v>0</v>
      </c>
    </row>
    <row r="239" spans="1:16">
      <c r="A23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39" s="1" t="str">
        <f>PROPER(TRIM(DadosBrutos[[#This Row],[nome]]))</f>
        <v>Bronn Manderly</v>
      </c>
      <c r="C239" s="1" t="str">
        <f>IF(LEN(SUBSTITUTE(SUBSTITUTE(SUBSTITUTE(DadosBrutos[[#This Row],[cpf]],".",""),"-","")," ",""))=11,DadosBrutos[[#This Row],[cpf]],"-")</f>
        <v>000.000.074-00</v>
      </c>
      <c r="D23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69</v>
      </c>
      <c r="E239" s="45">
        <f>IF(DadosBrutos[[#This Row],[data_nascimento]]="","-",DadosBrutos[[#This Row],[data_nascimento]])</f>
        <v>20785</v>
      </c>
      <c r="F239" s="1" t="str">
        <f>IF(ISNUMBER(SEARCH("|",DadosBrutos[[#This Row],[cidade]])),TRIM(LEFT(DadosBrutos[[#This Row],[cidade]],SEARCH("|",DadosBrutos[[#This Row],[cidade]])-1)),TRIM(DadosBrutos[[#This Row],[cidade]]))</f>
        <v>Castelo Negro</v>
      </c>
      <c r="G23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39" s="37">
        <f>IF(DadosBrutos[[#This Row],[renda_mensal]]="","-",IF(ISNUMBER(DadosBrutos[[#This Row],[renda_mensal]]),DadosBrutos[[#This Row],[renda_mensal]],IFERROR(VALUE(SUBSTITUTE(DadosBrutos[[#This Row],[renda_mensal]]," moedas","")),"-")))</f>
        <v>16000</v>
      </c>
      <c r="I239" s="37">
        <f>IF(DadosBrutos[[#This Row],[credito_tomado]]="","-",IF(ISNUMBER(DadosBrutos[[#This Row],[credito_tomado]]),DadosBrutos[[#This Row],[credito_tomado]],IFERROR(VALUE(SUBSTITUTE(DadosBrutos[[#This Row],[credito_tomado]]," moedas","")),"-")))</f>
        <v>48000</v>
      </c>
      <c r="J23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39" s="1">
        <f>IF(DadosBrutos[[#This Row],[qtde_batalhas]]="","-",IF(ISNUMBER(DadosBrutos[[#This Row],[qtde_batalhas]]),DadosBrutos[[#This Row],[qtde_batalhas]],IFERROR(VALUE(SUBSTITUTE(DadosBrutos[[#This Row],[qtde_batalhas]]," batalhas","")),"-")))</f>
        <v>29</v>
      </c>
      <c r="L239" s="1" t="str">
        <f>IF(DadosL[[#This Row],[qtde_batalhas]]="-","-",IF(DadosL[[#This Row],[qtde_batalhas]]&lt;=10,"Baixo",IF(DadosL[[#This Row],[qtde_batalhas]]&lt;=25,"Médio","Alto")))</f>
        <v>Alto</v>
      </c>
      <c r="M23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74500</v>
      </c>
      <c r="N239" s="1" t="str">
        <f>IF(AND(DadosL[[#This Row],[nivel_risco]]="Alto",DadosL[[#This Row],[flag_inadimplente]]="Sim"),"Negado","Aprovado")</f>
        <v>Aprovado</v>
      </c>
      <c r="O239" s="1" t="str">
        <f>IF(AND(ISNUMBER(DadosL[[#This Row],[credito_tomado]]),DadosL[[#This Row],[credito_tomado]]&gt;50000,DadosL[[#This Row],[flag_inadimplente]]="Sim"),"Negado","Aprovado")</f>
        <v>Aprovado</v>
      </c>
      <c r="P239" s="46">
        <f>IF(OR(DadosL[[#This Row],[Analise_Risco]]="Negado",DadosL[[#This Row],[Analise_Credito]]="Negado"),0,IF(DadosL[[#This Row],[status]]="Ativo",DadosL[[#This Row],[valor_solicitado]]*1.08,0))</f>
        <v>0</v>
      </c>
    </row>
    <row r="240" spans="1:16">
      <c r="A24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40" s="1" t="str">
        <f>PROPER(TRIM(DadosBrutos[[#This Row],[nome]]))</f>
        <v>Aegon Florent</v>
      </c>
      <c r="C240" s="1" t="str">
        <f>IF(LEN(SUBSTITUTE(SUBSTITUTE(SUBSTITUTE(DadosBrutos[[#This Row],[cpf]],".",""),"-","")," ",""))=11,DadosBrutos[[#This Row],[cpf]],"-")</f>
        <v>-</v>
      </c>
      <c r="D24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55</v>
      </c>
      <c r="E240" s="45">
        <f>IF(DadosBrutos[[#This Row],[data_nascimento]]="","-",DadosBrutos[[#This Row],[data_nascimento]])</f>
        <v>25895</v>
      </c>
      <c r="F240" s="1" t="str">
        <f>IF(ISNUMBER(SEARCH("|",DadosBrutos[[#This Row],[cidade]])),TRIM(LEFT(DadosBrutos[[#This Row],[cidade]],SEARCH("|",DadosBrutos[[#This Row],[cidade]])-1)),TRIM(DadosBrutos[[#This Row],[cidade]]))</f>
        <v>Meereen</v>
      </c>
      <c r="G24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240" s="37">
        <f>IF(DadosBrutos[[#This Row],[renda_mensal]]="","-",IF(ISNUMBER(DadosBrutos[[#This Row],[renda_mensal]]),DadosBrutos[[#This Row],[renda_mensal]],IFERROR(VALUE(SUBSTITUTE(DadosBrutos[[#This Row],[renda_mensal]]," moedas","")),"-")))</f>
        <v>6800</v>
      </c>
      <c r="I240" s="37">
        <f>IF(DadosBrutos[[#This Row],[credito_tomado]]="","-",IF(ISNUMBER(DadosBrutos[[#This Row],[credito_tomado]]),DadosBrutos[[#This Row],[credito_tomado]],IFERROR(VALUE(SUBSTITUTE(DadosBrutos[[#This Row],[credito_tomado]]," moedas","")),"-")))</f>
        <v>12000</v>
      </c>
      <c r="J24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40" s="1">
        <f>IF(DadosBrutos[[#This Row],[qtde_batalhas]]="","-",IF(ISNUMBER(DadosBrutos[[#This Row],[qtde_batalhas]]),DadosBrutos[[#This Row],[qtde_batalhas]],IFERROR(VALUE(SUBSTITUTE(DadosBrutos[[#This Row],[qtde_batalhas]]," batalhas","")),"-")))</f>
        <v>6</v>
      </c>
      <c r="L240" s="1" t="str">
        <f>IF(DadosL[[#This Row],[qtde_batalhas]]="-","-",IF(DadosL[[#This Row],[qtde_batalhas]]&lt;=10,"Baixo",IF(DadosL[[#This Row],[qtde_batalhas]]&lt;=25,"Médio","Alto")))</f>
        <v>Baixo</v>
      </c>
      <c r="M24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11000</v>
      </c>
      <c r="N240" s="1" t="str">
        <f>IF(AND(DadosL[[#This Row],[nivel_risco]]="Alto",DadosL[[#This Row],[flag_inadimplente]]="Sim"),"Negado","Aprovado")</f>
        <v>Aprovado</v>
      </c>
      <c r="O240" s="1" t="str">
        <f>IF(AND(ISNUMBER(DadosL[[#This Row],[credito_tomado]]),DadosL[[#This Row],[credito_tomado]]&gt;50000,DadosL[[#This Row],[flag_inadimplente]]="Sim"),"Negado","Aprovado")</f>
        <v>Aprovado</v>
      </c>
      <c r="P240" s="46">
        <f>IF(OR(DadosL[[#This Row],[Analise_Risco]]="Negado",DadosL[[#This Row],[Analise_Credito]]="Negado"),0,IF(DadosL[[#This Row],[status]]="Ativo",DadosL[[#This Row],[valor_solicitado]]*1.08,0))</f>
        <v>0</v>
      </c>
    </row>
    <row r="241" spans="1:16">
      <c r="A24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41" s="1" t="str">
        <f>PROPER(TRIM(DadosBrutos[[#This Row],[nome]]))</f>
        <v>Daario  Dayne</v>
      </c>
      <c r="C241" s="1" t="str">
        <f>IF(LEN(SUBSTITUTE(SUBSTITUTE(SUBSTITUTE(DadosBrutos[[#This Row],[cpf]],".",""),"-","")," ",""))=11,DadosBrutos[[#This Row],[cpf]],"-")</f>
        <v>000.000.144-00</v>
      </c>
      <c r="D24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25</v>
      </c>
      <c r="E241" s="45">
        <f>IF(DadosBrutos[[#This Row],[data_nascimento]]="","-",DadosBrutos[[#This Row],[data_nascimento]])</f>
        <v>37026</v>
      </c>
      <c r="F241" s="1" t="str">
        <f>IF(ISNUMBER(SEARCH("|",DadosBrutos[[#This Row],[cidade]])),TRIM(LEFT(DadosBrutos[[#This Row],[cidade]],SEARCH("|",DadosBrutos[[#This Row],[cidade]])-1)),TRIM(DadosBrutos[[#This Row],[cidade]]))</f>
        <v>Solar do Entardecer</v>
      </c>
      <c r="G24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241" s="37">
        <f>IF(DadosBrutos[[#This Row],[renda_mensal]]="","-",IF(ISNUMBER(DadosBrutos[[#This Row],[renda_mensal]]),DadosBrutos[[#This Row],[renda_mensal]],IFERROR(VALUE(SUBSTITUTE(DadosBrutos[[#This Row],[renda_mensal]]," moedas","")),"-")))</f>
        <v>28200</v>
      </c>
      <c r="I241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24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41" s="1">
        <f>IF(DadosBrutos[[#This Row],[qtde_batalhas]]="","-",IF(ISNUMBER(DadosBrutos[[#This Row],[qtde_batalhas]]),DadosBrutos[[#This Row],[qtde_batalhas]],IFERROR(VALUE(SUBSTITUTE(DadosBrutos[[#This Row],[qtde_batalhas]]," batalhas","")),"-")))</f>
        <v>29</v>
      </c>
      <c r="L241" s="1" t="str">
        <f>IF(DadosL[[#This Row],[qtde_batalhas]]="-","-",IF(DadosL[[#This Row],[qtde_batalhas]]&lt;=10,"Baixo",IF(DadosL[[#This Row],[qtde_batalhas]]&lt;=25,"Médio","Alto")))</f>
        <v>Alto</v>
      </c>
      <c r="M24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92500</v>
      </c>
      <c r="N241" s="1" t="str">
        <f>IF(AND(DadosL[[#This Row],[nivel_risco]]="Alto",DadosL[[#This Row],[flag_inadimplente]]="Sim"),"Negado","Aprovado")</f>
        <v>Aprovado</v>
      </c>
      <c r="O241" s="1" t="str">
        <f>IF(AND(ISNUMBER(DadosL[[#This Row],[credito_tomado]]),DadosL[[#This Row],[credito_tomado]]&gt;50000,DadosL[[#This Row],[flag_inadimplente]]="Sim"),"Negado","Aprovado")</f>
        <v>Aprovado</v>
      </c>
      <c r="P241" s="46">
        <f>IF(OR(DadosL[[#This Row],[Analise_Risco]]="Negado",DadosL[[#This Row],[Analise_Credito]]="Negado"),0,IF(DadosL[[#This Row],[status]]="Ativo",DadosL[[#This Row],[valor_solicitado]]*1.08,0))</f>
        <v>99900</v>
      </c>
    </row>
    <row r="242" spans="1:16">
      <c r="A24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42" s="1" t="str">
        <f>PROPER(TRIM(DadosBrutos[[#This Row],[nome]]))</f>
        <v>Roose Cerwyn</v>
      </c>
      <c r="C242" s="1" t="str">
        <f>IF(LEN(SUBSTITUTE(SUBSTITUTE(SUBSTITUTE(DadosBrutos[[#This Row],[cpf]],".",""),"-","")," ",""))=11,DadosBrutos[[#This Row],[cpf]],"-")</f>
        <v>-</v>
      </c>
      <c r="D242" s="15" t="str">
        <f ca="1">IF(DadosBrutos[[#This Row],[idade]]="",IF(DadosBrutos[[#This Row],[data_nascimento]]="","-",YEAR(TODAY())-YEAR(DadosBrutos[[#This Row],[data_nascimento]])),IF(ISNUMBER(DadosBrutos[[#This Row],[idade]]),DadosBrutos[[#This Row],[idade]],"-"))</f>
        <v>-</v>
      </c>
      <c r="E242" s="45">
        <f>IF(DadosBrutos[[#This Row],[data_nascimento]]="","-",DadosBrutos[[#This Row],[data_nascimento]])</f>
        <v>34387</v>
      </c>
      <c r="F242" s="1" t="str">
        <f>IF(ISNUMBER(SEARCH("|",DadosBrutos[[#This Row],[cidade]])),TRIM(LEFT(DadosBrutos[[#This Row],[cidade]],SEARCH("|",DadosBrutos[[#This Row],[cidade]])-1)),TRIM(DadosBrutos[[#This Row],[cidade]]))</f>
        <v>Castelo Negro</v>
      </c>
      <c r="G24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42" s="37">
        <f>IF(DadosBrutos[[#This Row],[renda_mensal]]="","-",IF(ISNUMBER(DadosBrutos[[#This Row],[renda_mensal]]),DadosBrutos[[#This Row],[renda_mensal]],IFERROR(VALUE(SUBSTITUTE(DadosBrutos[[#This Row],[renda_mensal]]," moedas","")),"-")))</f>
        <v>20500</v>
      </c>
      <c r="I242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24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42" s="1">
        <f>IF(DadosBrutos[[#This Row],[qtde_batalhas]]="","-",IF(ISNUMBER(DadosBrutos[[#This Row],[qtde_batalhas]]),DadosBrutos[[#This Row],[qtde_batalhas]],IFERROR(VALUE(SUBSTITUTE(DadosBrutos[[#This Row],[qtde_batalhas]]," batalhas","")),"-")))</f>
        <v>41</v>
      </c>
      <c r="L242" s="1" t="str">
        <f>IF(DadosL[[#This Row],[qtde_batalhas]]="-","-",IF(DadosL[[#This Row],[qtde_batalhas]]&lt;=10,"Baixo",IF(DadosL[[#This Row],[qtde_batalhas]]&lt;=25,"Médio","Alto")))</f>
        <v>Alto</v>
      </c>
      <c r="M24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54500</v>
      </c>
      <c r="N242" s="1" t="str">
        <f>IF(AND(DadosL[[#This Row],[nivel_risco]]="Alto",DadosL[[#This Row],[flag_inadimplente]]="Sim"),"Negado","Aprovado")</f>
        <v>Aprovado</v>
      </c>
      <c r="O242" s="1" t="str">
        <f>IF(AND(ISNUMBER(DadosL[[#This Row],[credito_tomado]]),DadosL[[#This Row],[credito_tomado]]&gt;50000,DadosL[[#This Row],[flag_inadimplente]]="Sim"),"Negado","Aprovado")</f>
        <v>Aprovado</v>
      </c>
      <c r="P242" s="46">
        <f>IF(OR(DadosL[[#This Row],[Analise_Risco]]="Negado",DadosL[[#This Row],[Analise_Credito]]="Negado"),0,IF(DadosL[[#This Row],[status]]="Ativo",DadosL[[#This Row],[valor_solicitado]]*1.08,0))</f>
        <v>0</v>
      </c>
    </row>
    <row r="243" spans="1:16">
      <c r="A24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43" s="1" t="str">
        <f>PROPER(TRIM(DadosBrutos[[#This Row],[nome]]))</f>
        <v>Roose Dondarrion</v>
      </c>
      <c r="C243" s="1" t="str">
        <f>IF(LEN(SUBSTITUTE(SUBSTITUTE(SUBSTITUTE(DadosBrutos[[#This Row],[cpf]],".",""),"-","")," ",""))=11,DadosBrutos[[#This Row],[cpf]],"-")</f>
        <v>000.000.126-00</v>
      </c>
      <c r="D24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53</v>
      </c>
      <c r="E243" s="45">
        <f>IF(DadosBrutos[[#This Row],[data_nascimento]]="","-",DadosBrutos[[#This Row],[data_nascimento]])</f>
        <v>26620</v>
      </c>
      <c r="F243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24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243" s="37">
        <f>IF(DadosBrutos[[#This Row],[renda_mensal]]="","-",IF(ISNUMBER(DadosBrutos[[#This Row],[renda_mensal]]),DadosBrutos[[#This Row],[renda_mensal]],IFERROR(VALUE(SUBSTITUTE(DadosBrutos[[#This Row],[renda_mensal]]," moedas","")),"-")))</f>
        <v>21300</v>
      </c>
      <c r="I243" s="37">
        <f>IF(DadosBrutos[[#This Row],[credito_tomado]]="","-",IF(ISNUMBER(DadosBrutos[[#This Row],[credito_tomado]]),DadosBrutos[[#This Row],[credito_tomado]],IFERROR(VALUE(SUBSTITUTE(DadosBrutos[[#This Row],[credito_tomado]]," moedas","")),"-")))</f>
        <v>79500</v>
      </c>
      <c r="J24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43" s="1">
        <f>IF(DadosBrutos[[#This Row],[qtde_batalhas]]="","-",IF(ISNUMBER(DadosBrutos[[#This Row],[qtde_batalhas]]),DadosBrutos[[#This Row],[qtde_batalhas]],IFERROR(VALUE(SUBSTITUTE(DadosBrutos[[#This Row],[qtde_batalhas]]," batalhas","")),"-")))</f>
        <v>18</v>
      </c>
      <c r="L243" s="1" t="str">
        <f>IF(DadosL[[#This Row],[qtde_batalhas]]="-","-",IF(DadosL[[#This Row],[qtde_batalhas]]&lt;=10,"Baixo",IF(DadosL[[#This Row],[qtde_batalhas]]&lt;=25,"Médio","Alto")))</f>
        <v>Médio</v>
      </c>
      <c r="M24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19000</v>
      </c>
      <c r="N243" s="1" t="str">
        <f>IF(AND(DadosL[[#This Row],[nivel_risco]]="Alto",DadosL[[#This Row],[flag_inadimplente]]="Sim"),"Negado","Aprovado")</f>
        <v>Aprovado</v>
      </c>
      <c r="O243" s="1" t="str">
        <f>IF(AND(ISNUMBER(DadosL[[#This Row],[credito_tomado]]),DadosL[[#This Row],[credito_tomado]]&gt;50000,DadosL[[#This Row],[flag_inadimplente]]="Sim"),"Negado","Aprovado")</f>
        <v>Aprovado</v>
      </c>
      <c r="P243" s="46">
        <f>IF(OR(DadosL[[#This Row],[Analise_Risco]]="Negado",DadosL[[#This Row],[Analise_Credito]]="Negado"),0,IF(DadosL[[#This Row],[status]]="Ativo",DadosL[[#This Row],[valor_solicitado]]*1.08,0))</f>
        <v>20520</v>
      </c>
    </row>
    <row r="244" spans="1:16">
      <c r="A24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44" s="1" t="str">
        <f>PROPER(TRIM(DadosBrutos[[#This Row],[nome]]))</f>
        <v>Stannis Greyjoy</v>
      </c>
      <c r="C244" s="1" t="str">
        <f>IF(LEN(SUBSTITUTE(SUBSTITUTE(SUBSTITUTE(DadosBrutos[[#This Row],[cpf]],".",""),"-","")," ",""))=11,DadosBrutos[[#This Row],[cpf]],"-")</f>
        <v>000.000.236-00</v>
      </c>
      <c r="D24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69</v>
      </c>
      <c r="E244" s="45">
        <f>IF(DadosBrutos[[#This Row],[data_nascimento]]="","-",DadosBrutos[[#This Row],[data_nascimento]])</f>
        <v>20943</v>
      </c>
      <c r="F244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24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244" s="37">
        <f>IF(DadosBrutos[[#This Row],[renda_mensal]]="","-",IF(ISNUMBER(DadosBrutos[[#This Row],[renda_mensal]]),DadosBrutos[[#This Row],[renda_mensal]],IFERROR(VALUE(SUBSTITUTE(DadosBrutos[[#This Row],[renda_mensal]]," moedas","")),"-")))</f>
        <v>13800</v>
      </c>
      <c r="I244" s="37">
        <f>IF(DadosBrutos[[#This Row],[credito_tomado]]="","-",IF(ISNUMBER(DadosBrutos[[#This Row],[credito_tomado]]),DadosBrutos[[#This Row],[credito_tomado]],IFERROR(VALUE(SUBSTITUTE(DadosBrutos[[#This Row],[credito_tomado]]," moedas","")),"-")))</f>
        <v>62000</v>
      </c>
      <c r="J24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44" s="1">
        <f>IF(DadosBrutos[[#This Row],[qtde_batalhas]]="","-",IF(ISNUMBER(DadosBrutos[[#This Row],[qtde_batalhas]]),DadosBrutos[[#This Row],[qtde_batalhas]],IFERROR(VALUE(SUBSTITUTE(DadosBrutos[[#This Row],[qtde_batalhas]]," batalhas","")),"-")))</f>
        <v>31</v>
      </c>
      <c r="L244" s="1" t="str">
        <f>IF(DadosL[[#This Row],[qtde_batalhas]]="-","-",IF(DadosL[[#This Row],[qtde_batalhas]]&lt;=10,"Baixo",IF(DadosL[[#This Row],[qtde_batalhas]]&lt;=25,"Médio","Alto")))</f>
        <v>Alto</v>
      </c>
      <c r="M24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60500</v>
      </c>
      <c r="N244" s="1" t="str">
        <f>IF(AND(DadosL[[#This Row],[nivel_risco]]="Alto",DadosL[[#This Row],[flag_inadimplente]]="Sim"),"Negado","Aprovado")</f>
        <v>Aprovado</v>
      </c>
      <c r="O244" s="1" t="str">
        <f>IF(AND(ISNUMBER(DadosL[[#This Row],[credito_tomado]]),DadosL[[#This Row],[credito_tomado]]&gt;50000,DadosL[[#This Row],[flag_inadimplente]]="Sim"),"Negado","Aprovado")</f>
        <v>Aprovado</v>
      </c>
      <c r="P244" s="46">
        <f>IF(OR(DadosL[[#This Row],[Analise_Risco]]="Negado",DadosL[[#This Row],[Analise_Credito]]="Negado"),0,IF(DadosL[[#This Row],[status]]="Ativo",DadosL[[#This Row],[valor_solicitado]]*1.08,0))</f>
        <v>65340.000000000007</v>
      </c>
    </row>
    <row r="245" spans="1:16">
      <c r="A24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45" s="1" t="str">
        <f>PROPER(TRIM(DadosBrutos[[#This Row],[nome]]))</f>
        <v>Thoros Greyjoy</v>
      </c>
      <c r="C245" s="1" t="str">
        <f>IF(LEN(SUBSTITUTE(SUBSTITUTE(SUBSTITUTE(DadosBrutos[[#This Row],[cpf]],".",""),"-","")," ",""))=11,DadosBrutos[[#This Row],[cpf]],"-")</f>
        <v>000.000.043-00</v>
      </c>
      <c r="D24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27</v>
      </c>
      <c r="E245" s="45">
        <f>IF(DadosBrutos[[#This Row],[data_nascimento]]="","-",DadosBrutos[[#This Row],[data_nascimento]])</f>
        <v>36316</v>
      </c>
      <c r="F245" s="1" t="str">
        <f>IF(ISNUMBER(SEARCH("|",DadosBrutos[[#This Row],[cidade]])),TRIM(LEFT(DadosBrutos[[#This Row],[cidade]],SEARCH("|",DadosBrutos[[#This Row],[cidade]])-1)),TRIM(DadosBrutos[[#This Row],[cidade]]))</f>
        <v>Vilavelha</v>
      </c>
      <c r="G24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245" s="37">
        <f>IF(DadosBrutos[[#This Row],[renda_mensal]]="","-",IF(ISNUMBER(DadosBrutos[[#This Row],[renda_mensal]]),DadosBrutos[[#This Row],[renda_mensal]],IFERROR(VALUE(SUBSTITUTE(DadosBrutos[[#This Row],[renda_mensal]]," moedas","")),"-")))</f>
        <v>10700</v>
      </c>
      <c r="I245" s="37">
        <f>IF(DadosBrutos[[#This Row],[credito_tomado]]="","-",IF(ISNUMBER(DadosBrutos[[#This Row],[credito_tomado]]),DadosBrutos[[#This Row],[credito_tomado]],IFERROR(VALUE(SUBSTITUTE(DadosBrutos[[#This Row],[credito_tomado]]," moedas","")),"-")))</f>
        <v>60000</v>
      </c>
      <c r="J24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45" s="1">
        <f>IF(DadosBrutos[[#This Row],[qtde_batalhas]]="","-",IF(ISNUMBER(DadosBrutos[[#This Row],[qtde_batalhas]]),DadosBrutos[[#This Row],[qtde_batalhas]],IFERROR(VALUE(SUBSTITUTE(DadosBrutos[[#This Row],[qtde_batalhas]]," batalhas","")),"-")))</f>
        <v>44</v>
      </c>
      <c r="L245" s="1" t="str">
        <f>IF(DadosL[[#This Row],[qtde_batalhas]]="-","-",IF(DadosL[[#This Row],[qtde_batalhas]]&lt;=10,"Baixo",IF(DadosL[[#This Row],[qtde_batalhas]]&lt;=25,"Médio","Alto")))</f>
        <v>Alto</v>
      </c>
      <c r="M24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48000</v>
      </c>
      <c r="N245" s="1" t="str">
        <f>IF(AND(DadosL[[#This Row],[nivel_risco]]="Alto",DadosL[[#This Row],[flag_inadimplente]]="Sim"),"Negado","Aprovado")</f>
        <v>Aprovado</v>
      </c>
      <c r="O245" s="1" t="str">
        <f>IF(AND(ISNUMBER(DadosL[[#This Row],[credito_tomado]]),DadosL[[#This Row],[credito_tomado]]&gt;50000,DadosL[[#This Row],[flag_inadimplente]]="Sim"),"Negado","Aprovado")</f>
        <v>Aprovado</v>
      </c>
      <c r="P245" s="46">
        <f>IF(OR(DadosL[[#This Row],[Analise_Risco]]="Negado",DadosL[[#This Row],[Analise_Credito]]="Negado"),0,IF(DadosL[[#This Row],[status]]="Ativo",DadosL[[#This Row],[valor_solicitado]]*1.08,0))</f>
        <v>51840</v>
      </c>
    </row>
    <row r="246" spans="1:16">
      <c r="A24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46" s="1" t="str">
        <f>PROPER(TRIM(DadosBrutos[[#This Row],[nome]]))</f>
        <v>Thoros Crakehall</v>
      </c>
      <c r="C246" s="1" t="str">
        <f>IF(LEN(SUBSTITUTE(SUBSTITUTE(SUBSTITUTE(DadosBrutos[[#This Row],[cpf]],".",""),"-","")," ",""))=11,DadosBrutos[[#This Row],[cpf]],"-")</f>
        <v>-</v>
      </c>
      <c r="D24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74</v>
      </c>
      <c r="E246" s="45">
        <f>IF(DadosBrutos[[#This Row],[data_nascimento]]="","-",DadosBrutos[[#This Row],[data_nascimento]])</f>
        <v>19131</v>
      </c>
      <c r="F246" s="1" t="str">
        <f>IF(ISNUMBER(SEARCH("|",DadosBrutos[[#This Row],[cidade]])),TRIM(LEFT(DadosBrutos[[#This Row],[cidade]],SEARCH("|",DadosBrutos[[#This Row],[cidade]])-1)),TRIM(DadosBrutos[[#This Row],[cidade]]))</f>
        <v>Porto Real</v>
      </c>
      <c r="G24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246" s="37">
        <f>IF(DadosBrutos[[#This Row],[renda_mensal]]="","-",IF(ISNUMBER(DadosBrutos[[#This Row],[renda_mensal]]),DadosBrutos[[#This Row],[renda_mensal]],IFERROR(VALUE(SUBSTITUTE(DadosBrutos[[#This Row],[renda_mensal]]," moedas","")),"-")))</f>
        <v>20700</v>
      </c>
      <c r="I246" s="37">
        <f>IF(DadosBrutos[[#This Row],[credito_tomado]]="","-",IF(ISNUMBER(DadosBrutos[[#This Row],[credito_tomado]]),DadosBrutos[[#This Row],[credito_tomado]],IFERROR(VALUE(SUBSTITUTE(DadosBrutos[[#This Row],[credito_tomado]]," moedas","")),"-")))</f>
        <v>17500</v>
      </c>
      <c r="J24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46" s="1">
        <f>IF(DadosBrutos[[#This Row],[qtde_batalhas]]="","-",IF(ISNUMBER(DadosBrutos[[#This Row],[qtde_batalhas]]),DadosBrutos[[#This Row],[qtde_batalhas]],IFERROR(VALUE(SUBSTITUTE(DadosBrutos[[#This Row],[qtde_batalhas]]," batalhas","")),"-")))</f>
        <v>35</v>
      </c>
      <c r="L246" s="1" t="str">
        <f>IF(DadosL[[#This Row],[qtde_batalhas]]="-","-",IF(DadosL[[#This Row],[qtde_batalhas]]&lt;=10,"Baixo",IF(DadosL[[#This Row],[qtde_batalhas]]&lt;=25,"Médio","Alto")))</f>
        <v>Alto</v>
      </c>
      <c r="M24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65000</v>
      </c>
      <c r="N246" s="1" t="str">
        <f>IF(AND(DadosL[[#This Row],[nivel_risco]]="Alto",DadosL[[#This Row],[flag_inadimplente]]="Sim"),"Negado","Aprovado")</f>
        <v>Aprovado</v>
      </c>
      <c r="O246" s="1" t="str">
        <f>IF(AND(ISNUMBER(DadosL[[#This Row],[credito_tomado]]),DadosL[[#This Row],[credito_tomado]]&gt;50000,DadosL[[#This Row],[flag_inadimplente]]="Sim"),"Negado","Aprovado")</f>
        <v>Aprovado</v>
      </c>
      <c r="P246" s="46">
        <f>IF(OR(DadosL[[#This Row],[Analise_Risco]]="Negado",DadosL[[#This Row],[Analise_Credito]]="Negado"),0,IF(DadosL[[#This Row],[status]]="Ativo",DadosL[[#This Row],[valor_solicitado]]*1.08,0))</f>
        <v>70200</v>
      </c>
    </row>
    <row r="247" spans="1:16">
      <c r="A24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47" s="1" t="str">
        <f>PROPER(TRIM(DadosBrutos[[#This Row],[nome]]))</f>
        <v>Viserys  Umber</v>
      </c>
      <c r="C247" s="1" t="str">
        <f>IF(LEN(SUBSTITUTE(SUBSTITUTE(SUBSTITUTE(DadosBrutos[[#This Row],[cpf]],".",""),"-","")," ",""))=11,DadosBrutos[[#This Row],[cpf]],"-")</f>
        <v>000.000.155-00</v>
      </c>
      <c r="D24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19</v>
      </c>
      <c r="E247" s="45">
        <f>IF(DadosBrutos[[#This Row],[data_nascimento]]="","-",DadosBrutos[[#This Row],[data_nascimento]])</f>
        <v>39230</v>
      </c>
      <c r="F247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24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247" s="37">
        <f>IF(DadosBrutos[[#This Row],[renda_mensal]]="","-",IF(ISNUMBER(DadosBrutos[[#This Row],[renda_mensal]]),DadosBrutos[[#This Row],[renda_mensal]],IFERROR(VALUE(SUBSTITUTE(DadosBrutos[[#This Row],[renda_mensal]]," moedas","")),"-")))</f>
        <v>18000</v>
      </c>
      <c r="I247" s="37">
        <f>IF(DadosBrutos[[#This Row],[credito_tomado]]="","-",IF(ISNUMBER(DadosBrutos[[#This Row],[credito_tomado]]),DadosBrutos[[#This Row],[credito_tomado]],IFERROR(VALUE(SUBSTITUTE(DadosBrutos[[#This Row],[credito_tomado]]," moedas","")),"-")))</f>
        <v>49500</v>
      </c>
      <c r="J24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47" s="1">
        <f>IF(DadosBrutos[[#This Row],[qtde_batalhas]]="","-",IF(ISNUMBER(DadosBrutos[[#This Row],[qtde_batalhas]]),DadosBrutos[[#This Row],[qtde_batalhas]],IFERROR(VALUE(SUBSTITUTE(DadosBrutos[[#This Row],[qtde_batalhas]]," batalhas","")),"-")))</f>
        <v>25</v>
      </c>
      <c r="L247" s="1" t="str">
        <f>IF(DadosL[[#This Row],[qtde_batalhas]]="-","-",IF(DadosL[[#This Row],[qtde_batalhas]]&lt;=10,"Baixo",IF(DadosL[[#This Row],[qtde_batalhas]]&lt;=25,"Médio","Alto")))</f>
        <v>Médio</v>
      </c>
      <c r="M24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46500</v>
      </c>
      <c r="N247" s="1" t="str">
        <f>IF(AND(DadosL[[#This Row],[nivel_risco]]="Alto",DadosL[[#This Row],[flag_inadimplente]]="Sim"),"Negado","Aprovado")</f>
        <v>Aprovado</v>
      </c>
      <c r="O247" s="1" t="str">
        <f>IF(AND(ISNUMBER(DadosL[[#This Row],[credito_tomado]]),DadosL[[#This Row],[credito_tomado]]&gt;50000,DadosL[[#This Row],[flag_inadimplente]]="Sim"),"Negado","Aprovado")</f>
        <v>Aprovado</v>
      </c>
      <c r="P247" s="46">
        <f>IF(OR(DadosL[[#This Row],[Analise_Risco]]="Negado",DadosL[[#This Row],[Analise_Credito]]="Negado"),0,IF(DadosL[[#This Row],[status]]="Ativo",DadosL[[#This Row],[valor_solicitado]]*1.08,0))</f>
        <v>50220</v>
      </c>
    </row>
    <row r="248" spans="1:16">
      <c r="A24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48" s="1" t="str">
        <f>PROPER(TRIM(DadosBrutos[[#This Row],[nome]]))</f>
        <v>Grey Worm Hornwood</v>
      </c>
      <c r="C248" s="1" t="str">
        <f>IF(LEN(SUBSTITUTE(SUBSTITUTE(SUBSTITUTE(DadosBrutos[[#This Row],[cpf]],".",""),"-","")," ",""))=11,DadosBrutos[[#This Row],[cpf]],"-")</f>
        <v>000.000.322-00</v>
      </c>
      <c r="D24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26</v>
      </c>
      <c r="E248" s="45">
        <f>IF(DadosBrutos[[#This Row],[data_nascimento]]="","-",DadosBrutos[[#This Row],[data_nascimento]])</f>
        <v>36540</v>
      </c>
      <c r="F248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24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248" s="37">
        <f>IF(DadosBrutos[[#This Row],[renda_mensal]]="","-",IF(ISNUMBER(DadosBrutos[[#This Row],[renda_mensal]]),DadosBrutos[[#This Row],[renda_mensal]],IFERROR(VALUE(SUBSTITUTE(DadosBrutos[[#This Row],[renda_mensal]]," moedas","")),"-")))</f>
        <v>24000</v>
      </c>
      <c r="I248" s="37">
        <f>IF(DadosBrutos[[#This Row],[credito_tomado]]="","-",IF(ISNUMBER(DadosBrutos[[#This Row],[credito_tomado]]),DadosBrutos[[#This Row],[credito_tomado]],IFERROR(VALUE(SUBSTITUTE(DadosBrutos[[#This Row],[credito_tomado]]," moedas","")),"-")))</f>
        <v>52000</v>
      </c>
      <c r="J24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48" s="1">
        <f>IF(DadosBrutos[[#This Row],[qtde_batalhas]]="","-",IF(ISNUMBER(DadosBrutos[[#This Row],[qtde_batalhas]]),DadosBrutos[[#This Row],[qtde_batalhas]],IFERROR(VALUE(SUBSTITUTE(DadosBrutos[[#This Row],[qtde_batalhas]]," batalhas","")),"-")))</f>
        <v>30</v>
      </c>
      <c r="L248" s="1" t="str">
        <f>IF(DadosL[[#This Row],[qtde_batalhas]]="-","-",IF(DadosL[[#This Row],[qtde_batalhas]]&lt;=10,"Baixo",IF(DadosL[[#This Row],[qtde_batalhas]]&lt;=25,"Médio","Alto")))</f>
        <v>Alto</v>
      </c>
      <c r="M24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11500</v>
      </c>
      <c r="N248" s="1" t="str">
        <f>IF(AND(DadosL[[#This Row],[nivel_risco]]="Alto",DadosL[[#This Row],[flag_inadimplente]]="Sim"),"Negado","Aprovado")</f>
        <v>Aprovado</v>
      </c>
      <c r="O248" s="1" t="str">
        <f>IF(AND(ISNUMBER(DadosL[[#This Row],[credito_tomado]]),DadosL[[#This Row],[credito_tomado]]&gt;50000,DadosL[[#This Row],[flag_inadimplente]]="Sim"),"Negado","Aprovado")</f>
        <v>Aprovado</v>
      </c>
      <c r="P248" s="46">
        <f>IF(OR(DadosL[[#This Row],[Analise_Risco]]="Negado",DadosL[[#This Row],[Analise_Credito]]="Negado"),0,IF(DadosL[[#This Row],[status]]="Ativo",DadosL[[#This Row],[valor_solicitado]]*1.08,0))</f>
        <v>0</v>
      </c>
    </row>
    <row r="249" spans="1:16">
      <c r="A24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49" s="1" t="str">
        <f>PROPER(TRIM(DadosBrutos[[#This Row],[nome]]))</f>
        <v>Cersei Greyjoy</v>
      </c>
      <c r="C249" s="1" t="str">
        <f>IF(LEN(SUBSTITUTE(SUBSTITUTE(SUBSTITUTE(DadosBrutos[[#This Row],[cpf]],".",""),"-","")," ",""))=11,DadosBrutos[[#This Row],[cpf]],"-")</f>
        <v>000.000.265-00</v>
      </c>
      <c r="D24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47</v>
      </c>
      <c r="E249" s="45">
        <f>IF(DadosBrutos[[#This Row],[data_nascimento]]="","-",DadosBrutos[[#This Row],[data_nascimento]])</f>
        <v>28841</v>
      </c>
      <c r="F249" s="1" t="str">
        <f>IF(ISNUMBER(SEARCH("|",DadosBrutos[[#This Row],[cidade]])),TRIM(LEFT(DadosBrutos[[#This Row],[cidade]],SEARCH("|",DadosBrutos[[#This Row],[cidade]])-1)),TRIM(DadosBrutos[[#This Row],[cidade]]))</f>
        <v>Dorne</v>
      </c>
      <c r="G24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249" s="37">
        <f>IF(DadosBrutos[[#This Row],[renda_mensal]]="","-",IF(ISNUMBER(DadosBrutos[[#This Row],[renda_mensal]]),DadosBrutos[[#This Row],[renda_mensal]],IFERROR(VALUE(SUBSTITUTE(DadosBrutos[[#This Row],[renda_mensal]]," moedas","")),"-")))</f>
        <v>21300</v>
      </c>
      <c r="I249" s="37">
        <f>IF(DadosBrutos[[#This Row],[credito_tomado]]="","-",IF(ISNUMBER(DadosBrutos[[#This Row],[credito_tomado]]),DadosBrutos[[#This Row],[credito_tomado]],IFERROR(VALUE(SUBSTITUTE(DadosBrutos[[#This Row],[credito_tomado]]," moedas","")),"-")))</f>
        <v>62000</v>
      </c>
      <c r="J24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49" s="1">
        <f>IF(DadosBrutos[[#This Row],[qtde_batalhas]]="","-",IF(ISNUMBER(DadosBrutos[[#This Row],[qtde_batalhas]]),DadosBrutos[[#This Row],[qtde_batalhas]],IFERROR(VALUE(SUBSTITUTE(DadosBrutos[[#This Row],[qtde_batalhas]]," batalhas","")),"-")))</f>
        <v>37</v>
      </c>
      <c r="L249" s="1" t="str">
        <f>IF(DadosL[[#This Row],[qtde_batalhas]]="-","-",IF(DadosL[[#This Row],[qtde_batalhas]]&lt;=10,"Baixo",IF(DadosL[[#This Row],[qtde_batalhas]]&lt;=25,"Médio","Alto")))</f>
        <v>Alto</v>
      </c>
      <c r="M24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92500</v>
      </c>
      <c r="N249" s="1" t="str">
        <f>IF(AND(DadosL[[#This Row],[nivel_risco]]="Alto",DadosL[[#This Row],[flag_inadimplente]]="Sim"),"Negado","Aprovado")</f>
        <v>Negado</v>
      </c>
      <c r="O249" s="1" t="str">
        <f>IF(AND(ISNUMBER(DadosL[[#This Row],[credito_tomado]]),DadosL[[#This Row],[credito_tomado]]&gt;50000,DadosL[[#This Row],[flag_inadimplente]]="Sim"),"Negado","Aprovado")</f>
        <v>Negado</v>
      </c>
      <c r="P249" s="46">
        <f>IF(OR(DadosL[[#This Row],[Analise_Risco]]="Negado",DadosL[[#This Row],[Analise_Credito]]="Negado"),0,IF(DadosL[[#This Row],[status]]="Ativo",DadosL[[#This Row],[valor_solicitado]]*1.08,0))</f>
        <v>0</v>
      </c>
    </row>
    <row r="250" spans="1:16">
      <c r="A25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50" s="1" t="str">
        <f>PROPER(TRIM(DadosBrutos[[#This Row],[nome]]))</f>
        <v>Tormund Tyrell</v>
      </c>
      <c r="C250" s="1" t="str">
        <f>IF(LEN(SUBSTITUTE(SUBSTITUTE(SUBSTITUTE(DadosBrutos[[#This Row],[cpf]],".",""),"-","")," ",""))=11,DadosBrutos[[#This Row],[cpf]],"-")</f>
        <v>000.000.378-00</v>
      </c>
      <c r="D25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34</v>
      </c>
      <c r="E250" s="45">
        <f>IF(DadosBrutos[[#This Row],[data_nascimento]]="","-",DadosBrutos[[#This Row],[data_nascimento]])</f>
        <v>33746</v>
      </c>
      <c r="F250" s="1" t="str">
        <f>IF(ISNUMBER(SEARCH("|",DadosBrutos[[#This Row],[cidade]])),TRIM(LEFT(DadosBrutos[[#This Row],[cidade]],SEARCH("|",DadosBrutos[[#This Row],[cidade]])-1)),TRIM(DadosBrutos[[#This Row],[cidade]]))</f>
        <v>Dorne</v>
      </c>
      <c r="G25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250" s="37">
        <f>IF(DadosBrutos[[#This Row],[renda_mensal]]="","-",IF(ISNUMBER(DadosBrutos[[#This Row],[renda_mensal]]),DadosBrutos[[#This Row],[renda_mensal]],IFERROR(VALUE(SUBSTITUTE(DadosBrutos[[#This Row],[renda_mensal]]," moedas","")),"-")))</f>
        <v>28900</v>
      </c>
      <c r="I250" s="37">
        <f>IF(DadosBrutos[[#This Row],[credito_tomado]]="","-",IF(ISNUMBER(DadosBrutos[[#This Row],[credito_tomado]]),DadosBrutos[[#This Row],[credito_tomado]],IFERROR(VALUE(SUBSTITUTE(DadosBrutos[[#This Row],[credito_tomado]]," moedas","")),"-")))</f>
        <v>37000</v>
      </c>
      <c r="J25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50" s="1">
        <f>IF(DadosBrutos[[#This Row],[qtde_batalhas]]="","-",IF(ISNUMBER(DadosBrutos[[#This Row],[qtde_batalhas]]),DadosBrutos[[#This Row],[qtde_batalhas]],IFERROR(VALUE(SUBSTITUTE(DadosBrutos[[#This Row],[qtde_batalhas]]," batalhas","")),"-")))</f>
        <v>21</v>
      </c>
      <c r="L250" s="1" t="str">
        <f>IF(DadosL[[#This Row],[qtde_batalhas]]="-","-",IF(DadosL[[#This Row],[qtde_batalhas]]&lt;=10,"Baixo",IF(DadosL[[#This Row],[qtde_batalhas]]&lt;=25,"Médio","Alto")))</f>
        <v>Médio</v>
      </c>
      <c r="M25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97500</v>
      </c>
      <c r="N250" s="1" t="str">
        <f>IF(AND(DadosL[[#This Row],[nivel_risco]]="Alto",DadosL[[#This Row],[flag_inadimplente]]="Sim"),"Negado","Aprovado")</f>
        <v>Aprovado</v>
      </c>
      <c r="O250" s="1" t="str">
        <f>IF(AND(ISNUMBER(DadosL[[#This Row],[credito_tomado]]),DadosL[[#This Row],[credito_tomado]]&gt;50000,DadosL[[#This Row],[flag_inadimplente]]="Sim"),"Negado","Aprovado")</f>
        <v>Aprovado</v>
      </c>
      <c r="P250" s="46">
        <f>IF(OR(DadosL[[#This Row],[Analise_Risco]]="Negado",DadosL[[#This Row],[Analise_Credito]]="Negado"),0,IF(DadosL[[#This Row],[status]]="Ativo",DadosL[[#This Row],[valor_solicitado]]*1.08,0))</f>
        <v>105300</v>
      </c>
    </row>
    <row r="251" spans="1:16">
      <c r="A25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51" s="1" t="str">
        <f>PROPER(TRIM(DadosBrutos[[#This Row],[nome]]))</f>
        <v>Bronn Stark</v>
      </c>
      <c r="C251" s="1" t="str">
        <f>IF(LEN(SUBSTITUTE(SUBSTITUTE(SUBSTITUTE(DadosBrutos[[#This Row],[cpf]],".",""),"-","")," ",""))=11,DadosBrutos[[#This Row],[cpf]],"-")</f>
        <v>000.000.313-00</v>
      </c>
      <c r="D25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30</v>
      </c>
      <c r="E251" s="45">
        <f>IF(DadosBrutos[[#This Row],[data_nascimento]]="","-",DadosBrutos[[#This Row],[data_nascimento]])</f>
        <v>35180</v>
      </c>
      <c r="F251" s="1" t="str">
        <f>IF(ISNUMBER(SEARCH("|",DadosBrutos[[#This Row],[cidade]])),TRIM(LEFT(DadosBrutos[[#This Row],[cidade]],SEARCH("|",DadosBrutos[[#This Row],[cidade]])-1)),TRIM(DadosBrutos[[#This Row],[cidade]]))</f>
        <v>Ilha dos Ursos</v>
      </c>
      <c r="G25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51" s="37">
        <f>IF(DadosBrutos[[#This Row],[renda_mensal]]="","-",IF(ISNUMBER(DadosBrutos[[#This Row],[renda_mensal]]),DadosBrutos[[#This Row],[renda_mensal]],IFERROR(VALUE(SUBSTITUTE(DadosBrutos[[#This Row],[renda_mensal]]," moedas","")),"-")))</f>
        <v>13800</v>
      </c>
      <c r="I251" s="37">
        <f>IF(DadosBrutos[[#This Row],[credito_tomado]]="","-",IF(ISNUMBER(DadosBrutos[[#This Row],[credito_tomado]]),DadosBrutos[[#This Row],[credito_tomado]],IFERROR(VALUE(SUBSTITUTE(DadosBrutos[[#This Row],[credito_tomado]]," moedas","")),"-")))</f>
        <v>42000</v>
      </c>
      <c r="J25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-</v>
      </c>
      <c r="K251" s="1">
        <f>IF(DadosBrutos[[#This Row],[qtde_batalhas]]="","-",IF(ISNUMBER(DadosBrutos[[#This Row],[qtde_batalhas]]),DadosBrutos[[#This Row],[qtde_batalhas]],IFERROR(VALUE(SUBSTITUTE(DadosBrutos[[#This Row],[qtde_batalhas]]," batalhas","")),"-")))</f>
        <v>29</v>
      </c>
      <c r="L251" s="1" t="str">
        <f>IF(DadosL[[#This Row],[qtde_batalhas]]="-","-",IF(DadosL[[#This Row],[qtde_batalhas]]&lt;=10,"Baixo",IF(DadosL[[#This Row],[qtde_batalhas]]&lt;=25,"Médio","Alto")))</f>
        <v>Alto</v>
      </c>
      <c r="M25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7000</v>
      </c>
      <c r="N251" s="1" t="str">
        <f>IF(AND(DadosL[[#This Row],[nivel_risco]]="Alto",DadosL[[#This Row],[flag_inadimplente]]="Sim"),"Negado","Aprovado")</f>
        <v>Aprovado</v>
      </c>
      <c r="O251" s="1" t="str">
        <f>IF(AND(ISNUMBER(DadosL[[#This Row],[credito_tomado]]),DadosL[[#This Row],[credito_tomado]]&gt;50000,DadosL[[#This Row],[flag_inadimplente]]="Sim"),"Negado","Aprovado")</f>
        <v>Aprovado</v>
      </c>
      <c r="P251" s="46">
        <f>IF(OR(DadosL[[#This Row],[Analise_Risco]]="Negado",DadosL[[#This Row],[Analise_Credito]]="Negado"),0,IF(DadosL[[#This Row],[status]]="Ativo",DadosL[[#This Row],[valor_solicitado]]*1.08,0))</f>
        <v>7560.0000000000009</v>
      </c>
    </row>
    <row r="252" spans="1:16">
      <c r="A25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52" s="1" t="str">
        <f>PROPER(TRIM(DadosBrutos[[#This Row],[nome]]))</f>
        <v>Tyrion Blackwood</v>
      </c>
      <c r="C252" s="1" t="str">
        <f>IF(LEN(SUBSTITUTE(SUBSTITUTE(SUBSTITUTE(DadosBrutos[[#This Row],[cpf]],".",""),"-","")," ",""))=11,DadosBrutos[[#This Row],[cpf]],"-")</f>
        <v>000.000.100-00</v>
      </c>
      <c r="D25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67</v>
      </c>
      <c r="E252" s="45">
        <f>IF(DadosBrutos[[#This Row],[data_nascimento]]="","-",DadosBrutos[[#This Row],[data_nascimento]])</f>
        <v>21674</v>
      </c>
      <c r="F252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25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252" s="37">
        <f>IF(DadosBrutos[[#This Row],[renda_mensal]]="","-",IF(ISNUMBER(DadosBrutos[[#This Row],[renda_mensal]]),DadosBrutos[[#This Row],[renda_mensal]],IFERROR(VALUE(SUBSTITUTE(DadosBrutos[[#This Row],[renda_mensal]]," moedas","")),"-")))</f>
        <v>15200</v>
      </c>
      <c r="I252" s="37">
        <f>IF(DadosBrutos[[#This Row],[credito_tomado]]="","-",IF(ISNUMBER(DadosBrutos[[#This Row],[credito_tomado]]),DadosBrutos[[#This Row],[credito_tomado]],IFERROR(VALUE(SUBSTITUTE(DadosBrutos[[#This Row],[credito_tomado]]," moedas","")),"-")))</f>
        <v>67500</v>
      </c>
      <c r="J25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52" s="1">
        <f>IF(DadosBrutos[[#This Row],[qtde_batalhas]]="","-",IF(ISNUMBER(DadosBrutos[[#This Row],[qtde_batalhas]]),DadosBrutos[[#This Row],[qtde_batalhas]],IFERROR(VALUE(SUBSTITUTE(DadosBrutos[[#This Row],[qtde_batalhas]]," batalhas","")),"-")))</f>
        <v>12</v>
      </c>
      <c r="L252" s="1" t="str">
        <f>IF(DadosL[[#This Row],[qtde_batalhas]]="-","-",IF(DadosL[[#This Row],[qtde_batalhas]]&lt;=10,"Baixo",IF(DadosL[[#This Row],[qtde_batalhas]]&lt;=25,"Médio","Alto")))</f>
        <v>Médio</v>
      </c>
      <c r="M25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97500</v>
      </c>
      <c r="N252" s="1" t="str">
        <f>IF(AND(DadosL[[#This Row],[nivel_risco]]="Alto",DadosL[[#This Row],[flag_inadimplente]]="Sim"),"Negado","Aprovado")</f>
        <v>Aprovado</v>
      </c>
      <c r="O252" s="1" t="str">
        <f>IF(AND(ISNUMBER(DadosL[[#This Row],[credito_tomado]]),DadosL[[#This Row],[credito_tomado]]&gt;50000,DadosL[[#This Row],[flag_inadimplente]]="Sim"),"Negado","Aprovado")</f>
        <v>Aprovado</v>
      </c>
      <c r="P252" s="46">
        <f>IF(OR(DadosL[[#This Row],[Analise_Risco]]="Negado",DadosL[[#This Row],[Analise_Credito]]="Negado"),0,IF(DadosL[[#This Row],[status]]="Ativo",DadosL[[#This Row],[valor_solicitado]]*1.08,0))</f>
        <v>0</v>
      </c>
    </row>
    <row r="253" spans="1:16">
      <c r="A25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53" s="1" t="str">
        <f>PROPER(TRIM(DadosBrutos[[#This Row],[nome]]))</f>
        <v>Brienne Westerling</v>
      </c>
      <c r="C253" s="1" t="str">
        <f>IF(LEN(SUBSTITUTE(SUBSTITUTE(SUBSTITUTE(DadosBrutos[[#This Row],[cpf]],".",""),"-","")," ",""))=11,DadosBrutos[[#This Row],[cpf]],"-")</f>
        <v>000.000.379-00</v>
      </c>
      <c r="D25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59</v>
      </c>
      <c r="E253" s="45">
        <f>IF(DadosBrutos[[#This Row],[data_nascimento]]="","-",DadosBrutos[[#This Row],[data_nascimento]])</f>
        <v>24578</v>
      </c>
      <c r="F253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25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253" s="37">
        <f>IF(DadosBrutos[[#This Row],[renda_mensal]]="","-",IF(ISNUMBER(DadosBrutos[[#This Row],[renda_mensal]]),DadosBrutos[[#This Row],[renda_mensal]],IFERROR(VALUE(SUBSTITUTE(DadosBrutos[[#This Row],[renda_mensal]]," moedas","")),"-")))</f>
        <v>6600</v>
      </c>
      <c r="I253" s="37">
        <f>IF(DadosBrutos[[#This Row],[credito_tomado]]="","-",IF(ISNUMBER(DadosBrutos[[#This Row],[credito_tomado]]),DadosBrutos[[#This Row],[credito_tomado]],IFERROR(VALUE(SUBSTITUTE(DadosBrutos[[#This Row],[credito_tomado]]," moedas","")),"-")))</f>
        <v>50000</v>
      </c>
      <c r="J25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53" s="1">
        <f>IF(DadosBrutos[[#This Row],[qtde_batalhas]]="","-",IF(ISNUMBER(DadosBrutos[[#This Row],[qtde_batalhas]]),DadosBrutos[[#This Row],[qtde_batalhas]],IFERROR(VALUE(SUBSTITUTE(DadosBrutos[[#This Row],[qtde_batalhas]]," batalhas","")),"-")))</f>
        <v>9</v>
      </c>
      <c r="L253" s="1" t="str">
        <f>IF(DadosL[[#This Row],[qtde_batalhas]]="-","-",IF(DadosL[[#This Row],[qtde_batalhas]]&lt;=10,"Baixo",IF(DadosL[[#This Row],[qtde_batalhas]]&lt;=25,"Médio","Alto")))</f>
        <v>Baixo</v>
      </c>
      <c r="M25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25000</v>
      </c>
      <c r="N253" s="1" t="str">
        <f>IF(AND(DadosL[[#This Row],[nivel_risco]]="Alto",DadosL[[#This Row],[flag_inadimplente]]="Sim"),"Negado","Aprovado")</f>
        <v>Aprovado</v>
      </c>
      <c r="O253" s="1" t="str">
        <f>IF(AND(ISNUMBER(DadosL[[#This Row],[credito_tomado]]),DadosL[[#This Row],[credito_tomado]]&gt;50000,DadosL[[#This Row],[flag_inadimplente]]="Sim"),"Negado","Aprovado")</f>
        <v>Aprovado</v>
      </c>
      <c r="P253" s="46">
        <f>IF(OR(DadosL[[#This Row],[Analise_Risco]]="Negado",DadosL[[#This Row],[Analise_Credito]]="Negado"),0,IF(DadosL[[#This Row],[status]]="Ativo",DadosL[[#This Row],[valor_solicitado]]*1.08,0))</f>
        <v>27000</v>
      </c>
    </row>
    <row r="254" spans="1:16">
      <c r="A25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54" s="1" t="str">
        <f>PROPER(TRIM(DadosBrutos[[#This Row],[nome]]))</f>
        <v>Beric Manderly</v>
      </c>
      <c r="C254" s="1" t="str">
        <f>IF(LEN(SUBSTITUTE(SUBSTITUTE(SUBSTITUTE(DadosBrutos[[#This Row],[cpf]],".",""),"-","")," ",""))=11,DadosBrutos[[#This Row],[cpf]],"-")</f>
        <v>-</v>
      </c>
      <c r="D25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25</v>
      </c>
      <c r="E254" s="45">
        <f>IF(DadosBrutos[[#This Row],[data_nascimento]]="","-",DadosBrutos[[#This Row],[data_nascimento]])</f>
        <v>37131</v>
      </c>
      <c r="F254" s="1" t="str">
        <f>IF(ISNUMBER(SEARCH("|",DadosBrutos[[#This Row],[cidade]])),TRIM(LEFT(DadosBrutos[[#This Row],[cidade]],SEARCH("|",DadosBrutos[[#This Row],[cidade]])-1)),TRIM(DadosBrutos[[#This Row],[cidade]]))</f>
        <v>Lannisporto</v>
      </c>
      <c r="G25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254" s="37">
        <f>IF(DadosBrutos[[#This Row],[renda_mensal]]="","-",IF(ISNUMBER(DadosBrutos[[#This Row],[renda_mensal]]),DadosBrutos[[#This Row],[renda_mensal]],IFERROR(VALUE(SUBSTITUTE(DadosBrutos[[#This Row],[renda_mensal]]," moedas","")),"-")))</f>
        <v>24500</v>
      </c>
      <c r="I254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25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54" s="1">
        <f>IF(DadosBrutos[[#This Row],[qtde_batalhas]]="","-",IF(ISNUMBER(DadosBrutos[[#This Row],[qtde_batalhas]]),DadosBrutos[[#This Row],[qtde_batalhas]],IFERROR(VALUE(SUBSTITUTE(DadosBrutos[[#This Row],[qtde_batalhas]]," batalhas","")),"-")))</f>
        <v>0</v>
      </c>
      <c r="L254" s="1" t="str">
        <f>IF(DadosL[[#This Row],[qtde_batalhas]]="-","-",IF(DadosL[[#This Row],[qtde_batalhas]]&lt;=10,"Baixo",IF(DadosL[[#This Row],[qtde_batalhas]]&lt;=25,"Médio","Alto")))</f>
        <v>Baixo</v>
      </c>
      <c r="M25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55000</v>
      </c>
      <c r="N254" s="1" t="str">
        <f>IF(AND(DadosL[[#This Row],[nivel_risco]]="Alto",DadosL[[#This Row],[flag_inadimplente]]="Sim"),"Negado","Aprovado")</f>
        <v>Aprovado</v>
      </c>
      <c r="O254" s="1" t="str">
        <f>IF(AND(ISNUMBER(DadosL[[#This Row],[credito_tomado]]),DadosL[[#This Row],[credito_tomado]]&gt;50000,DadosL[[#This Row],[flag_inadimplente]]="Sim"),"Negado","Aprovado")</f>
        <v>Aprovado</v>
      </c>
      <c r="P254" s="46">
        <f>IF(OR(DadosL[[#This Row],[Analise_Risco]]="Negado",DadosL[[#This Row],[Analise_Credito]]="Negado"),0,IF(DadosL[[#This Row],[status]]="Ativo",DadosL[[#This Row],[valor_solicitado]]*1.08,0))</f>
        <v>0</v>
      </c>
    </row>
    <row r="255" spans="1:16">
      <c r="A25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55" s="1" t="str">
        <f>PROPER(TRIM(DadosBrutos[[#This Row],[nome]]))</f>
        <v>Jojen Hornwood</v>
      </c>
      <c r="C255" s="1" t="str">
        <f>IF(LEN(SUBSTITUTE(SUBSTITUTE(SUBSTITUTE(DadosBrutos[[#This Row],[cpf]],".",""),"-","")," ",""))=11,DadosBrutos[[#This Row],[cpf]],"-")</f>
        <v>000.000.128-00</v>
      </c>
      <c r="D25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37</v>
      </c>
      <c r="E255" s="45">
        <f>IF(DadosBrutos[[#This Row],[data_nascimento]]="","-",DadosBrutos[[#This Row],[data_nascimento]])</f>
        <v>32796</v>
      </c>
      <c r="F255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25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255" s="37">
        <f>IF(DadosBrutos[[#This Row],[renda_mensal]]="","-",IF(ISNUMBER(DadosBrutos[[#This Row],[renda_mensal]]),DadosBrutos[[#This Row],[renda_mensal]],IFERROR(VALUE(SUBSTITUTE(DadosBrutos[[#This Row],[renda_mensal]]," moedas","")),"-")))</f>
        <v>28600</v>
      </c>
      <c r="I255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25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55" s="1">
        <f>IF(DadosBrutos[[#This Row],[qtde_batalhas]]="","-",IF(ISNUMBER(DadosBrutos[[#This Row],[qtde_batalhas]]),DadosBrutos[[#This Row],[qtde_batalhas]],IFERROR(VALUE(SUBSTITUTE(DadosBrutos[[#This Row],[qtde_batalhas]]," batalhas","")),"-")))</f>
        <v>19</v>
      </c>
      <c r="L255" s="1" t="str">
        <f>IF(DadosL[[#This Row],[qtde_batalhas]]="-","-",IF(DadosL[[#This Row],[qtde_batalhas]]&lt;=10,"Baixo",IF(DadosL[[#This Row],[qtde_batalhas]]&lt;=25,"Médio","Alto")))</f>
        <v>Médio</v>
      </c>
      <c r="M25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90000</v>
      </c>
      <c r="N255" s="1" t="str">
        <f>IF(AND(DadosL[[#This Row],[nivel_risco]]="Alto",DadosL[[#This Row],[flag_inadimplente]]="Sim"),"Negado","Aprovado")</f>
        <v>Aprovado</v>
      </c>
      <c r="O255" s="1" t="str">
        <f>IF(AND(ISNUMBER(DadosL[[#This Row],[credito_tomado]]),DadosL[[#This Row],[credito_tomado]]&gt;50000,DadosL[[#This Row],[flag_inadimplente]]="Sim"),"Negado","Aprovado")</f>
        <v>Aprovado</v>
      </c>
      <c r="P255" s="46">
        <f>IF(OR(DadosL[[#This Row],[Analise_Risco]]="Negado",DadosL[[#This Row],[Analise_Credito]]="Negado"),0,IF(DadosL[[#This Row],[status]]="Ativo",DadosL[[#This Row],[valor_solicitado]]*1.08,0))</f>
        <v>97200</v>
      </c>
    </row>
    <row r="256" spans="1:16">
      <c r="A25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56" s="1" t="str">
        <f>PROPER(TRIM(DadosBrutos[[#This Row],[nome]]))</f>
        <v>Theon Baelish</v>
      </c>
      <c r="C256" s="1" t="str">
        <f>IF(LEN(SUBSTITUTE(SUBSTITUTE(SUBSTITUTE(DadosBrutos[[#This Row],[cpf]],".",""),"-","")," ",""))=11,DadosBrutos[[#This Row],[cpf]],"-")</f>
        <v>000.000.380-00</v>
      </c>
      <c r="D25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36</v>
      </c>
      <c r="E256" s="45">
        <f>IF(DadosBrutos[[#This Row],[data_nascimento]]="","-",DadosBrutos[[#This Row],[data_nascimento]])</f>
        <v>32914</v>
      </c>
      <c r="F256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25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256" s="37">
        <f>IF(DadosBrutos[[#This Row],[renda_mensal]]="","-",IF(ISNUMBER(DadosBrutos[[#This Row],[renda_mensal]]),DadosBrutos[[#This Row],[renda_mensal]],IFERROR(VALUE(SUBSTITUTE(DadosBrutos[[#This Row],[renda_mensal]]," moedas","")),"-")))</f>
        <v>27600</v>
      </c>
      <c r="I256" s="37">
        <f>IF(DadosBrutos[[#This Row],[credito_tomado]]="","-",IF(ISNUMBER(DadosBrutos[[#This Row],[credito_tomado]]),DadosBrutos[[#This Row],[credito_tomado]],IFERROR(VALUE(SUBSTITUTE(DadosBrutos[[#This Row],[credito_tomado]]," moedas","")),"-")))</f>
        <v>37000</v>
      </c>
      <c r="J25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56" s="1">
        <f>IF(DadosBrutos[[#This Row],[qtde_batalhas]]="","-",IF(ISNUMBER(DadosBrutos[[#This Row],[qtde_batalhas]]),DadosBrutos[[#This Row],[qtde_batalhas]],IFERROR(VALUE(SUBSTITUTE(DadosBrutos[[#This Row],[qtde_batalhas]]," batalhas","")),"-")))</f>
        <v>15</v>
      </c>
      <c r="L256" s="1" t="str">
        <f>IF(DadosL[[#This Row],[qtde_batalhas]]="-","-",IF(DadosL[[#This Row],[qtde_batalhas]]&lt;=10,"Baixo",IF(DadosL[[#This Row],[qtde_batalhas]]&lt;=25,"Médio","Alto")))</f>
        <v>Médio</v>
      </c>
      <c r="M25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41500</v>
      </c>
      <c r="N256" s="1" t="str">
        <f>IF(AND(DadosL[[#This Row],[nivel_risco]]="Alto",DadosL[[#This Row],[flag_inadimplente]]="Sim"),"Negado","Aprovado")</f>
        <v>Aprovado</v>
      </c>
      <c r="O256" s="1" t="str">
        <f>IF(AND(ISNUMBER(DadosL[[#This Row],[credito_tomado]]),DadosL[[#This Row],[credito_tomado]]&gt;50000,DadosL[[#This Row],[flag_inadimplente]]="Sim"),"Negado","Aprovado")</f>
        <v>Aprovado</v>
      </c>
      <c r="P256" s="46">
        <f>IF(OR(DadosL[[#This Row],[Analise_Risco]]="Negado",DadosL[[#This Row],[Analise_Credito]]="Negado"),0,IF(DadosL[[#This Row],[status]]="Ativo",DadosL[[#This Row],[valor_solicitado]]*1.08,0))</f>
        <v>0</v>
      </c>
    </row>
    <row r="257" spans="1:16">
      <c r="A25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57" s="1" t="str">
        <f>PROPER(TRIM(DadosBrutos[[#This Row],[nome]]))</f>
        <v>Aegon Hornwood</v>
      </c>
      <c r="C257" s="1" t="str">
        <f>IF(LEN(SUBSTITUTE(SUBSTITUTE(SUBSTITUTE(DadosBrutos[[#This Row],[cpf]],".",""),"-","")," ",""))=11,DadosBrutos[[#This Row],[cpf]],"-")</f>
        <v>-</v>
      </c>
      <c r="D25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45</v>
      </c>
      <c r="E257" s="45">
        <f>IF(DadosBrutos[[#This Row],[data_nascimento]]="","-",DadosBrutos[[#This Row],[data_nascimento]])</f>
        <v>29506</v>
      </c>
      <c r="F257" s="1" t="str">
        <f>IF(ISNUMBER(SEARCH("|",DadosBrutos[[#This Row],[cidade]])),TRIM(LEFT(DadosBrutos[[#This Row],[cidade]],SEARCH("|",DadosBrutos[[#This Row],[cidade]])-1)),TRIM(DadosBrutos[[#This Row],[cidade]]))</f>
        <v>Solar do Entardecer</v>
      </c>
      <c r="G25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257" s="37">
        <f>IF(DadosBrutos[[#This Row],[renda_mensal]]="","-",IF(ISNUMBER(DadosBrutos[[#This Row],[renda_mensal]]),DadosBrutos[[#This Row],[renda_mensal]],IFERROR(VALUE(SUBSTITUTE(DadosBrutos[[#This Row],[renda_mensal]]," moedas","")),"-")))</f>
        <v>5100</v>
      </c>
      <c r="I257" s="37">
        <f>IF(DadosBrutos[[#This Row],[credito_tomado]]="","-",IF(ISNUMBER(DadosBrutos[[#This Row],[credito_tomado]]),DadosBrutos[[#This Row],[credito_tomado]],IFERROR(VALUE(SUBSTITUTE(DadosBrutos[[#This Row],[credito_tomado]]," moedas","")),"-")))</f>
        <v>25000</v>
      </c>
      <c r="J25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57" s="1">
        <f>IF(DadosBrutos[[#This Row],[qtde_batalhas]]="","-",IF(ISNUMBER(DadosBrutos[[#This Row],[qtde_batalhas]]),DadosBrutos[[#This Row],[qtde_batalhas]],IFERROR(VALUE(SUBSTITUTE(DadosBrutos[[#This Row],[qtde_batalhas]]," batalhas","")),"-")))</f>
        <v>29</v>
      </c>
      <c r="L257" s="1" t="str">
        <f>IF(DadosL[[#This Row],[qtde_batalhas]]="-","-",IF(DadosL[[#This Row],[qtde_batalhas]]&lt;=10,"Baixo",IF(DadosL[[#This Row],[qtde_batalhas]]&lt;=25,"Médio","Alto")))</f>
        <v>Alto</v>
      </c>
      <c r="M25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88000</v>
      </c>
      <c r="N257" s="1" t="str">
        <f>IF(AND(DadosL[[#This Row],[nivel_risco]]="Alto",DadosL[[#This Row],[flag_inadimplente]]="Sim"),"Negado","Aprovado")</f>
        <v>Aprovado</v>
      </c>
      <c r="O257" s="1" t="str">
        <f>IF(AND(ISNUMBER(DadosL[[#This Row],[credito_tomado]]),DadosL[[#This Row],[credito_tomado]]&gt;50000,DadosL[[#This Row],[flag_inadimplente]]="Sim"),"Negado","Aprovado")</f>
        <v>Aprovado</v>
      </c>
      <c r="P257" s="46">
        <f>IF(OR(DadosL[[#This Row],[Analise_Risco]]="Negado",DadosL[[#This Row],[Analise_Credito]]="Negado"),0,IF(DadosL[[#This Row],[status]]="Ativo",DadosL[[#This Row],[valor_solicitado]]*1.08,0))</f>
        <v>0</v>
      </c>
    </row>
    <row r="258" spans="1:16">
      <c r="A25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58" s="1" t="str">
        <f>PROPER(TRIM(DadosBrutos[[#This Row],[nome]]))</f>
        <v>Ellaria Redwyne</v>
      </c>
      <c r="C258" s="1" t="str">
        <f>IF(LEN(SUBSTITUTE(SUBSTITUTE(SUBSTITUTE(DadosBrutos[[#This Row],[cpf]],".",""),"-","")," ",""))=11,DadosBrutos[[#This Row],[cpf]],"-")</f>
        <v>000.000.093-00</v>
      </c>
      <c r="D25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56</v>
      </c>
      <c r="E258" s="45">
        <f>IF(DadosBrutos[[#This Row],[data_nascimento]]="","-",DadosBrutos[[#This Row],[data_nascimento]])</f>
        <v>25551</v>
      </c>
      <c r="F258" s="1" t="str">
        <f>IF(ISNUMBER(SEARCH("|",DadosBrutos[[#This Row],[cidade]])),TRIM(LEFT(DadosBrutos[[#This Row],[cidade]],SEARCH("|",DadosBrutos[[#This Row],[cidade]])-1)),TRIM(DadosBrutos[[#This Row],[cidade]]))</f>
        <v>Dorne</v>
      </c>
      <c r="G25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258" s="37">
        <f>IF(DadosBrutos[[#This Row],[renda_mensal]]="","-",IF(ISNUMBER(DadosBrutos[[#This Row],[renda_mensal]]),DadosBrutos[[#This Row],[renda_mensal]],IFERROR(VALUE(SUBSTITUTE(DadosBrutos[[#This Row],[renda_mensal]]," moedas","")),"-")))</f>
        <v>22600</v>
      </c>
      <c r="I258" s="37">
        <f>IF(DadosBrutos[[#This Row],[credito_tomado]]="","-",IF(ISNUMBER(DadosBrutos[[#This Row],[credito_tomado]]),DadosBrutos[[#This Row],[credito_tomado]],IFERROR(VALUE(SUBSTITUTE(DadosBrutos[[#This Row],[credito_tomado]]," moedas","")),"-")))</f>
        <v>63000</v>
      </c>
      <c r="J25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58" s="1">
        <f>IF(DadosBrutos[[#This Row],[qtde_batalhas]]="","-",IF(ISNUMBER(DadosBrutos[[#This Row],[qtde_batalhas]]),DadosBrutos[[#This Row],[qtde_batalhas]],IFERROR(VALUE(SUBSTITUTE(DadosBrutos[[#This Row],[qtde_batalhas]]," batalhas","")),"-")))</f>
        <v>33</v>
      </c>
      <c r="L258" s="1" t="str">
        <f>IF(DadosL[[#This Row],[qtde_batalhas]]="-","-",IF(DadosL[[#This Row],[qtde_batalhas]]&lt;=10,"Baixo",IF(DadosL[[#This Row],[qtde_batalhas]]&lt;=25,"Médio","Alto")))</f>
        <v>Alto</v>
      </c>
      <c r="M25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53000</v>
      </c>
      <c r="N258" s="1" t="str">
        <f>IF(AND(DadosL[[#This Row],[nivel_risco]]="Alto",DadosL[[#This Row],[flag_inadimplente]]="Sim"),"Negado","Aprovado")</f>
        <v>Aprovado</v>
      </c>
      <c r="O258" s="1" t="str">
        <f>IF(AND(ISNUMBER(DadosL[[#This Row],[credito_tomado]]),DadosL[[#This Row],[credito_tomado]]&gt;50000,DadosL[[#This Row],[flag_inadimplente]]="Sim"),"Negado","Aprovado")</f>
        <v>Aprovado</v>
      </c>
      <c r="P258" s="46">
        <f>IF(OR(DadosL[[#This Row],[Analise_Risco]]="Negado",DadosL[[#This Row],[Analise_Credito]]="Negado"),0,IF(DadosL[[#This Row],[status]]="Ativo",DadosL[[#This Row],[valor_solicitado]]*1.08,0))</f>
        <v>57240.000000000007</v>
      </c>
    </row>
    <row r="259" spans="1:16">
      <c r="A25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59" s="1" t="str">
        <f>PROPER(TRIM(DadosBrutos[[#This Row],[nome]]))</f>
        <v>Missandei Redwyne</v>
      </c>
      <c r="C259" s="1" t="str">
        <f>IF(LEN(SUBSTITUTE(SUBSTITUTE(SUBSTITUTE(DadosBrutos[[#This Row],[cpf]],".",""),"-","")," ",""))=11,DadosBrutos[[#This Row],[cpf]],"-")</f>
        <v>000.000.111-00</v>
      </c>
      <c r="D25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47</v>
      </c>
      <c r="E259" s="45">
        <f>IF(DadosBrutos[[#This Row],[data_nascimento]]="","-",DadosBrutos[[#This Row],[data_nascimento]])</f>
        <v>29007</v>
      </c>
      <c r="F259" s="1" t="str">
        <f>IF(ISNUMBER(SEARCH("|",DadosBrutos[[#This Row],[cidade]])),TRIM(LEFT(DadosBrutos[[#This Row],[cidade]],SEARCH("|",DadosBrutos[[#This Row],[cidade]])-1)),TRIM(DadosBrutos[[#This Row],[cidade]]))</f>
        <v>Meereen</v>
      </c>
      <c r="G25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259" s="37">
        <f>IF(DadosBrutos[[#This Row],[renda_mensal]]="","-",IF(ISNUMBER(DadosBrutos[[#This Row],[renda_mensal]]),DadosBrutos[[#This Row],[renda_mensal]],IFERROR(VALUE(SUBSTITUTE(DadosBrutos[[#This Row],[renda_mensal]]," moedas","")),"-")))</f>
        <v>5000</v>
      </c>
      <c r="I259" s="37">
        <f>IF(DadosBrutos[[#This Row],[credito_tomado]]="","-",IF(ISNUMBER(DadosBrutos[[#This Row],[credito_tomado]]),DadosBrutos[[#This Row],[credito_tomado]],IFERROR(VALUE(SUBSTITUTE(DadosBrutos[[#This Row],[credito_tomado]]," moedas","")),"-")))</f>
        <v>75500</v>
      </c>
      <c r="J25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59" s="1">
        <f>IF(DadosBrutos[[#This Row],[qtde_batalhas]]="","-",IF(ISNUMBER(DadosBrutos[[#This Row],[qtde_batalhas]]),DadosBrutos[[#This Row],[qtde_batalhas]],IFERROR(VALUE(SUBSTITUTE(DadosBrutos[[#This Row],[qtde_batalhas]]," batalhas","")),"-")))</f>
        <v>2</v>
      </c>
      <c r="L259" s="1" t="str">
        <f>IF(DadosL[[#This Row],[qtde_batalhas]]="-","-",IF(DadosL[[#This Row],[qtde_batalhas]]&lt;=10,"Baixo",IF(DadosL[[#This Row],[qtde_batalhas]]&lt;=25,"Médio","Alto")))</f>
        <v>Baixo</v>
      </c>
      <c r="M25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89500</v>
      </c>
      <c r="N259" s="1" t="str">
        <f>IF(AND(DadosL[[#This Row],[nivel_risco]]="Alto",DadosL[[#This Row],[flag_inadimplente]]="Sim"),"Negado","Aprovado")</f>
        <v>Aprovado</v>
      </c>
      <c r="O259" s="1" t="str">
        <f>IF(AND(ISNUMBER(DadosL[[#This Row],[credito_tomado]]),DadosL[[#This Row],[credito_tomado]]&gt;50000,DadosL[[#This Row],[flag_inadimplente]]="Sim"),"Negado","Aprovado")</f>
        <v>Negado</v>
      </c>
      <c r="P259" s="46">
        <f>IF(OR(DadosL[[#This Row],[Analise_Risco]]="Negado",DadosL[[#This Row],[Analise_Credito]]="Negado"),0,IF(DadosL[[#This Row],[status]]="Ativo",DadosL[[#This Row],[valor_solicitado]]*1.08,0))</f>
        <v>0</v>
      </c>
    </row>
    <row r="260" spans="1:16">
      <c r="A26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60" s="1" t="str">
        <f>PROPER(TRIM(DadosBrutos[[#This Row],[nome]]))</f>
        <v>Jorah Hightower</v>
      </c>
      <c r="C260" s="1" t="str">
        <f>IF(LEN(SUBSTITUTE(SUBSTITUTE(SUBSTITUTE(DadosBrutos[[#This Row],[cpf]],".",""),"-","")," ",""))=11,DadosBrutos[[#This Row],[cpf]],"-")</f>
        <v>000.000.007-00</v>
      </c>
      <c r="D26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44</v>
      </c>
      <c r="E260" s="45">
        <f>IF(DadosBrutos[[#This Row],[data_nascimento]]="","-",DadosBrutos[[#This Row],[data_nascimento]])</f>
        <v>30069</v>
      </c>
      <c r="F260" s="1" t="str">
        <f>IF(ISNUMBER(SEARCH("|",DadosBrutos[[#This Row],[cidade]])),TRIM(LEFT(DadosBrutos[[#This Row],[cidade]],SEARCH("|",DadosBrutos[[#This Row],[cidade]])-1)),TRIM(DadosBrutos[[#This Row],[cidade]]))</f>
        <v>Correrrio</v>
      </c>
      <c r="G26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260" s="37">
        <f>IF(DadosBrutos[[#This Row],[renda_mensal]]="","-",IF(ISNUMBER(DadosBrutos[[#This Row],[renda_mensal]]),DadosBrutos[[#This Row],[renda_mensal]],IFERROR(VALUE(SUBSTITUTE(DadosBrutos[[#This Row],[renda_mensal]]," moedas","")),"-")))</f>
        <v>21700</v>
      </c>
      <c r="I260" s="37">
        <f>IF(DadosBrutos[[#This Row],[credito_tomado]]="","-",IF(ISNUMBER(DadosBrutos[[#This Row],[credito_tomado]]),DadosBrutos[[#This Row],[credito_tomado]],IFERROR(VALUE(SUBSTITUTE(DadosBrutos[[#This Row],[credito_tomado]]," moedas","")),"-")))</f>
        <v>34500</v>
      </c>
      <c r="J26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60" s="1">
        <f>IF(DadosBrutos[[#This Row],[qtde_batalhas]]="","-",IF(ISNUMBER(DadosBrutos[[#This Row],[qtde_batalhas]]),DadosBrutos[[#This Row],[qtde_batalhas]],IFERROR(VALUE(SUBSTITUTE(DadosBrutos[[#This Row],[qtde_batalhas]]," batalhas","")),"-")))</f>
        <v>29</v>
      </c>
      <c r="L260" s="1" t="str">
        <f>IF(DadosL[[#This Row],[qtde_batalhas]]="-","-",IF(DadosL[[#This Row],[qtde_batalhas]]&lt;=10,"Baixo",IF(DadosL[[#This Row],[qtde_batalhas]]&lt;=25,"Médio","Alto")))</f>
        <v>Alto</v>
      </c>
      <c r="M26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10500</v>
      </c>
      <c r="N260" s="1" t="str">
        <f>IF(AND(DadosL[[#This Row],[nivel_risco]]="Alto",DadosL[[#This Row],[flag_inadimplente]]="Sim"),"Negado","Aprovado")</f>
        <v>Aprovado</v>
      </c>
      <c r="O260" s="1" t="str">
        <f>IF(AND(ISNUMBER(DadosL[[#This Row],[credito_tomado]]),DadosL[[#This Row],[credito_tomado]]&gt;50000,DadosL[[#This Row],[flag_inadimplente]]="Sim"),"Negado","Aprovado")</f>
        <v>Aprovado</v>
      </c>
      <c r="P260" s="46">
        <f>IF(OR(DadosL[[#This Row],[Analise_Risco]]="Negado",DadosL[[#This Row],[Analise_Credito]]="Negado"),0,IF(DadosL[[#This Row],[status]]="Ativo",DadosL[[#This Row],[valor_solicitado]]*1.08,0))</f>
        <v>11340</v>
      </c>
    </row>
    <row r="261" spans="1:16">
      <c r="A26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61" s="1" t="str">
        <f>PROPER(TRIM(DadosBrutos[[#This Row],[nome]]))</f>
        <v>Eddard Payne</v>
      </c>
      <c r="C261" s="1" t="str">
        <f>IF(LEN(SUBSTITUTE(SUBSTITUTE(SUBSTITUTE(DadosBrutos[[#This Row],[cpf]],".",""),"-","")," ",""))=11,DadosBrutos[[#This Row],[cpf]],"-")</f>
        <v>-</v>
      </c>
      <c r="D26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26</v>
      </c>
      <c r="E261" s="45">
        <f>IF(DadosBrutos[[#This Row],[data_nascimento]]="","-",DadosBrutos[[#This Row],[data_nascimento]])</f>
        <v>36411</v>
      </c>
      <c r="F261" s="1" t="str">
        <f>IF(ISNUMBER(SEARCH("|",DadosBrutos[[#This Row],[cidade]])),TRIM(LEFT(DadosBrutos[[#This Row],[cidade]],SEARCH("|",DadosBrutos[[#This Row],[cidade]])-1)),TRIM(DadosBrutos[[#This Row],[cidade]]))</f>
        <v>Correrrio</v>
      </c>
      <c r="G26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261" s="37">
        <f>IF(DadosBrutos[[#This Row],[renda_mensal]]="","-",IF(ISNUMBER(DadosBrutos[[#This Row],[renda_mensal]]),DadosBrutos[[#This Row],[renda_mensal]],IFERROR(VALUE(SUBSTITUTE(DadosBrutos[[#This Row],[renda_mensal]]," moedas","")),"-")))</f>
        <v>9200</v>
      </c>
      <c r="I261" s="37">
        <f>IF(DadosBrutos[[#This Row],[credito_tomado]]="","-",IF(ISNUMBER(DadosBrutos[[#This Row],[credito_tomado]]),DadosBrutos[[#This Row],[credito_tomado]],IFERROR(VALUE(SUBSTITUTE(DadosBrutos[[#This Row],[credito_tomado]]," moedas","")),"-")))</f>
        <v>68500</v>
      </c>
      <c r="J26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61" s="1">
        <f>IF(DadosBrutos[[#This Row],[qtde_batalhas]]="","-",IF(ISNUMBER(DadosBrutos[[#This Row],[qtde_batalhas]]),DadosBrutos[[#This Row],[qtde_batalhas]],IFERROR(VALUE(SUBSTITUTE(DadosBrutos[[#This Row],[qtde_batalhas]]," batalhas","")),"-")))</f>
        <v>27</v>
      </c>
      <c r="L261" s="1" t="str">
        <f>IF(DadosL[[#This Row],[qtde_batalhas]]="-","-",IF(DadosL[[#This Row],[qtde_batalhas]]&lt;=10,"Baixo",IF(DadosL[[#This Row],[qtde_batalhas]]&lt;=25,"Médio","Alto")))</f>
        <v>Alto</v>
      </c>
      <c r="M26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7000</v>
      </c>
      <c r="N261" s="1" t="str">
        <f>IF(AND(DadosL[[#This Row],[nivel_risco]]="Alto",DadosL[[#This Row],[flag_inadimplente]]="Sim"),"Negado","Aprovado")</f>
        <v>Aprovado</v>
      </c>
      <c r="O261" s="1" t="str">
        <f>IF(AND(ISNUMBER(DadosL[[#This Row],[credito_tomado]]),DadosL[[#This Row],[credito_tomado]]&gt;50000,DadosL[[#This Row],[flag_inadimplente]]="Sim"),"Negado","Aprovado")</f>
        <v>Aprovado</v>
      </c>
      <c r="P261" s="46">
        <f>IF(OR(DadosL[[#This Row],[Analise_Risco]]="Negado",DadosL[[#This Row],[Analise_Credito]]="Negado"),0,IF(DadosL[[#This Row],[status]]="Ativo",DadosL[[#This Row],[valor_solicitado]]*1.08,0))</f>
        <v>7560.0000000000009</v>
      </c>
    </row>
    <row r="262" spans="1:16">
      <c r="A26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62" s="1" t="str">
        <f>PROPER(TRIM(DadosBrutos[[#This Row],[nome]]))</f>
        <v>Cersei Glover</v>
      </c>
      <c r="C262" s="1" t="str">
        <f>IF(LEN(SUBSTITUTE(SUBSTITUTE(SUBSTITUTE(DadosBrutos[[#This Row],[cpf]],".",""),"-","")," ",""))=11,DadosBrutos[[#This Row],[cpf]],"-")</f>
        <v>000.000.324-00</v>
      </c>
      <c r="D26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49</v>
      </c>
      <c r="E262" s="45">
        <f>IF(DadosBrutos[[#This Row],[data_nascimento]]="","-",DadosBrutos[[#This Row],[data_nascimento]])</f>
        <v>28286</v>
      </c>
      <c r="F262" s="1" t="str">
        <f>IF(ISNUMBER(SEARCH("|",DadosBrutos[[#This Row],[cidade]])),TRIM(LEFT(DadosBrutos[[#This Row],[cidade]],SEARCH("|",DadosBrutos[[#This Row],[cidade]])-1)),TRIM(DadosBrutos[[#This Row],[cidade]]))</f>
        <v>Pyke</v>
      </c>
      <c r="G26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262" s="37">
        <f>IF(DadosBrutos[[#This Row],[renda_mensal]]="","-",IF(ISNUMBER(DadosBrutos[[#This Row],[renda_mensal]]),DadosBrutos[[#This Row],[renda_mensal]],IFERROR(VALUE(SUBSTITUTE(DadosBrutos[[#This Row],[renda_mensal]]," moedas","")),"-")))</f>
        <v>21900</v>
      </c>
      <c r="I262" s="37">
        <f>IF(DadosBrutos[[#This Row],[credito_tomado]]="","-",IF(ISNUMBER(DadosBrutos[[#This Row],[credito_tomado]]),DadosBrutos[[#This Row],[credito_tomado]],IFERROR(VALUE(SUBSTITUTE(DadosBrutos[[#This Row],[credito_tomado]]," moedas","")),"-")))</f>
        <v>69000</v>
      </c>
      <c r="J26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62" s="1">
        <f>IF(DadosBrutos[[#This Row],[qtde_batalhas]]="","-",IF(ISNUMBER(DadosBrutos[[#This Row],[qtde_batalhas]]),DadosBrutos[[#This Row],[qtde_batalhas]],IFERROR(VALUE(SUBSTITUTE(DadosBrutos[[#This Row],[qtde_batalhas]]," batalhas","")),"-")))</f>
        <v>4</v>
      </c>
      <c r="L262" s="1" t="str">
        <f>IF(DadosL[[#This Row],[qtde_batalhas]]="-","-",IF(DadosL[[#This Row],[qtde_batalhas]]&lt;=10,"Baixo",IF(DadosL[[#This Row],[qtde_batalhas]]&lt;=25,"Médio","Alto")))</f>
        <v>Baixo</v>
      </c>
      <c r="M26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80500</v>
      </c>
      <c r="N262" s="1" t="str">
        <f>IF(AND(DadosL[[#This Row],[nivel_risco]]="Alto",DadosL[[#This Row],[flag_inadimplente]]="Sim"),"Negado","Aprovado")</f>
        <v>Aprovado</v>
      </c>
      <c r="O262" s="1" t="str">
        <f>IF(AND(ISNUMBER(DadosL[[#This Row],[credito_tomado]]),DadosL[[#This Row],[credito_tomado]]&gt;50000,DadosL[[#This Row],[flag_inadimplente]]="Sim"),"Negado","Aprovado")</f>
        <v>Aprovado</v>
      </c>
      <c r="P262" s="46">
        <f>IF(OR(DadosL[[#This Row],[Analise_Risco]]="Negado",DadosL[[#This Row],[Analise_Credito]]="Negado"),0,IF(DadosL[[#This Row],[status]]="Ativo",DadosL[[#This Row],[valor_solicitado]]*1.08,0))</f>
        <v>0</v>
      </c>
    </row>
    <row r="263" spans="1:16">
      <c r="A26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63" s="1" t="str">
        <f>PROPER(TRIM(DadosBrutos[[#This Row],[nome]]))</f>
        <v>Theon Karstark</v>
      </c>
      <c r="C263" s="1" t="str">
        <f>IF(LEN(SUBSTITUTE(SUBSTITUTE(SUBSTITUTE(DadosBrutos[[#This Row],[cpf]],".",""),"-","")," ",""))=11,DadosBrutos[[#This Row],[cpf]],"-")</f>
        <v>000.000.296-00</v>
      </c>
      <c r="D26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71</v>
      </c>
      <c r="E263" s="45">
        <f>IF(DadosBrutos[[#This Row],[data_nascimento]]="","-",DadosBrutos[[#This Row],[data_nascimento]])</f>
        <v>20187</v>
      </c>
      <c r="F263" s="1" t="str">
        <f>IF(ISNUMBER(SEARCH("|",DadosBrutos[[#This Row],[cidade]])),TRIM(LEFT(DadosBrutos[[#This Row],[cidade]],SEARCH("|",DadosBrutos[[#This Row],[cidade]])-1)),TRIM(DadosBrutos[[#This Row],[cidade]]))</f>
        <v>Braavos</v>
      </c>
      <c r="G26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263" s="37">
        <f>IF(DadosBrutos[[#This Row],[renda_mensal]]="","-",IF(ISNUMBER(DadosBrutos[[#This Row],[renda_mensal]]),DadosBrutos[[#This Row],[renda_mensal]],IFERROR(VALUE(SUBSTITUTE(DadosBrutos[[#This Row],[renda_mensal]]," moedas","")),"-")))</f>
        <v>29200</v>
      </c>
      <c r="I263" s="37">
        <f>IF(DadosBrutos[[#This Row],[credito_tomado]]="","-",IF(ISNUMBER(DadosBrutos[[#This Row],[credito_tomado]]),DadosBrutos[[#This Row],[credito_tomado]],IFERROR(VALUE(SUBSTITUTE(DadosBrutos[[#This Row],[credito_tomado]]," moedas","")),"-")))</f>
        <v>73500</v>
      </c>
      <c r="J26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63" s="1">
        <f>IF(DadosBrutos[[#This Row],[qtde_batalhas]]="","-",IF(ISNUMBER(DadosBrutos[[#This Row],[qtde_batalhas]]),DadosBrutos[[#This Row],[qtde_batalhas]],IFERROR(VALUE(SUBSTITUTE(DadosBrutos[[#This Row],[qtde_batalhas]]," batalhas","")),"-")))</f>
        <v>2</v>
      </c>
      <c r="L263" s="1" t="str">
        <f>IF(DadosL[[#This Row],[qtde_batalhas]]="-","-",IF(DadosL[[#This Row],[qtde_batalhas]]&lt;=10,"Baixo",IF(DadosL[[#This Row],[qtde_batalhas]]&lt;=25,"Médio","Alto")))</f>
        <v>Baixo</v>
      </c>
      <c r="M26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33000</v>
      </c>
      <c r="N263" s="1" t="str">
        <f>IF(AND(DadosL[[#This Row],[nivel_risco]]="Alto",DadosL[[#This Row],[flag_inadimplente]]="Sim"),"Negado","Aprovado")</f>
        <v>Aprovado</v>
      </c>
      <c r="O263" s="1" t="str">
        <f>IF(AND(ISNUMBER(DadosL[[#This Row],[credito_tomado]]),DadosL[[#This Row],[credito_tomado]]&gt;50000,DadosL[[#This Row],[flag_inadimplente]]="Sim"),"Negado","Aprovado")</f>
        <v>Aprovado</v>
      </c>
      <c r="P263" s="46">
        <f>IF(OR(DadosL[[#This Row],[Analise_Risco]]="Negado",DadosL[[#This Row],[Analise_Credito]]="Negado"),0,IF(DadosL[[#This Row],[status]]="Ativo",DadosL[[#This Row],[valor_solicitado]]*1.08,0))</f>
        <v>35640</v>
      </c>
    </row>
    <row r="264" spans="1:16">
      <c r="A26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64" s="1" t="str">
        <f>PROPER(TRIM(DadosBrutos[[#This Row],[nome]]))</f>
        <v>Jon Cerwyn</v>
      </c>
      <c r="C264" s="1" t="str">
        <f>IF(LEN(SUBSTITUTE(SUBSTITUTE(SUBSTITUTE(DadosBrutos[[#This Row],[cpf]],".",""),"-","")," ",""))=11,DadosBrutos[[#This Row],[cpf]],"-")</f>
        <v>000.000.112-00</v>
      </c>
      <c r="D26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65</v>
      </c>
      <c r="E264" s="45">
        <f>IF(DadosBrutos[[#This Row],[data_nascimento]]="","-",DadosBrutos[[#This Row],[data_nascimento]])</f>
        <v>22314</v>
      </c>
      <c r="F264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26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264" s="37">
        <f>IF(DadosBrutos[[#This Row],[renda_mensal]]="","-",IF(ISNUMBER(DadosBrutos[[#This Row],[renda_mensal]]),DadosBrutos[[#This Row],[renda_mensal]],IFERROR(VALUE(SUBSTITUTE(DadosBrutos[[#This Row],[renda_mensal]]," moedas","")),"-")))</f>
        <v>6100</v>
      </c>
      <c r="I264" s="37">
        <f>IF(DadosBrutos[[#This Row],[credito_tomado]]="","-",IF(ISNUMBER(DadosBrutos[[#This Row],[credito_tomado]]),DadosBrutos[[#This Row],[credito_tomado]],IFERROR(VALUE(SUBSTITUTE(DadosBrutos[[#This Row],[credito_tomado]]," moedas","")),"-")))</f>
        <v>40000</v>
      </c>
      <c r="J26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64" s="1">
        <f>IF(DadosBrutos[[#This Row],[qtde_batalhas]]="","-",IF(ISNUMBER(DadosBrutos[[#This Row],[qtde_batalhas]]),DadosBrutos[[#This Row],[qtde_batalhas]],IFERROR(VALUE(SUBSTITUTE(DadosBrutos[[#This Row],[qtde_batalhas]]," batalhas","")),"-")))</f>
        <v>13</v>
      </c>
      <c r="L264" s="1" t="str">
        <f>IF(DadosL[[#This Row],[qtde_batalhas]]="-","-",IF(DadosL[[#This Row],[qtde_batalhas]]&lt;=10,"Baixo",IF(DadosL[[#This Row],[qtde_batalhas]]&lt;=25,"Médio","Alto")))</f>
        <v>Médio</v>
      </c>
      <c r="M26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22500</v>
      </c>
      <c r="N264" s="1" t="str">
        <f>IF(AND(DadosL[[#This Row],[nivel_risco]]="Alto",DadosL[[#This Row],[flag_inadimplente]]="Sim"),"Negado","Aprovado")</f>
        <v>Aprovado</v>
      </c>
      <c r="O264" s="1" t="str">
        <f>IF(AND(ISNUMBER(DadosL[[#This Row],[credito_tomado]]),DadosL[[#This Row],[credito_tomado]]&gt;50000,DadosL[[#This Row],[flag_inadimplente]]="Sim"),"Negado","Aprovado")</f>
        <v>Aprovado</v>
      </c>
      <c r="P264" s="46">
        <f>IF(OR(DadosL[[#This Row],[Analise_Risco]]="Negado",DadosL[[#This Row],[Analise_Credito]]="Negado"),0,IF(DadosL[[#This Row],[status]]="Ativo",DadosL[[#This Row],[valor_solicitado]]*1.08,0))</f>
        <v>24300</v>
      </c>
    </row>
    <row r="265" spans="1:16">
      <c r="A26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65" s="1" t="str">
        <f>PROPER(TRIM(DadosBrutos[[#This Row],[nome]]))</f>
        <v>Jon Bolton</v>
      </c>
      <c r="C265" s="1" t="str">
        <f>IF(LEN(SUBSTITUTE(SUBSTITUTE(SUBSTITUTE(DadosBrutos[[#This Row],[cpf]],".",""),"-","")," ",""))=11,DadosBrutos[[#This Row],[cpf]],"-")</f>
        <v>000.000.130-00</v>
      </c>
      <c r="D26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65</v>
      </c>
      <c r="E265" s="45">
        <f>IF(DadosBrutos[[#This Row],[data_nascimento]]="","-",DadosBrutos[[#This Row],[data_nascimento]])</f>
        <v>22297</v>
      </c>
      <c r="F265" s="1" t="str">
        <f>IF(ISNUMBER(SEARCH("|",DadosBrutos[[#This Row],[cidade]])),TRIM(LEFT(DadosBrutos[[#This Row],[cidade]],SEARCH("|",DadosBrutos[[#This Row],[cidade]])-1)),TRIM(DadosBrutos[[#This Row],[cidade]]))</f>
        <v>Lannisporto</v>
      </c>
      <c r="G26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265" s="37">
        <f>IF(DadosBrutos[[#This Row],[renda_mensal]]="","-",IF(ISNUMBER(DadosBrutos[[#This Row],[renda_mensal]]),DadosBrutos[[#This Row],[renda_mensal]],IFERROR(VALUE(SUBSTITUTE(DadosBrutos[[#This Row],[renda_mensal]]," moedas","")),"-")))</f>
        <v>27300</v>
      </c>
      <c r="I265" s="37">
        <f>IF(DadosBrutos[[#This Row],[credito_tomado]]="","-",IF(ISNUMBER(DadosBrutos[[#This Row],[credito_tomado]]),DadosBrutos[[#This Row],[credito_tomado]],IFERROR(VALUE(SUBSTITUTE(DadosBrutos[[#This Row],[credito_tomado]]," moedas","")),"-")))</f>
        <v>48500</v>
      </c>
      <c r="J26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65" s="1">
        <f>IF(DadosBrutos[[#This Row],[qtde_batalhas]]="","-",IF(ISNUMBER(DadosBrutos[[#This Row],[qtde_batalhas]]),DadosBrutos[[#This Row],[qtde_batalhas]],IFERROR(VALUE(SUBSTITUTE(DadosBrutos[[#This Row],[qtde_batalhas]]," batalhas","")),"-")))</f>
        <v>29</v>
      </c>
      <c r="L265" s="1" t="str">
        <f>IF(DadosL[[#This Row],[qtde_batalhas]]="-","-",IF(DadosL[[#This Row],[qtde_batalhas]]&lt;=10,"Baixo",IF(DadosL[[#This Row],[qtde_batalhas]]&lt;=25,"Médio","Alto")))</f>
        <v>Alto</v>
      </c>
      <c r="M26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94000</v>
      </c>
      <c r="N265" s="1" t="str">
        <f>IF(AND(DadosL[[#This Row],[nivel_risco]]="Alto",DadosL[[#This Row],[flag_inadimplente]]="Sim"),"Negado","Aprovado")</f>
        <v>Aprovado</v>
      </c>
      <c r="O265" s="1" t="str">
        <f>IF(AND(ISNUMBER(DadosL[[#This Row],[credito_tomado]]),DadosL[[#This Row],[credito_tomado]]&gt;50000,DadosL[[#This Row],[flag_inadimplente]]="Sim"),"Negado","Aprovado")</f>
        <v>Aprovado</v>
      </c>
      <c r="P265" s="46">
        <f>IF(OR(DadosL[[#This Row],[Analise_Risco]]="Negado",DadosL[[#This Row],[Analise_Credito]]="Negado"),0,IF(DadosL[[#This Row],[status]]="Ativo",DadosL[[#This Row],[valor_solicitado]]*1.08,0))</f>
        <v>101520</v>
      </c>
    </row>
    <row r="266" spans="1:16">
      <c r="A26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66" s="1" t="str">
        <f>PROPER(TRIM(DadosBrutos[[#This Row],[nome]]))</f>
        <v>Robert Stark</v>
      </c>
      <c r="C266" s="1" t="str">
        <f>IF(LEN(SUBSTITUTE(SUBSTITUTE(SUBSTITUTE(DadosBrutos[[#This Row],[cpf]],".",""),"-","")," ",""))=11,DadosBrutos[[#This Row],[cpf]],"-")</f>
        <v>000.000.315-00</v>
      </c>
      <c r="D26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57</v>
      </c>
      <c r="E266" s="45">
        <f>IF(DadosBrutos[[#This Row],[data_nascimento]]="","-",DadosBrutos[[#This Row],[data_nascimento]])</f>
        <v>25350</v>
      </c>
      <c r="F266" s="1" t="str">
        <f>IF(ISNUMBER(SEARCH("|",DadosBrutos[[#This Row],[cidade]])),TRIM(LEFT(DadosBrutos[[#This Row],[cidade]],SEARCH("|",DadosBrutos[[#This Row],[cidade]])-1)),TRIM(DadosBrutos[[#This Row],[cidade]]))</f>
        <v>Harrenhal</v>
      </c>
      <c r="G26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266" s="37">
        <f>IF(DadosBrutos[[#This Row],[renda_mensal]]="","-",IF(ISNUMBER(DadosBrutos[[#This Row],[renda_mensal]]),DadosBrutos[[#This Row],[renda_mensal]],IFERROR(VALUE(SUBSTITUTE(DadosBrutos[[#This Row],[renda_mensal]]," moedas","")),"-")))</f>
        <v>20600</v>
      </c>
      <c r="I266" s="37">
        <f>IF(DadosBrutos[[#This Row],[credito_tomado]]="","-",IF(ISNUMBER(DadosBrutos[[#This Row],[credito_tomado]]),DadosBrutos[[#This Row],[credito_tomado]],IFERROR(VALUE(SUBSTITUTE(DadosBrutos[[#This Row],[credito_tomado]]," moedas","")),"-")))</f>
        <v>52500</v>
      </c>
      <c r="J26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-</v>
      </c>
      <c r="K266" s="1">
        <f>IF(DadosBrutos[[#This Row],[qtde_batalhas]]="","-",IF(ISNUMBER(DadosBrutos[[#This Row],[qtde_batalhas]]),DadosBrutos[[#This Row],[qtde_batalhas]],IFERROR(VALUE(SUBSTITUTE(DadosBrutos[[#This Row],[qtde_batalhas]]," batalhas","")),"-")))</f>
        <v>16</v>
      </c>
      <c r="L266" s="1" t="str">
        <f>IF(DadosL[[#This Row],[qtde_batalhas]]="-","-",IF(DadosL[[#This Row],[qtde_batalhas]]&lt;=10,"Baixo",IF(DadosL[[#This Row],[qtde_batalhas]]&lt;=25,"Médio","Alto")))</f>
        <v>Médio</v>
      </c>
      <c r="M26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97000</v>
      </c>
      <c r="N266" s="1" t="str">
        <f>IF(AND(DadosL[[#This Row],[nivel_risco]]="Alto",DadosL[[#This Row],[flag_inadimplente]]="Sim"),"Negado","Aprovado")</f>
        <v>Aprovado</v>
      </c>
      <c r="O266" s="1" t="str">
        <f>IF(AND(ISNUMBER(DadosL[[#This Row],[credito_tomado]]),DadosL[[#This Row],[credito_tomado]]&gt;50000,DadosL[[#This Row],[flag_inadimplente]]="Sim"),"Negado","Aprovado")</f>
        <v>Aprovado</v>
      </c>
      <c r="P266" s="46">
        <f>IF(OR(DadosL[[#This Row],[Analise_Risco]]="Negado",DadosL[[#This Row],[Analise_Credito]]="Negado"),0,IF(DadosL[[#This Row],[status]]="Ativo",DadosL[[#This Row],[valor_solicitado]]*1.08,0))</f>
        <v>104760</v>
      </c>
    </row>
    <row r="267" spans="1:16">
      <c r="A26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67" s="1" t="str">
        <f>PROPER(TRIM(DadosBrutos[[#This Row],[nome]]))</f>
        <v>Tyrion Lannister</v>
      </c>
      <c r="C267" s="1" t="str">
        <f>IF(LEN(SUBSTITUTE(SUBSTITUTE(SUBSTITUTE(DadosBrutos[[#This Row],[cpf]],".",""),"-","")," ",""))=11,DadosBrutos[[#This Row],[cpf]],"-")</f>
        <v>-</v>
      </c>
      <c r="D26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24</v>
      </c>
      <c r="E267" s="45">
        <f>IF(DadosBrutos[[#This Row],[data_nascimento]]="","-",DadosBrutos[[#This Row],[data_nascimento]])</f>
        <v>37470</v>
      </c>
      <c r="F267" s="1" t="str">
        <f>IF(ISNUMBER(SEARCH("|",DadosBrutos[[#This Row],[cidade]])),TRIM(LEFT(DadosBrutos[[#This Row],[cidade]],SEARCH("|",DadosBrutos[[#This Row],[cidade]])-1)),TRIM(DadosBrutos[[#This Row],[cidade]]))</f>
        <v>Solar do Entardecer</v>
      </c>
      <c r="G26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267" s="37">
        <f>IF(DadosBrutos[[#This Row],[renda_mensal]]="","-",IF(ISNUMBER(DadosBrutos[[#This Row],[renda_mensal]]),DadosBrutos[[#This Row],[renda_mensal]],IFERROR(VALUE(SUBSTITUTE(DadosBrutos[[#This Row],[renda_mensal]]," moedas","")),"-")))</f>
        <v>16900</v>
      </c>
      <c r="I267" s="37">
        <f>IF(DadosBrutos[[#This Row],[credito_tomado]]="","-",IF(ISNUMBER(DadosBrutos[[#This Row],[credito_tomado]]),DadosBrutos[[#This Row],[credito_tomado]],IFERROR(VALUE(SUBSTITUTE(DadosBrutos[[#This Row],[credito_tomado]]," moedas","")),"-")))</f>
        <v>42500</v>
      </c>
      <c r="J26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67" s="1">
        <f>IF(DadosBrutos[[#This Row],[qtde_batalhas]]="","-",IF(ISNUMBER(DadosBrutos[[#This Row],[qtde_batalhas]]),DadosBrutos[[#This Row],[qtde_batalhas]],IFERROR(VALUE(SUBSTITUTE(DadosBrutos[[#This Row],[qtde_batalhas]]," batalhas","")),"-")))</f>
        <v>26</v>
      </c>
      <c r="L267" s="1" t="str">
        <f>IF(DadosL[[#This Row],[qtde_batalhas]]="-","-",IF(DadosL[[#This Row],[qtde_batalhas]]&lt;=10,"Baixo",IF(DadosL[[#This Row],[qtde_batalhas]]&lt;=25,"Médio","Alto")))</f>
        <v>Alto</v>
      </c>
      <c r="M26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12500</v>
      </c>
      <c r="N267" s="1" t="str">
        <f>IF(AND(DadosL[[#This Row],[nivel_risco]]="Alto",DadosL[[#This Row],[flag_inadimplente]]="Sim"),"Negado","Aprovado")</f>
        <v>Negado</v>
      </c>
      <c r="O267" s="1" t="str">
        <f>IF(AND(ISNUMBER(DadosL[[#This Row],[credito_tomado]]),DadosL[[#This Row],[credito_tomado]]&gt;50000,DadosL[[#This Row],[flag_inadimplente]]="Sim"),"Negado","Aprovado")</f>
        <v>Aprovado</v>
      </c>
      <c r="P267" s="46">
        <f>IF(OR(DadosL[[#This Row],[Analise_Risco]]="Negado",DadosL[[#This Row],[Analise_Credito]]="Negado"),0,IF(DadosL[[#This Row],[status]]="Ativo",DadosL[[#This Row],[valor_solicitado]]*1.08,0))</f>
        <v>0</v>
      </c>
    </row>
    <row r="268" spans="1:16">
      <c r="A26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68" s="1" t="str">
        <f>PROPER(TRIM(DadosBrutos[[#This Row],[nome]]))</f>
        <v>Eddard Greyjoy</v>
      </c>
      <c r="C268" s="1" t="str">
        <f>IF(LEN(SUBSTITUTE(SUBSTITUTE(SUBSTITUTE(DadosBrutos[[#This Row],[cpf]],".",""),"-","")," ",""))=11,DadosBrutos[[#This Row],[cpf]],"-")</f>
        <v>000.000.238-00</v>
      </c>
      <c r="D26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55</v>
      </c>
      <c r="E268" s="45">
        <f>IF(DadosBrutos[[#This Row],[data_nascimento]]="","-",DadosBrutos[[#This Row],[data_nascimento]])</f>
        <v>25848</v>
      </c>
      <c r="F268" s="1" t="str">
        <f>IF(ISNUMBER(SEARCH("|",DadosBrutos[[#This Row],[cidade]])),TRIM(LEFT(DadosBrutos[[#This Row],[cidade]],SEARCH("|",DadosBrutos[[#This Row],[cidade]])-1)),TRIM(DadosBrutos[[#This Row],[cidade]]))</f>
        <v>Meereen</v>
      </c>
      <c r="G26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268" s="37" t="str">
        <f>IF(DadosBrutos[[#This Row],[renda_mensal]]="","-",IF(ISNUMBER(DadosBrutos[[#This Row],[renda_mensal]]),DadosBrutos[[#This Row],[renda_mensal]],IFERROR(VALUE(SUBSTITUTE(DadosBrutos[[#This Row],[renda_mensal]]," moedas","")),"-")))</f>
        <v>-</v>
      </c>
      <c r="I268" s="37">
        <f>IF(DadosBrutos[[#This Row],[credito_tomado]]="","-",IF(ISNUMBER(DadosBrutos[[#This Row],[credito_tomado]]),DadosBrutos[[#This Row],[credito_tomado]],IFERROR(VALUE(SUBSTITUTE(DadosBrutos[[#This Row],[credito_tomado]]," moedas","")),"-")))</f>
        <v>5000</v>
      </c>
      <c r="J26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68" s="1">
        <f>IF(DadosBrutos[[#This Row],[qtde_batalhas]]="","-",IF(ISNUMBER(DadosBrutos[[#This Row],[qtde_batalhas]]),DadosBrutos[[#This Row],[qtde_batalhas]],IFERROR(VALUE(SUBSTITUTE(DadosBrutos[[#This Row],[qtde_batalhas]]," batalhas","")),"-")))</f>
        <v>8</v>
      </c>
      <c r="L268" s="1" t="str">
        <f>IF(DadosL[[#This Row],[qtde_batalhas]]="-","-",IF(DadosL[[#This Row],[qtde_batalhas]]&lt;=10,"Baixo",IF(DadosL[[#This Row],[qtde_batalhas]]&lt;=25,"Médio","Alto")))</f>
        <v>Baixo</v>
      </c>
      <c r="M26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11000</v>
      </c>
      <c r="N268" s="1" t="str">
        <f>IF(AND(DadosL[[#This Row],[nivel_risco]]="Alto",DadosL[[#This Row],[flag_inadimplente]]="Sim"),"Negado","Aprovado")</f>
        <v>Aprovado</v>
      </c>
      <c r="O268" s="1" t="str">
        <f>IF(AND(ISNUMBER(DadosL[[#This Row],[credito_tomado]]),DadosL[[#This Row],[credito_tomado]]&gt;50000,DadosL[[#This Row],[flag_inadimplente]]="Sim"),"Negado","Aprovado")</f>
        <v>Aprovado</v>
      </c>
      <c r="P268" s="46">
        <f>IF(OR(DadosL[[#This Row],[Analise_Risco]]="Negado",DadosL[[#This Row],[Analise_Credito]]="Negado"),0,IF(DadosL[[#This Row],[status]]="Ativo",DadosL[[#This Row],[valor_solicitado]]*1.08,0))</f>
        <v>0</v>
      </c>
    </row>
    <row r="269" spans="1:16">
      <c r="A26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69" s="1" t="str">
        <f>PROPER(TRIM(DadosBrutos[[#This Row],[nome]]))</f>
        <v>Thoros Greyjoy</v>
      </c>
      <c r="C269" s="1" t="str">
        <f>IF(LEN(SUBSTITUTE(SUBSTITUTE(SUBSTITUTE(DadosBrutos[[#This Row],[cpf]],".",""),"-","")," ",""))=11,DadosBrutos[[#This Row],[cpf]],"-")</f>
        <v>000.000.374-00</v>
      </c>
      <c r="D26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67</v>
      </c>
      <c r="E269" s="45">
        <f>IF(DadosBrutos[[#This Row],[data_nascimento]]="","-",DadosBrutos[[#This Row],[data_nascimento]])</f>
        <v>21573</v>
      </c>
      <c r="F269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26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269" s="37">
        <f>IF(DadosBrutos[[#This Row],[renda_mensal]]="","-",IF(ISNUMBER(DadosBrutos[[#This Row],[renda_mensal]]),DadosBrutos[[#This Row],[renda_mensal]],IFERROR(VALUE(SUBSTITUTE(DadosBrutos[[#This Row],[renda_mensal]]," moedas","")),"-")))</f>
        <v>6400</v>
      </c>
      <c r="I269" s="37">
        <f>IF(DadosBrutos[[#This Row],[credito_tomado]]="","-",IF(ISNUMBER(DadosBrutos[[#This Row],[credito_tomado]]),DadosBrutos[[#This Row],[credito_tomado]],IFERROR(VALUE(SUBSTITUTE(DadosBrutos[[#This Row],[credito_tomado]]," moedas","")),"-")))</f>
        <v>1000</v>
      </c>
      <c r="J26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69" s="1">
        <f>IF(DadosBrutos[[#This Row],[qtde_batalhas]]="","-",IF(ISNUMBER(DadosBrutos[[#This Row],[qtde_batalhas]]),DadosBrutos[[#This Row],[qtde_batalhas]],IFERROR(VALUE(SUBSTITUTE(DadosBrutos[[#This Row],[qtde_batalhas]]," batalhas","")),"-")))</f>
        <v>27</v>
      </c>
      <c r="L269" s="1" t="str">
        <f>IF(DadosL[[#This Row],[qtde_batalhas]]="-","-",IF(DadosL[[#This Row],[qtde_batalhas]]&lt;=10,"Baixo",IF(DadosL[[#This Row],[qtde_batalhas]]&lt;=25,"Médio","Alto")))</f>
        <v>Alto</v>
      </c>
      <c r="M26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50000</v>
      </c>
      <c r="N269" s="1" t="str">
        <f>IF(AND(DadosL[[#This Row],[nivel_risco]]="Alto",DadosL[[#This Row],[flag_inadimplente]]="Sim"),"Negado","Aprovado")</f>
        <v>Aprovado</v>
      </c>
      <c r="O269" s="1" t="str">
        <f>IF(AND(ISNUMBER(DadosL[[#This Row],[credito_tomado]]),DadosL[[#This Row],[credito_tomado]]&gt;50000,DadosL[[#This Row],[flag_inadimplente]]="Sim"),"Negado","Aprovado")</f>
        <v>Aprovado</v>
      </c>
      <c r="P269" s="46">
        <f>IF(OR(DadosL[[#This Row],[Analise_Risco]]="Negado",DadosL[[#This Row],[Analise_Credito]]="Negado"),0,IF(DadosL[[#This Row],[status]]="Ativo",DadosL[[#This Row],[valor_solicitado]]*1.08,0))</f>
        <v>54000</v>
      </c>
    </row>
    <row r="270" spans="1:16">
      <c r="A27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70" s="1" t="str">
        <f>PROPER(TRIM(DadosBrutos[[#This Row],[nome]]))</f>
        <v>Gilly Marbrand</v>
      </c>
      <c r="C270" s="1" t="str">
        <f>IF(LEN(SUBSTITUTE(SUBSTITUTE(SUBSTITUTE(DadosBrutos[[#This Row],[cpf]],".",""),"-","")," ",""))=11,DadosBrutos[[#This Row],[cpf]],"-")</f>
        <v>-</v>
      </c>
      <c r="D27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44</v>
      </c>
      <c r="E270" s="45">
        <f>IF(DadosBrutos[[#This Row],[data_nascimento]]="","-",DadosBrutos[[#This Row],[data_nascimento]])</f>
        <v>29843</v>
      </c>
      <c r="F270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27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270" s="37">
        <f>IF(DadosBrutos[[#This Row],[renda_mensal]]="","-",IF(ISNUMBER(DadosBrutos[[#This Row],[renda_mensal]]),DadosBrutos[[#This Row],[renda_mensal]],IFERROR(VALUE(SUBSTITUTE(DadosBrutos[[#This Row],[renda_mensal]]," moedas","")),"-")))</f>
        <v>11300</v>
      </c>
      <c r="I270" s="37">
        <f>IF(DadosBrutos[[#This Row],[credito_tomado]]="","-",IF(ISNUMBER(DadosBrutos[[#This Row],[credito_tomado]]),DadosBrutos[[#This Row],[credito_tomado]],IFERROR(VALUE(SUBSTITUTE(DadosBrutos[[#This Row],[credito_tomado]]," moedas","")),"-")))</f>
        <v>55000</v>
      </c>
      <c r="J27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70" s="1">
        <f>IF(DadosBrutos[[#This Row],[qtde_batalhas]]="","-",IF(ISNUMBER(DadosBrutos[[#This Row],[qtde_batalhas]]),DadosBrutos[[#This Row],[qtde_batalhas]],IFERROR(VALUE(SUBSTITUTE(DadosBrutos[[#This Row],[qtde_batalhas]]," batalhas","")),"-")))</f>
        <v>38</v>
      </c>
      <c r="L270" s="1" t="str">
        <f>IF(DadosL[[#This Row],[qtde_batalhas]]="-","-",IF(DadosL[[#This Row],[qtde_batalhas]]&lt;=10,"Baixo",IF(DadosL[[#This Row],[qtde_batalhas]]&lt;=25,"Médio","Alto")))</f>
        <v>Alto</v>
      </c>
      <c r="M27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68500</v>
      </c>
      <c r="N270" s="1" t="str">
        <f>IF(AND(DadosL[[#This Row],[nivel_risco]]="Alto",DadosL[[#This Row],[flag_inadimplente]]="Sim"),"Negado","Aprovado")</f>
        <v>Aprovado</v>
      </c>
      <c r="O270" s="1" t="str">
        <f>IF(AND(ISNUMBER(DadosL[[#This Row],[credito_tomado]]),DadosL[[#This Row],[credito_tomado]]&gt;50000,DadosL[[#This Row],[flag_inadimplente]]="Sim"),"Negado","Aprovado")</f>
        <v>Aprovado</v>
      </c>
      <c r="P270" s="46">
        <f>IF(OR(DadosL[[#This Row],[Analise_Risco]]="Negado",DadosL[[#This Row],[Analise_Credito]]="Negado"),0,IF(DadosL[[#This Row],[status]]="Ativo",DadosL[[#This Row],[valor_solicitado]]*1.08,0))</f>
        <v>73980</v>
      </c>
    </row>
    <row r="271" spans="1:16">
      <c r="A27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71" s="1" t="str">
        <f>PROPER(TRIM(DadosBrutos[[#This Row],[nome]]))</f>
        <v>Catelyn Lannister</v>
      </c>
      <c r="C271" s="1" t="str">
        <f>IF(LEN(SUBSTITUTE(SUBSTITUTE(SUBSTITUTE(DadosBrutos[[#This Row],[cpf]],".",""),"-","")," ",""))=11,DadosBrutos[[#This Row],[cpf]],"-")</f>
        <v>000.000.110-00</v>
      </c>
      <c r="D27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33</v>
      </c>
      <c r="E271" s="45">
        <f>IF(DadosBrutos[[#This Row],[data_nascimento]]="","-",DadosBrutos[[#This Row],[data_nascimento]])</f>
        <v>34070</v>
      </c>
      <c r="F271" s="1" t="str">
        <f>IF(ISNUMBER(SEARCH("|",DadosBrutos[[#This Row],[cidade]])),TRIM(LEFT(DadosBrutos[[#This Row],[cidade]],SEARCH("|",DadosBrutos[[#This Row],[cidade]])-1)),TRIM(DadosBrutos[[#This Row],[cidade]]))</f>
        <v>Solar do Entardecer</v>
      </c>
      <c r="G27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271" s="37">
        <f>IF(DadosBrutos[[#This Row],[renda_mensal]]="","-",IF(ISNUMBER(DadosBrutos[[#This Row],[renda_mensal]]),DadosBrutos[[#This Row],[renda_mensal]],IFERROR(VALUE(SUBSTITUTE(DadosBrutos[[#This Row],[renda_mensal]]," moedas","")),"-")))</f>
        <v>29300</v>
      </c>
      <c r="I271" s="37">
        <f>IF(DadosBrutos[[#This Row],[credito_tomado]]="","-",IF(ISNUMBER(DadosBrutos[[#This Row],[credito_tomado]]),DadosBrutos[[#This Row],[credito_tomado]],IFERROR(VALUE(SUBSTITUTE(DadosBrutos[[#This Row],[credito_tomado]]," moedas","")),"-")))</f>
        <v>69000</v>
      </c>
      <c r="J27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71" s="1">
        <f>IF(DadosBrutos[[#This Row],[qtde_batalhas]]="","-",IF(ISNUMBER(DadosBrutos[[#This Row],[qtde_batalhas]]),DadosBrutos[[#This Row],[qtde_batalhas]],IFERROR(VALUE(SUBSTITUTE(DadosBrutos[[#This Row],[qtde_batalhas]]," batalhas","")),"-")))</f>
        <v>0</v>
      </c>
      <c r="L271" s="1" t="str">
        <f>IF(DadosL[[#This Row],[qtde_batalhas]]="-","-",IF(DadosL[[#This Row],[qtde_batalhas]]&lt;=10,"Baixo",IF(DadosL[[#This Row],[qtde_batalhas]]&lt;=25,"Médio","Alto")))</f>
        <v>Baixo</v>
      </c>
      <c r="M27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4500</v>
      </c>
      <c r="N271" s="1" t="str">
        <f>IF(AND(DadosL[[#This Row],[nivel_risco]]="Alto",DadosL[[#This Row],[flag_inadimplente]]="Sim"),"Negado","Aprovado")</f>
        <v>Aprovado</v>
      </c>
      <c r="O271" s="1" t="str">
        <f>IF(AND(ISNUMBER(DadosL[[#This Row],[credito_tomado]]),DadosL[[#This Row],[credito_tomado]]&gt;50000,DadosL[[#This Row],[flag_inadimplente]]="Sim"),"Negado","Aprovado")</f>
        <v>Negado</v>
      </c>
      <c r="P271" s="46">
        <f>IF(OR(DadosL[[#This Row],[Analise_Risco]]="Negado",DadosL[[#This Row],[Analise_Credito]]="Negado"),0,IF(DadosL[[#This Row],[status]]="Ativo",DadosL[[#This Row],[valor_solicitado]]*1.08,0))</f>
        <v>0</v>
      </c>
    </row>
    <row r="272" spans="1:16">
      <c r="A27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72" s="1" t="str">
        <f>PROPER(TRIM(DadosBrutos[[#This Row],[nome]]))</f>
        <v>Gendry Cerwyn</v>
      </c>
      <c r="C272" s="1" t="str">
        <f>IF(LEN(SUBSTITUTE(SUBSTITUTE(SUBSTITUTE(DadosBrutos[[#This Row],[cpf]],".",""),"-","")," ",""))=11,DadosBrutos[[#This Row],[cpf]],"-")</f>
        <v>000.000.153-00</v>
      </c>
      <c r="D27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24</v>
      </c>
      <c r="E272" s="45">
        <f>IF(DadosBrutos[[#This Row],[data_nascimento]]="","-",DadosBrutos[[#This Row],[data_nascimento]])</f>
        <v>37394</v>
      </c>
      <c r="F272" s="1" t="str">
        <f>IF(ISNUMBER(SEARCH("|",DadosBrutos[[#This Row],[cidade]])),TRIM(LEFT(DadosBrutos[[#This Row],[cidade]],SEARCH("|",DadosBrutos[[#This Row],[cidade]])-1)),TRIM(DadosBrutos[[#This Row],[cidade]]))</f>
        <v>Lannisporto</v>
      </c>
      <c r="G27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272" s="37">
        <f>IF(DadosBrutos[[#This Row],[renda_mensal]]="","-",IF(ISNUMBER(DadosBrutos[[#This Row],[renda_mensal]]),DadosBrutos[[#This Row],[renda_mensal]],IFERROR(VALUE(SUBSTITUTE(DadosBrutos[[#This Row],[renda_mensal]]," moedas","")),"-")))</f>
        <v>14200</v>
      </c>
      <c r="I272" s="37">
        <f>IF(DadosBrutos[[#This Row],[credito_tomado]]="","-",IF(ISNUMBER(DadosBrutos[[#This Row],[credito_tomado]]),DadosBrutos[[#This Row],[credito_tomado]],IFERROR(VALUE(SUBSTITUTE(DadosBrutos[[#This Row],[credito_tomado]]," moedas","")),"-")))</f>
        <v>71000</v>
      </c>
      <c r="J27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72" s="1">
        <f>IF(DadosBrutos[[#This Row],[qtde_batalhas]]="","-",IF(ISNUMBER(DadosBrutos[[#This Row],[qtde_batalhas]]),DadosBrutos[[#This Row],[qtde_batalhas]],IFERROR(VALUE(SUBSTITUTE(DadosBrutos[[#This Row],[qtde_batalhas]]," batalhas","")),"-")))</f>
        <v>10</v>
      </c>
      <c r="L272" s="1" t="str">
        <f>IF(DadosL[[#This Row],[qtde_batalhas]]="-","-",IF(DadosL[[#This Row],[qtde_batalhas]]&lt;=10,"Baixo",IF(DadosL[[#This Row],[qtde_batalhas]]&lt;=25,"Médio","Alto")))</f>
        <v>Baixo</v>
      </c>
      <c r="M27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91500</v>
      </c>
      <c r="N272" s="1" t="str">
        <f>IF(AND(DadosL[[#This Row],[nivel_risco]]="Alto",DadosL[[#This Row],[flag_inadimplente]]="Sim"),"Negado","Aprovado")</f>
        <v>Aprovado</v>
      </c>
      <c r="O272" s="1" t="str">
        <f>IF(AND(ISNUMBER(DadosL[[#This Row],[credito_tomado]]),DadosL[[#This Row],[credito_tomado]]&gt;50000,DadosL[[#This Row],[flag_inadimplente]]="Sim"),"Negado","Aprovado")</f>
        <v>Aprovado</v>
      </c>
      <c r="P272" s="46">
        <f>IF(OR(DadosL[[#This Row],[Analise_Risco]]="Negado",DadosL[[#This Row],[Analise_Credito]]="Negado"),0,IF(DadosL[[#This Row],[status]]="Ativo",DadosL[[#This Row],[valor_solicitado]]*1.08,0))</f>
        <v>98820</v>
      </c>
    </row>
    <row r="273" spans="1:16">
      <c r="A27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73" s="1" t="str">
        <f>PROPER(TRIM(DadosBrutos[[#This Row],[nome]]))</f>
        <v>Jon Dayne</v>
      </c>
      <c r="C273" s="1" t="str">
        <f>IF(LEN(SUBSTITUTE(SUBSTITUTE(SUBSTITUTE(DadosBrutos[[#This Row],[cpf]],".",""),"-","")," ",""))=11,DadosBrutos[[#This Row],[cpf]],"-")</f>
        <v>-</v>
      </c>
      <c r="D27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20</v>
      </c>
      <c r="E273" s="45">
        <f>IF(DadosBrutos[[#This Row],[data_nascimento]]="","-",DadosBrutos[[#This Row],[data_nascimento]])</f>
        <v>38678</v>
      </c>
      <c r="F273" s="1" t="str">
        <f>IF(ISNUMBER(SEARCH("|",DadosBrutos[[#This Row],[cidade]])),TRIM(LEFT(DadosBrutos[[#This Row],[cidade]],SEARCH("|",DadosBrutos[[#This Row],[cidade]])-1)),TRIM(DadosBrutos[[#This Row],[cidade]]))</f>
        <v>Braavos</v>
      </c>
      <c r="G27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273" s="37">
        <f>IF(DadosBrutos[[#This Row],[renda_mensal]]="","-",IF(ISNUMBER(DadosBrutos[[#This Row],[renda_mensal]]),DadosBrutos[[#This Row],[renda_mensal]],IFERROR(VALUE(SUBSTITUTE(DadosBrutos[[#This Row],[renda_mensal]]," moedas","")),"-")))</f>
        <v>9300</v>
      </c>
      <c r="I273" s="37">
        <f>IF(DadosBrutos[[#This Row],[credito_tomado]]="","-",IF(ISNUMBER(DadosBrutos[[#This Row],[credito_tomado]]),DadosBrutos[[#This Row],[credito_tomado]],IFERROR(VALUE(SUBSTITUTE(DadosBrutos[[#This Row],[credito_tomado]]," moedas","")),"-")))</f>
        <v>35000</v>
      </c>
      <c r="J27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73" s="1">
        <f>IF(DadosBrutos[[#This Row],[qtde_batalhas]]="","-",IF(ISNUMBER(DadosBrutos[[#This Row],[qtde_batalhas]]),DadosBrutos[[#This Row],[qtde_batalhas]],IFERROR(VALUE(SUBSTITUTE(DadosBrutos[[#This Row],[qtde_batalhas]]," batalhas","")),"-")))</f>
        <v>5</v>
      </c>
      <c r="L273" s="1" t="str">
        <f>IF(DadosL[[#This Row],[qtde_batalhas]]="-","-",IF(DadosL[[#This Row],[qtde_batalhas]]&lt;=10,"Baixo",IF(DadosL[[#This Row],[qtde_batalhas]]&lt;=25,"Médio","Alto")))</f>
        <v>Baixo</v>
      </c>
      <c r="M27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10500</v>
      </c>
      <c r="N273" s="1" t="str">
        <f>IF(AND(DadosL[[#This Row],[nivel_risco]]="Alto",DadosL[[#This Row],[flag_inadimplente]]="Sim"),"Negado","Aprovado")</f>
        <v>Aprovado</v>
      </c>
      <c r="O273" s="1" t="str">
        <f>IF(AND(ISNUMBER(DadosL[[#This Row],[credito_tomado]]),DadosL[[#This Row],[credito_tomado]]&gt;50000,DadosL[[#This Row],[flag_inadimplente]]="Sim"),"Negado","Aprovado")</f>
        <v>Aprovado</v>
      </c>
      <c r="P273" s="46">
        <f>IF(OR(DadosL[[#This Row],[Analise_Risco]]="Negado",DadosL[[#This Row],[Analise_Credito]]="Negado"),0,IF(DadosL[[#This Row],[status]]="Ativo",DadosL[[#This Row],[valor_solicitado]]*1.08,0))</f>
        <v>11340</v>
      </c>
    </row>
    <row r="274" spans="1:16">
      <c r="A27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74" s="1" t="str">
        <f>PROPER(TRIM(DadosBrutos[[#This Row],[nome]]))</f>
        <v>Renly Blackwood</v>
      </c>
      <c r="C274" s="1" t="str">
        <f>IF(LEN(SUBSTITUTE(SUBSTITUTE(SUBSTITUTE(DadosBrutos[[#This Row],[cpf]],".",""),"-","")," ",""))=11,DadosBrutos[[#This Row],[cpf]],"-")</f>
        <v>000.000.106-00</v>
      </c>
      <c r="D27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20</v>
      </c>
      <c r="E274" s="45">
        <f>IF(DadosBrutos[[#This Row],[data_nascimento]]="","-",DadosBrutos[[#This Row],[data_nascimento]])</f>
        <v>38704</v>
      </c>
      <c r="F274" s="1" t="str">
        <f>IF(ISNUMBER(SEARCH("|",DadosBrutos[[#This Row],[cidade]])),TRIM(LEFT(DadosBrutos[[#This Row],[cidade]],SEARCH("|",DadosBrutos[[#This Row],[cidade]])-1)),TRIM(DadosBrutos[[#This Row],[cidade]]))</f>
        <v>Solar do Entardecer</v>
      </c>
      <c r="G27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274" s="37">
        <f>IF(DadosBrutos[[#This Row],[renda_mensal]]="","-",IF(ISNUMBER(DadosBrutos[[#This Row],[renda_mensal]]),DadosBrutos[[#This Row],[renda_mensal]],IFERROR(VALUE(SUBSTITUTE(DadosBrutos[[#This Row],[renda_mensal]]," moedas","")),"-")))</f>
        <v>12900</v>
      </c>
      <c r="I274" s="37">
        <f>IF(DadosBrutos[[#This Row],[credito_tomado]]="","-",IF(ISNUMBER(DadosBrutos[[#This Row],[credito_tomado]]),DadosBrutos[[#This Row],[credito_tomado]],IFERROR(VALUE(SUBSTITUTE(DadosBrutos[[#This Row],[credito_tomado]]," moedas","")),"-")))</f>
        <v>26500</v>
      </c>
      <c r="J27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74" s="1">
        <f>IF(DadosBrutos[[#This Row],[qtde_batalhas]]="","-",IF(ISNUMBER(DadosBrutos[[#This Row],[qtde_batalhas]]),DadosBrutos[[#This Row],[qtde_batalhas]],IFERROR(VALUE(SUBSTITUTE(DadosBrutos[[#This Row],[qtde_batalhas]]," batalhas","")),"-")))</f>
        <v>13</v>
      </c>
      <c r="L274" s="1" t="str">
        <f>IF(DadosL[[#This Row],[qtde_batalhas]]="-","-",IF(DadosL[[#This Row],[qtde_batalhas]]&lt;=10,"Baixo",IF(DadosL[[#This Row],[qtde_batalhas]]&lt;=25,"Médio","Alto")))</f>
        <v>Médio</v>
      </c>
      <c r="M27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2000</v>
      </c>
      <c r="N274" s="1" t="str">
        <f>IF(AND(DadosL[[#This Row],[nivel_risco]]="Alto",DadosL[[#This Row],[flag_inadimplente]]="Sim"),"Negado","Aprovado")</f>
        <v>Aprovado</v>
      </c>
      <c r="O274" s="1" t="str">
        <f>IF(AND(ISNUMBER(DadosL[[#This Row],[credito_tomado]]),DadosL[[#This Row],[credito_tomado]]&gt;50000,DadosL[[#This Row],[flag_inadimplente]]="Sim"),"Negado","Aprovado")</f>
        <v>Aprovado</v>
      </c>
      <c r="P274" s="46">
        <f>IF(OR(DadosL[[#This Row],[Analise_Risco]]="Negado",DadosL[[#This Row],[Analise_Credito]]="Negado"),0,IF(DadosL[[#This Row],[status]]="Ativo",DadosL[[#This Row],[valor_solicitado]]*1.08,0))</f>
        <v>0</v>
      </c>
    </row>
    <row r="275" spans="1:16">
      <c r="A27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75" s="1" t="str">
        <f>PROPER(TRIM(DadosBrutos[[#This Row],[nome]]))</f>
        <v>Davos  Baratheon</v>
      </c>
      <c r="C275" s="1" t="str">
        <f>IF(LEN(SUBSTITUTE(SUBSTITUTE(SUBSTITUTE(DadosBrutos[[#This Row],[cpf]],".",""),"-","")," ",""))=11,DadosBrutos[[#This Row],[cpf]],"-")</f>
        <v>000.000.055-00</v>
      </c>
      <c r="D27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27</v>
      </c>
      <c r="E275" s="45">
        <f>IF(DadosBrutos[[#This Row],[data_nascimento]]="","-",DadosBrutos[[#This Row],[data_nascimento]])</f>
        <v>36337</v>
      </c>
      <c r="F275" s="1" t="str">
        <f>IF(ISNUMBER(SEARCH("|",DadosBrutos[[#This Row],[cidade]])),TRIM(LEFT(DadosBrutos[[#This Row],[cidade]],SEARCH("|",DadosBrutos[[#This Row],[cidade]])-1)),TRIM(DadosBrutos[[#This Row],[cidade]]))</f>
        <v>Winterfell</v>
      </c>
      <c r="G27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75" s="37">
        <f>IF(DadosBrutos[[#This Row],[renda_mensal]]="","-",IF(ISNUMBER(DadosBrutos[[#This Row],[renda_mensal]]),DadosBrutos[[#This Row],[renda_mensal]],IFERROR(VALUE(SUBSTITUTE(DadosBrutos[[#This Row],[renda_mensal]]," moedas","")),"-")))</f>
        <v>22500</v>
      </c>
      <c r="I275" s="37">
        <f>IF(DadosBrutos[[#This Row],[credito_tomado]]="","-",IF(ISNUMBER(DadosBrutos[[#This Row],[credito_tomado]]),DadosBrutos[[#This Row],[credito_tomado]],IFERROR(VALUE(SUBSTITUTE(DadosBrutos[[#This Row],[credito_tomado]]," moedas","")),"-")))</f>
        <v>55500</v>
      </c>
      <c r="J27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75" s="1">
        <f>IF(DadosBrutos[[#This Row],[qtde_batalhas]]="","-",IF(ISNUMBER(DadosBrutos[[#This Row],[qtde_batalhas]]),DadosBrutos[[#This Row],[qtde_batalhas]],IFERROR(VALUE(SUBSTITUTE(DadosBrutos[[#This Row],[qtde_batalhas]]," batalhas","")),"-")))</f>
        <v>32</v>
      </c>
      <c r="L275" s="1" t="str">
        <f>IF(DadosL[[#This Row],[qtde_batalhas]]="-","-",IF(DadosL[[#This Row],[qtde_batalhas]]&lt;=10,"Baixo",IF(DadosL[[#This Row],[qtde_batalhas]]&lt;=25,"Médio","Alto")))</f>
        <v>Alto</v>
      </c>
      <c r="M27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91500</v>
      </c>
      <c r="N275" s="1" t="str">
        <f>IF(AND(DadosL[[#This Row],[nivel_risco]]="Alto",DadosL[[#This Row],[flag_inadimplente]]="Sim"),"Negado","Aprovado")</f>
        <v>Aprovado</v>
      </c>
      <c r="O275" s="1" t="str">
        <f>IF(AND(ISNUMBER(DadosL[[#This Row],[credito_tomado]]),DadosL[[#This Row],[credito_tomado]]&gt;50000,DadosL[[#This Row],[flag_inadimplente]]="Sim"),"Negado","Aprovado")</f>
        <v>Aprovado</v>
      </c>
      <c r="P275" s="46">
        <f>IF(OR(DadosL[[#This Row],[Analise_Risco]]="Negado",DadosL[[#This Row],[Analise_Credito]]="Negado"),0,IF(DadosL[[#This Row],[status]]="Ativo",DadosL[[#This Row],[valor_solicitado]]*1.08,0))</f>
        <v>98820</v>
      </c>
    </row>
    <row r="276" spans="1:16">
      <c r="A27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76" s="1" t="str">
        <f>PROPER(TRIM(DadosBrutos[[#This Row],[nome]]))</f>
        <v>Bronn Crakehall</v>
      </c>
      <c r="C276" s="1" t="str">
        <f>IF(LEN(SUBSTITUTE(SUBSTITUTE(SUBSTITUTE(DadosBrutos[[#This Row],[cpf]],".",""),"-","")," ",""))=11,DadosBrutos[[#This Row],[cpf]],"-")</f>
        <v>-</v>
      </c>
      <c r="D27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68</v>
      </c>
      <c r="E276" s="45">
        <f>IF(DadosBrutos[[#This Row],[data_nascimento]]="","-",DadosBrutos[[#This Row],[data_nascimento]])</f>
        <v>21079</v>
      </c>
      <c r="F276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27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276" s="37">
        <f>IF(DadosBrutos[[#This Row],[renda_mensal]]="","-",IF(ISNUMBER(DadosBrutos[[#This Row],[renda_mensal]]),DadosBrutos[[#This Row],[renda_mensal]],IFERROR(VALUE(SUBSTITUTE(DadosBrutos[[#This Row],[renda_mensal]]," moedas","")),"-")))</f>
        <v>3600</v>
      </c>
      <c r="I276" s="37">
        <f>IF(DadosBrutos[[#This Row],[credito_tomado]]="","-",IF(ISNUMBER(DadosBrutos[[#This Row],[credito_tomado]]),DadosBrutos[[#This Row],[credito_tomado]],IFERROR(VALUE(SUBSTITUTE(DadosBrutos[[#This Row],[credito_tomado]]," moedas","")),"-")))</f>
        <v>64500</v>
      </c>
      <c r="J27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76" s="1">
        <f>IF(DadosBrutos[[#This Row],[qtde_batalhas]]="","-",IF(ISNUMBER(DadosBrutos[[#This Row],[qtde_batalhas]]),DadosBrutos[[#This Row],[qtde_batalhas]],IFERROR(VALUE(SUBSTITUTE(DadosBrutos[[#This Row],[qtde_batalhas]]," batalhas","")),"-")))</f>
        <v>32</v>
      </c>
      <c r="L276" s="1" t="str">
        <f>IF(DadosL[[#This Row],[qtde_batalhas]]="-","-",IF(DadosL[[#This Row],[qtde_batalhas]]&lt;=10,"Baixo",IF(DadosL[[#This Row],[qtde_batalhas]]&lt;=25,"Médio","Alto")))</f>
        <v>Alto</v>
      </c>
      <c r="M27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35500</v>
      </c>
      <c r="N276" s="1" t="str">
        <f>IF(AND(DadosL[[#This Row],[nivel_risco]]="Alto",DadosL[[#This Row],[flag_inadimplente]]="Sim"),"Negado","Aprovado")</f>
        <v>Negado</v>
      </c>
      <c r="O276" s="1" t="str">
        <f>IF(AND(ISNUMBER(DadosL[[#This Row],[credito_tomado]]),DadosL[[#This Row],[credito_tomado]]&gt;50000,DadosL[[#This Row],[flag_inadimplente]]="Sim"),"Negado","Aprovado")</f>
        <v>Negado</v>
      </c>
      <c r="P276" s="46">
        <f>IF(OR(DadosL[[#This Row],[Analise_Risco]]="Negado",DadosL[[#This Row],[Analise_Credito]]="Negado"),0,IF(DadosL[[#This Row],[status]]="Ativo",DadosL[[#This Row],[valor_solicitado]]*1.08,0))</f>
        <v>0</v>
      </c>
    </row>
    <row r="277" spans="1:16">
      <c r="A27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77" s="1" t="str">
        <f>PROPER(TRIM(DadosBrutos[[#This Row],[nome]]))</f>
        <v>Jorah Marbrand</v>
      </c>
      <c r="C277" s="1" t="str">
        <f>IF(LEN(SUBSTITUTE(SUBSTITUTE(SUBSTITUTE(DadosBrutos[[#This Row],[cpf]],".",""),"-","")," ",""))=11,DadosBrutos[[#This Row],[cpf]],"-")</f>
        <v>000.000.339-00</v>
      </c>
      <c r="D27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53</v>
      </c>
      <c r="E277" s="45">
        <f>IF(DadosBrutos[[#This Row],[data_nascimento]]="","-",DadosBrutos[[#This Row],[data_nascimento]])</f>
        <v>26558</v>
      </c>
      <c r="F277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27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277" s="37">
        <f>IF(DadosBrutos[[#This Row],[renda_mensal]]="","-",IF(ISNUMBER(DadosBrutos[[#This Row],[renda_mensal]]),DadosBrutos[[#This Row],[renda_mensal]],IFERROR(VALUE(SUBSTITUTE(DadosBrutos[[#This Row],[renda_mensal]]," moedas","")),"-")))</f>
        <v>15500</v>
      </c>
      <c r="I277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27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77" s="1">
        <f>IF(DadosBrutos[[#This Row],[qtde_batalhas]]="","-",IF(ISNUMBER(DadosBrutos[[#This Row],[qtde_batalhas]]),DadosBrutos[[#This Row],[qtde_batalhas]],IFERROR(VALUE(SUBSTITUTE(DadosBrutos[[#This Row],[qtde_batalhas]]," batalhas","")),"-")))</f>
        <v>16</v>
      </c>
      <c r="L277" s="1" t="str">
        <f>IF(DadosL[[#This Row],[qtde_batalhas]]="-","-",IF(DadosL[[#This Row],[qtde_batalhas]]&lt;=10,"Baixo",IF(DadosL[[#This Row],[qtde_batalhas]]&lt;=25,"Médio","Alto")))</f>
        <v>Médio</v>
      </c>
      <c r="M27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41000</v>
      </c>
      <c r="N277" s="1" t="str">
        <f>IF(AND(DadosL[[#This Row],[nivel_risco]]="Alto",DadosL[[#This Row],[flag_inadimplente]]="Sim"),"Negado","Aprovado")</f>
        <v>Aprovado</v>
      </c>
      <c r="O277" s="1" t="str">
        <f>IF(AND(ISNUMBER(DadosL[[#This Row],[credito_tomado]]),DadosL[[#This Row],[credito_tomado]]&gt;50000,DadosL[[#This Row],[flag_inadimplente]]="Sim"),"Negado","Aprovado")</f>
        <v>Aprovado</v>
      </c>
      <c r="P277" s="46">
        <f>IF(OR(DadosL[[#This Row],[Analise_Risco]]="Negado",DadosL[[#This Row],[Analise_Credito]]="Negado"),0,IF(DadosL[[#This Row],[status]]="Ativo",DadosL[[#This Row],[valor_solicitado]]*1.08,0))</f>
        <v>44280</v>
      </c>
    </row>
    <row r="278" spans="1:16">
      <c r="A27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78" s="1" t="str">
        <f>PROPER(TRIM(DadosBrutos[[#This Row],[nome]]))</f>
        <v>Cersei Umber</v>
      </c>
      <c r="C278" s="1" t="str">
        <f>IF(LEN(SUBSTITUTE(SUBSTITUTE(SUBSTITUTE(DadosBrutos[[#This Row],[cpf]],".",""),"-","")," ",""))=11,DadosBrutos[[#This Row],[cpf]],"-")</f>
        <v>000.000.058-00</v>
      </c>
      <c r="D27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62</v>
      </c>
      <c r="E278" s="45" t="str">
        <f>IF(DadosBrutos[[#This Row],[data_nascimento]]="","-",DadosBrutos[[#This Row],[data_nascimento]])</f>
        <v>-</v>
      </c>
      <c r="F278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27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278" s="37">
        <f>IF(DadosBrutos[[#This Row],[renda_mensal]]="","-",IF(ISNUMBER(DadosBrutos[[#This Row],[renda_mensal]]),DadosBrutos[[#This Row],[renda_mensal]],IFERROR(VALUE(SUBSTITUTE(DadosBrutos[[#This Row],[renda_mensal]]," moedas","")),"-")))</f>
        <v>1900</v>
      </c>
      <c r="I278" s="37">
        <f>IF(DadosBrutos[[#This Row],[credito_tomado]]="","-",IF(ISNUMBER(DadosBrutos[[#This Row],[credito_tomado]]),DadosBrutos[[#This Row],[credito_tomado]],IFERROR(VALUE(SUBSTITUTE(DadosBrutos[[#This Row],[credito_tomado]]," moedas","")),"-")))</f>
        <v>3500</v>
      </c>
      <c r="J27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78" s="1">
        <f>IF(DadosBrutos[[#This Row],[qtde_batalhas]]="","-",IF(ISNUMBER(DadosBrutos[[#This Row],[qtde_batalhas]]),DadosBrutos[[#This Row],[qtde_batalhas]],IFERROR(VALUE(SUBSTITUTE(DadosBrutos[[#This Row],[qtde_batalhas]]," batalhas","")),"-")))</f>
        <v>19</v>
      </c>
      <c r="L278" s="1" t="str">
        <f>IF(DadosL[[#This Row],[qtde_batalhas]]="-","-",IF(DadosL[[#This Row],[qtde_batalhas]]&lt;=10,"Baixo",IF(DadosL[[#This Row],[qtde_batalhas]]&lt;=25,"Médio","Alto")))</f>
        <v>Médio</v>
      </c>
      <c r="M27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62000</v>
      </c>
      <c r="N278" s="1" t="str">
        <f>IF(AND(DadosL[[#This Row],[nivel_risco]]="Alto",DadosL[[#This Row],[flag_inadimplente]]="Sim"),"Negado","Aprovado")</f>
        <v>Aprovado</v>
      </c>
      <c r="O278" s="1" t="str">
        <f>IF(AND(ISNUMBER(DadosL[[#This Row],[credito_tomado]]),DadosL[[#This Row],[credito_tomado]]&gt;50000,DadosL[[#This Row],[flag_inadimplente]]="Sim"),"Negado","Aprovado")</f>
        <v>Aprovado</v>
      </c>
      <c r="P278" s="46">
        <f>IF(OR(DadosL[[#This Row],[Analise_Risco]]="Negado",DadosL[[#This Row],[Analise_Credito]]="Negado"),0,IF(DadosL[[#This Row],[status]]="Ativo",DadosL[[#This Row],[valor_solicitado]]*1.08,0))</f>
        <v>66960</v>
      </c>
    </row>
    <row r="279" spans="1:16">
      <c r="A27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79" s="1" t="str">
        <f>PROPER(TRIM(DadosBrutos[[#This Row],[nome]]))</f>
        <v>Petyr Yronwood</v>
      </c>
      <c r="C279" s="1" t="str">
        <f>IF(LEN(SUBSTITUTE(SUBSTITUTE(SUBSTITUTE(DadosBrutos[[#This Row],[cpf]],".",""),"-","")," ",""))=11,DadosBrutos[[#This Row],[cpf]],"-")</f>
        <v>000.000.095-00</v>
      </c>
      <c r="D27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61</v>
      </c>
      <c r="E279" s="45">
        <f>IF(DadosBrutos[[#This Row],[data_nascimento]]="","-",DadosBrutos[[#This Row],[data_nascimento]])</f>
        <v>23964</v>
      </c>
      <c r="F279" s="1" t="str">
        <f>IF(ISNUMBER(SEARCH("|",DadosBrutos[[#This Row],[cidade]])),TRIM(LEFT(DadosBrutos[[#This Row],[cidade]],SEARCH("|",DadosBrutos[[#This Row],[cidade]])-1)),TRIM(DadosBrutos[[#This Row],[cidade]]))</f>
        <v>Ilha dos Ursos</v>
      </c>
      <c r="G27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79" s="37">
        <f>IF(DadosBrutos[[#This Row],[renda_mensal]]="","-",IF(ISNUMBER(DadosBrutos[[#This Row],[renda_mensal]]),DadosBrutos[[#This Row],[renda_mensal]],IFERROR(VALUE(SUBSTITUTE(DadosBrutos[[#This Row],[renda_mensal]]," moedas","")),"-")))</f>
        <v>7000</v>
      </c>
      <c r="I279" s="37">
        <f>IF(DadosBrutos[[#This Row],[credito_tomado]]="","-",IF(ISNUMBER(DadosBrutos[[#This Row],[credito_tomado]]),DadosBrutos[[#This Row],[credito_tomado]],IFERROR(VALUE(SUBSTITUTE(DadosBrutos[[#This Row],[credito_tomado]]," moedas","")),"-")))</f>
        <v>1500</v>
      </c>
      <c r="J27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79" s="1">
        <f>IF(DadosBrutos[[#This Row],[qtde_batalhas]]="","-",IF(ISNUMBER(DadosBrutos[[#This Row],[qtde_batalhas]]),DadosBrutos[[#This Row],[qtde_batalhas]],IFERROR(VALUE(SUBSTITUTE(DadosBrutos[[#This Row],[qtde_batalhas]]," batalhas","")),"-")))</f>
        <v>32</v>
      </c>
      <c r="L279" s="1" t="str">
        <f>IF(DadosL[[#This Row],[qtde_batalhas]]="-","-",IF(DadosL[[#This Row],[qtde_batalhas]]&lt;=10,"Baixo",IF(DadosL[[#This Row],[qtde_batalhas]]&lt;=25,"Médio","Alto")))</f>
        <v>Alto</v>
      </c>
      <c r="M27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53000</v>
      </c>
      <c r="N279" s="1" t="str">
        <f>IF(AND(DadosL[[#This Row],[nivel_risco]]="Alto",DadosL[[#This Row],[flag_inadimplente]]="Sim"),"Negado","Aprovado")</f>
        <v>Negado</v>
      </c>
      <c r="O279" s="1" t="str">
        <f>IF(AND(ISNUMBER(DadosL[[#This Row],[credito_tomado]]),DadosL[[#This Row],[credito_tomado]]&gt;50000,DadosL[[#This Row],[flag_inadimplente]]="Sim"),"Negado","Aprovado")</f>
        <v>Aprovado</v>
      </c>
      <c r="P279" s="46">
        <f>IF(OR(DadosL[[#This Row],[Analise_Risco]]="Negado",DadosL[[#This Row],[Analise_Credito]]="Negado"),0,IF(DadosL[[#This Row],[status]]="Ativo",DadosL[[#This Row],[valor_solicitado]]*1.08,0))</f>
        <v>0</v>
      </c>
    </row>
    <row r="280" spans="1:16">
      <c r="A28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80" s="1" t="str">
        <f>PROPER(TRIM(DadosBrutos[[#This Row],[nome]]))</f>
        <v>Robert Westerling</v>
      </c>
      <c r="C280" s="1" t="str">
        <f>IF(LEN(SUBSTITUTE(SUBSTITUTE(SUBSTITUTE(DadosBrutos[[#This Row],[cpf]],".",""),"-","")," ",""))=11,DadosBrutos[[#This Row],[cpf]],"-")</f>
        <v>000.000.105-00</v>
      </c>
      <c r="D28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25</v>
      </c>
      <c r="E280" s="45">
        <f>IF(DadosBrutos[[#This Row],[data_nascimento]]="","-",DadosBrutos[[#This Row],[data_nascimento]])</f>
        <v>37118</v>
      </c>
      <c r="F280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28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280" s="37">
        <f>IF(DadosBrutos[[#This Row],[renda_mensal]]="","-",IF(ISNUMBER(DadosBrutos[[#This Row],[renda_mensal]]),DadosBrutos[[#This Row],[renda_mensal]],IFERROR(VALUE(SUBSTITUTE(DadosBrutos[[#This Row],[renda_mensal]]," moedas","")),"-")))</f>
        <v>27300</v>
      </c>
      <c r="I280" s="37">
        <f>IF(DadosBrutos[[#This Row],[credito_tomado]]="","-",IF(ISNUMBER(DadosBrutos[[#This Row],[credito_tomado]]),DadosBrutos[[#This Row],[credito_tomado]],IFERROR(VALUE(SUBSTITUTE(DadosBrutos[[#This Row],[credito_tomado]]," moedas","")),"-")))</f>
        <v>1500</v>
      </c>
      <c r="J28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80" s="1">
        <f>IF(DadosBrutos[[#This Row],[qtde_batalhas]]="","-",IF(ISNUMBER(DadosBrutos[[#This Row],[qtde_batalhas]]),DadosBrutos[[#This Row],[qtde_batalhas]],IFERROR(VALUE(SUBSTITUTE(DadosBrutos[[#This Row],[qtde_batalhas]]," batalhas","")),"-")))</f>
        <v>33</v>
      </c>
      <c r="L280" s="1" t="str">
        <f>IF(DadosL[[#This Row],[qtde_batalhas]]="-","-",IF(DadosL[[#This Row],[qtde_batalhas]]&lt;=10,"Baixo",IF(DadosL[[#This Row],[qtde_batalhas]]&lt;=25,"Médio","Alto")))</f>
        <v>Alto</v>
      </c>
      <c r="M28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14000</v>
      </c>
      <c r="N280" s="1" t="str">
        <f>IF(AND(DadosL[[#This Row],[nivel_risco]]="Alto",DadosL[[#This Row],[flag_inadimplente]]="Sim"),"Negado","Aprovado")</f>
        <v>Negado</v>
      </c>
      <c r="O280" s="1" t="str">
        <f>IF(AND(ISNUMBER(DadosL[[#This Row],[credito_tomado]]),DadosL[[#This Row],[credito_tomado]]&gt;50000,DadosL[[#This Row],[flag_inadimplente]]="Sim"),"Negado","Aprovado")</f>
        <v>Aprovado</v>
      </c>
      <c r="P280" s="46">
        <f>IF(OR(DadosL[[#This Row],[Analise_Risco]]="Negado",DadosL[[#This Row],[Analise_Credito]]="Negado"),0,IF(DadosL[[#This Row],[status]]="Ativo",DadosL[[#This Row],[valor_solicitado]]*1.08,0))</f>
        <v>0</v>
      </c>
    </row>
    <row r="281" spans="1:16">
      <c r="A28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81" s="1" t="str">
        <f>PROPER(TRIM(DadosBrutos[[#This Row],[nome]]))</f>
        <v>Jon Tarth</v>
      </c>
      <c r="C281" s="1" t="str">
        <f>IF(LEN(SUBSTITUTE(SUBSTITUTE(SUBSTITUTE(DadosBrutos[[#This Row],[cpf]],".",""),"-","")," ",""))=11,DadosBrutos[[#This Row],[cpf]],"-")</f>
        <v>000.000.208-00</v>
      </c>
      <c r="D28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52</v>
      </c>
      <c r="E281" s="45">
        <f>IF(DadosBrutos[[#This Row],[data_nascimento]]="","-",DadosBrutos[[#This Row],[data_nascimento]])</f>
        <v>27088</v>
      </c>
      <c r="F281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28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281" s="37">
        <f>IF(DadosBrutos[[#This Row],[renda_mensal]]="","-",IF(ISNUMBER(DadosBrutos[[#This Row],[renda_mensal]]),DadosBrutos[[#This Row],[renda_mensal]],IFERROR(VALUE(SUBSTITUTE(DadosBrutos[[#This Row],[renda_mensal]]," moedas","")),"-")))</f>
        <v>24900</v>
      </c>
      <c r="I281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28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81" s="1">
        <f>IF(DadosBrutos[[#This Row],[qtde_batalhas]]="","-",IF(ISNUMBER(DadosBrutos[[#This Row],[qtde_batalhas]]),DadosBrutos[[#This Row],[qtde_batalhas]],IFERROR(VALUE(SUBSTITUTE(DadosBrutos[[#This Row],[qtde_batalhas]]," batalhas","")),"-")))</f>
        <v>24</v>
      </c>
      <c r="L281" s="1" t="str">
        <f>IF(DadosL[[#This Row],[qtde_batalhas]]="-","-",IF(DadosL[[#This Row],[qtde_batalhas]]&lt;=10,"Baixo",IF(DadosL[[#This Row],[qtde_batalhas]]&lt;=25,"Médio","Alto")))</f>
        <v>Médio</v>
      </c>
      <c r="M28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16000</v>
      </c>
      <c r="N281" s="1" t="str">
        <f>IF(AND(DadosL[[#This Row],[nivel_risco]]="Alto",DadosL[[#This Row],[flag_inadimplente]]="Sim"),"Negado","Aprovado")</f>
        <v>Aprovado</v>
      </c>
      <c r="O281" s="1" t="str">
        <f>IF(AND(ISNUMBER(DadosL[[#This Row],[credito_tomado]]),DadosL[[#This Row],[credito_tomado]]&gt;50000,DadosL[[#This Row],[flag_inadimplente]]="Sim"),"Negado","Aprovado")</f>
        <v>Aprovado</v>
      </c>
      <c r="P281" s="46">
        <f>IF(OR(DadosL[[#This Row],[Analise_Risco]]="Negado",DadosL[[#This Row],[Analise_Credito]]="Negado"),0,IF(DadosL[[#This Row],[status]]="Ativo",DadosL[[#This Row],[valor_solicitado]]*1.08,0))</f>
        <v>17280</v>
      </c>
    </row>
    <row r="282" spans="1:16">
      <c r="A28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82" s="1" t="str">
        <f>PROPER(TRIM(DadosBrutos[[#This Row],[nome]]))</f>
        <v>Jaime Seaworth</v>
      </c>
      <c r="C282" s="1" t="str">
        <f>IF(LEN(SUBSTITUTE(SUBSTITUTE(SUBSTITUTE(DadosBrutos[[#This Row],[cpf]],".",""),"-","")," ",""))=11,DadosBrutos[[#This Row],[cpf]],"-")</f>
        <v>000.000.263-00</v>
      </c>
      <c r="D28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33</v>
      </c>
      <c r="E282" s="45">
        <f>IF(DadosBrutos[[#This Row],[data_nascimento]]="","-",DadosBrutos[[#This Row],[data_nascimento]])</f>
        <v>33989</v>
      </c>
      <c r="F282" s="1" t="str">
        <f>IF(ISNUMBER(SEARCH("|",DadosBrutos[[#This Row],[cidade]])),TRIM(LEFT(DadosBrutos[[#This Row],[cidade]],SEARCH("|",DadosBrutos[[#This Row],[cidade]])-1)),TRIM(DadosBrutos[[#This Row],[cidade]]))</f>
        <v>Porto Real</v>
      </c>
      <c r="G28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282" s="37">
        <f>IF(DadosBrutos[[#This Row],[renda_mensal]]="","-",IF(ISNUMBER(DadosBrutos[[#This Row],[renda_mensal]]),DadosBrutos[[#This Row],[renda_mensal]],IFERROR(VALUE(SUBSTITUTE(DadosBrutos[[#This Row],[renda_mensal]]," moedas","")),"-")))</f>
        <v>23400</v>
      </c>
      <c r="I282" s="37">
        <f>IF(DadosBrutos[[#This Row],[credito_tomado]]="","-",IF(ISNUMBER(DadosBrutos[[#This Row],[credito_tomado]]),DadosBrutos[[#This Row],[credito_tomado]],IFERROR(VALUE(SUBSTITUTE(DadosBrutos[[#This Row],[credito_tomado]]," moedas","")),"-")))</f>
        <v>59000</v>
      </c>
      <c r="J28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82" s="1">
        <f>IF(DadosBrutos[[#This Row],[qtde_batalhas]]="","-",IF(ISNUMBER(DadosBrutos[[#This Row],[qtde_batalhas]]),DadosBrutos[[#This Row],[qtde_batalhas]],IFERROR(VALUE(SUBSTITUTE(DadosBrutos[[#This Row],[qtde_batalhas]]," batalhas","")),"-")))</f>
        <v>35</v>
      </c>
      <c r="L282" s="1" t="str">
        <f>IF(DadosL[[#This Row],[qtde_batalhas]]="-","-",IF(DadosL[[#This Row],[qtde_batalhas]]&lt;=10,"Baixo",IF(DadosL[[#This Row],[qtde_batalhas]]&lt;=25,"Médio","Alto")))</f>
        <v>Alto</v>
      </c>
      <c r="M28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39000</v>
      </c>
      <c r="N282" s="1" t="str">
        <f>IF(AND(DadosL[[#This Row],[nivel_risco]]="Alto",DadosL[[#This Row],[flag_inadimplente]]="Sim"),"Negado","Aprovado")</f>
        <v>Negado</v>
      </c>
      <c r="O282" s="1" t="str">
        <f>IF(AND(ISNUMBER(DadosL[[#This Row],[credito_tomado]]),DadosL[[#This Row],[credito_tomado]]&gt;50000,DadosL[[#This Row],[flag_inadimplente]]="Sim"),"Negado","Aprovado")</f>
        <v>Negado</v>
      </c>
      <c r="P282" s="46">
        <f>IF(OR(DadosL[[#This Row],[Analise_Risco]]="Negado",DadosL[[#This Row],[Analise_Credito]]="Negado"),0,IF(DadosL[[#This Row],[status]]="Ativo",DadosL[[#This Row],[valor_solicitado]]*1.08,0))</f>
        <v>0</v>
      </c>
    </row>
    <row r="283" spans="1:16">
      <c r="A28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83" s="1" t="str">
        <f>PROPER(TRIM(DadosBrutos[[#This Row],[nome]]))</f>
        <v>Jorah  Tyrell</v>
      </c>
      <c r="C283" s="1" t="str">
        <f>IF(LEN(SUBSTITUTE(SUBSTITUTE(SUBSTITUTE(DadosBrutos[[#This Row],[cpf]],".",""),"-","")," ",""))=11,DadosBrutos[[#This Row],[cpf]],"-")</f>
        <v>000.000.229-00</v>
      </c>
      <c r="D28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48</v>
      </c>
      <c r="E283" s="45">
        <f>IF(DadosBrutos[[#This Row],[data_nascimento]]="","-",DadosBrutos[[#This Row],[data_nascimento]])</f>
        <v>28737</v>
      </c>
      <c r="F283" s="1" t="str">
        <f>IF(ISNUMBER(SEARCH("|",DadosBrutos[[#This Row],[cidade]])),TRIM(LEFT(DadosBrutos[[#This Row],[cidade]],SEARCH("|",DadosBrutos[[#This Row],[cidade]])-1)),TRIM(DadosBrutos[[#This Row],[cidade]]))</f>
        <v>Porto Real</v>
      </c>
      <c r="G28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283" s="37">
        <f>IF(DadosBrutos[[#This Row],[renda_mensal]]="","-",IF(ISNUMBER(DadosBrutos[[#This Row],[renda_mensal]]),DadosBrutos[[#This Row],[renda_mensal]],IFERROR(VALUE(SUBSTITUTE(DadosBrutos[[#This Row],[renda_mensal]]," moedas","")),"-")))</f>
        <v>12400</v>
      </c>
      <c r="I283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28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83" s="1">
        <f>IF(DadosBrutos[[#This Row],[qtde_batalhas]]="","-",IF(ISNUMBER(DadosBrutos[[#This Row],[qtde_batalhas]]),DadosBrutos[[#This Row],[qtde_batalhas]],IFERROR(VALUE(SUBSTITUTE(DadosBrutos[[#This Row],[qtde_batalhas]]," batalhas","")),"-")))</f>
        <v>25</v>
      </c>
      <c r="L283" s="1" t="str">
        <f>IF(DadosL[[#This Row],[qtde_batalhas]]="-","-",IF(DadosL[[#This Row],[qtde_batalhas]]&lt;=10,"Baixo",IF(DadosL[[#This Row],[qtde_batalhas]]&lt;=25,"Médio","Alto")))</f>
        <v>Médio</v>
      </c>
      <c r="M28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65500</v>
      </c>
      <c r="N283" s="1" t="str">
        <f>IF(AND(DadosL[[#This Row],[nivel_risco]]="Alto",DadosL[[#This Row],[flag_inadimplente]]="Sim"),"Negado","Aprovado")</f>
        <v>Aprovado</v>
      </c>
      <c r="O283" s="1" t="str">
        <f>IF(AND(ISNUMBER(DadosL[[#This Row],[credito_tomado]]),DadosL[[#This Row],[credito_tomado]]&gt;50000,DadosL[[#This Row],[flag_inadimplente]]="Sim"),"Negado","Aprovado")</f>
        <v>Aprovado</v>
      </c>
      <c r="P283" s="46">
        <f>IF(OR(DadosL[[#This Row],[Analise_Risco]]="Negado",DadosL[[#This Row],[Analise_Credito]]="Negado"),0,IF(DadosL[[#This Row],[status]]="Ativo",DadosL[[#This Row],[valor_solicitado]]*1.08,0))</f>
        <v>0</v>
      </c>
    </row>
    <row r="284" spans="1:16">
      <c r="A28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84" s="1" t="str">
        <f>PROPER(TRIM(DadosBrutos[[#This Row],[nome]]))</f>
        <v>Eddard Stark</v>
      </c>
      <c r="C284" s="1" t="str">
        <f>IF(LEN(SUBSTITUTE(SUBSTITUTE(SUBSTITUTE(DadosBrutos[[#This Row],[cpf]],".",""),"-","")," ",""))=11,DadosBrutos[[#This Row],[cpf]],"-")</f>
        <v>000.000.015-00</v>
      </c>
      <c r="D28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55</v>
      </c>
      <c r="E284" s="45">
        <f>IF(DadosBrutos[[#This Row],[data_nascimento]]="","-",DadosBrutos[[#This Row],[data_nascimento]])</f>
        <v>26142</v>
      </c>
      <c r="F284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28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284" s="37">
        <f>IF(DadosBrutos[[#This Row],[renda_mensal]]="","-",IF(ISNUMBER(DadosBrutos[[#This Row],[renda_mensal]]),DadosBrutos[[#This Row],[renda_mensal]],IFERROR(VALUE(SUBSTITUTE(DadosBrutos[[#This Row],[renda_mensal]]," moedas","")),"-")))</f>
        <v>29700</v>
      </c>
      <c r="I284" s="37">
        <f>IF(DadosBrutos[[#This Row],[credito_tomado]]="","-",IF(ISNUMBER(DadosBrutos[[#This Row],[credito_tomado]]),DadosBrutos[[#This Row],[credito_tomado]],IFERROR(VALUE(SUBSTITUTE(DadosBrutos[[#This Row],[credito_tomado]]," moedas","")),"-")))</f>
        <v>78000</v>
      </c>
      <c r="J28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84" s="1">
        <f>IF(DadosBrutos[[#This Row],[qtde_batalhas]]="","-",IF(ISNUMBER(DadosBrutos[[#This Row],[qtde_batalhas]]),DadosBrutos[[#This Row],[qtde_batalhas]],IFERROR(VALUE(SUBSTITUTE(DadosBrutos[[#This Row],[qtde_batalhas]]," batalhas","")),"-")))</f>
        <v>14</v>
      </c>
      <c r="L284" s="1" t="str">
        <f>IF(DadosL[[#This Row],[qtde_batalhas]]="-","-",IF(DadosL[[#This Row],[qtde_batalhas]]&lt;=10,"Baixo",IF(DadosL[[#This Row],[qtde_batalhas]]&lt;=25,"Médio","Alto")))</f>
        <v>Médio</v>
      </c>
      <c r="M28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27000</v>
      </c>
      <c r="N284" s="1" t="str">
        <f>IF(AND(DadosL[[#This Row],[nivel_risco]]="Alto",DadosL[[#This Row],[flag_inadimplente]]="Sim"),"Negado","Aprovado")</f>
        <v>Aprovado</v>
      </c>
      <c r="O284" s="1" t="str">
        <f>IF(AND(ISNUMBER(DadosL[[#This Row],[credito_tomado]]),DadosL[[#This Row],[credito_tomado]]&gt;50000,DadosL[[#This Row],[flag_inadimplente]]="Sim"),"Negado","Aprovado")</f>
        <v>Negado</v>
      </c>
      <c r="P284" s="46">
        <f>IF(OR(DadosL[[#This Row],[Analise_Risco]]="Negado",DadosL[[#This Row],[Analise_Credito]]="Negado"),0,IF(DadosL[[#This Row],[status]]="Ativo",DadosL[[#This Row],[valor_solicitado]]*1.08,0))</f>
        <v>0</v>
      </c>
    </row>
    <row r="285" spans="1:16">
      <c r="A28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85" s="1" t="str">
        <f>PROPER(TRIM(DadosBrutos[[#This Row],[nome]]))</f>
        <v>Lyanna Tarly</v>
      </c>
      <c r="C285" s="1" t="str">
        <f>IF(LEN(SUBSTITUTE(SUBSTITUTE(SUBSTITUTE(DadosBrutos[[#This Row],[cpf]],".",""),"-","")," ",""))=11,DadosBrutos[[#This Row],[cpf]],"-")</f>
        <v>000.000.232-00</v>
      </c>
      <c r="D28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28</v>
      </c>
      <c r="E285" s="45" t="str">
        <f>IF(DadosBrutos[[#This Row],[data_nascimento]]="","-",DadosBrutos[[#This Row],[data_nascimento]])</f>
        <v>-</v>
      </c>
      <c r="F285" s="1" t="str">
        <f>IF(ISNUMBER(SEARCH("|",DadosBrutos[[#This Row],[cidade]])),TRIM(LEFT(DadosBrutos[[#This Row],[cidade]],SEARCH("|",DadosBrutos[[#This Row],[cidade]])-1)),TRIM(DadosBrutos[[#This Row],[cidade]]))</f>
        <v>Braavos</v>
      </c>
      <c r="G28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285" s="37">
        <f>IF(DadosBrutos[[#This Row],[renda_mensal]]="","-",IF(ISNUMBER(DadosBrutos[[#This Row],[renda_mensal]]),DadosBrutos[[#This Row],[renda_mensal]],IFERROR(VALUE(SUBSTITUTE(DadosBrutos[[#This Row],[renda_mensal]]," moedas","")),"-")))</f>
        <v>14500</v>
      </c>
      <c r="I285" s="37">
        <f>IF(DadosBrutos[[#This Row],[credito_tomado]]="","-",IF(ISNUMBER(DadosBrutos[[#This Row],[credito_tomado]]),DadosBrutos[[#This Row],[credito_tomado]],IFERROR(VALUE(SUBSTITUTE(DadosBrutos[[#This Row],[credito_tomado]]," moedas","")),"-")))</f>
        <v>39500</v>
      </c>
      <c r="J28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85" s="1">
        <f>IF(DadosBrutos[[#This Row],[qtde_batalhas]]="","-",IF(ISNUMBER(DadosBrutos[[#This Row],[qtde_batalhas]]),DadosBrutos[[#This Row],[qtde_batalhas]],IFERROR(VALUE(SUBSTITUTE(DadosBrutos[[#This Row],[qtde_batalhas]]," batalhas","")),"-")))</f>
        <v>18</v>
      </c>
      <c r="L285" s="1" t="str">
        <f>IF(DadosL[[#This Row],[qtde_batalhas]]="-","-",IF(DadosL[[#This Row],[qtde_batalhas]]&lt;=10,"Baixo",IF(DadosL[[#This Row],[qtde_batalhas]]&lt;=25,"Médio","Alto")))</f>
        <v>Médio</v>
      </c>
      <c r="M28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32000</v>
      </c>
      <c r="N285" s="1" t="str">
        <f>IF(AND(DadosL[[#This Row],[nivel_risco]]="Alto",DadosL[[#This Row],[flag_inadimplente]]="Sim"),"Negado","Aprovado")</f>
        <v>Aprovado</v>
      </c>
      <c r="O285" s="1" t="str">
        <f>IF(AND(ISNUMBER(DadosL[[#This Row],[credito_tomado]]),DadosL[[#This Row],[credito_tomado]]&gt;50000,DadosL[[#This Row],[flag_inadimplente]]="Sim"),"Negado","Aprovado")</f>
        <v>Aprovado</v>
      </c>
      <c r="P285" s="46">
        <f>IF(OR(DadosL[[#This Row],[Analise_Risco]]="Negado",DadosL[[#This Row],[Analise_Credito]]="Negado"),0,IF(DadosL[[#This Row],[status]]="Ativo",DadosL[[#This Row],[valor_solicitado]]*1.08,0))</f>
        <v>34560</v>
      </c>
    </row>
    <row r="286" spans="1:16">
      <c r="A28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86" s="1" t="str">
        <f>PROPER(TRIM(DadosBrutos[[#This Row],[nome]]))</f>
        <v>Cersei Tarth</v>
      </c>
      <c r="C286" s="1" t="str">
        <f>IF(LEN(SUBSTITUTE(SUBSTITUTE(SUBSTITUTE(DadosBrutos[[#This Row],[cpf]],".",""),"-","")," ",""))=11,DadosBrutos[[#This Row],[cpf]],"-")</f>
        <v>000.000.147-00</v>
      </c>
      <c r="D28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52</v>
      </c>
      <c r="E286" s="45">
        <f>IF(DadosBrutos[[#This Row],[data_nascimento]]="","-",DadosBrutos[[#This Row],[data_nascimento]])</f>
        <v>26921</v>
      </c>
      <c r="F286" s="1" t="str">
        <f>IF(ISNUMBER(SEARCH("|",DadosBrutos[[#This Row],[cidade]])),TRIM(LEFT(DadosBrutos[[#This Row],[cidade]],SEARCH("|",DadosBrutos[[#This Row],[cidade]])-1)),TRIM(DadosBrutos[[#This Row],[cidade]]))</f>
        <v>Ilha dos Ursos</v>
      </c>
      <c r="G28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86" s="37">
        <f>IF(DadosBrutos[[#This Row],[renda_mensal]]="","-",IF(ISNUMBER(DadosBrutos[[#This Row],[renda_mensal]]),DadosBrutos[[#This Row],[renda_mensal]],IFERROR(VALUE(SUBSTITUTE(DadosBrutos[[#This Row],[renda_mensal]]," moedas","")),"-")))</f>
        <v>7300</v>
      </c>
      <c r="I286" s="37">
        <f>IF(DadosBrutos[[#This Row],[credito_tomado]]="","-",IF(ISNUMBER(DadosBrutos[[#This Row],[credito_tomado]]),DadosBrutos[[#This Row],[credito_tomado]],IFERROR(VALUE(SUBSTITUTE(DadosBrutos[[#This Row],[credito_tomado]]," moedas","")),"-")))</f>
        <v>74000</v>
      </c>
      <c r="J28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86" s="1">
        <f>IF(DadosBrutos[[#This Row],[qtde_batalhas]]="","-",IF(ISNUMBER(DadosBrutos[[#This Row],[qtde_batalhas]]),DadosBrutos[[#This Row],[qtde_batalhas]],IFERROR(VALUE(SUBSTITUTE(DadosBrutos[[#This Row],[qtde_batalhas]]," batalhas","")),"-")))</f>
        <v>40</v>
      </c>
      <c r="L286" s="1" t="str">
        <f>IF(DadosL[[#This Row],[qtde_batalhas]]="-","-",IF(DadosL[[#This Row],[qtde_batalhas]]&lt;=10,"Baixo",IF(DadosL[[#This Row],[qtde_batalhas]]&lt;=25,"Médio","Alto")))</f>
        <v>Alto</v>
      </c>
      <c r="M28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34500</v>
      </c>
      <c r="N286" s="1" t="str">
        <f>IF(AND(DadosL[[#This Row],[nivel_risco]]="Alto",DadosL[[#This Row],[flag_inadimplente]]="Sim"),"Negado","Aprovado")</f>
        <v>Aprovado</v>
      </c>
      <c r="O286" s="1" t="str">
        <f>IF(AND(ISNUMBER(DadosL[[#This Row],[credito_tomado]]),DadosL[[#This Row],[credito_tomado]]&gt;50000,DadosL[[#This Row],[flag_inadimplente]]="Sim"),"Negado","Aprovado")</f>
        <v>Aprovado</v>
      </c>
      <c r="P286" s="46">
        <f>IF(OR(DadosL[[#This Row],[Analise_Risco]]="Negado",DadosL[[#This Row],[Analise_Credito]]="Negado"),0,IF(DadosL[[#This Row],[status]]="Ativo",DadosL[[#This Row],[valor_solicitado]]*1.08,0))</f>
        <v>37260</v>
      </c>
    </row>
    <row r="287" spans="1:16">
      <c r="A28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87" s="1" t="str">
        <f>PROPER(TRIM(DadosBrutos[[#This Row],[nome]]))</f>
        <v>Catelyn Mallister</v>
      </c>
      <c r="C287" s="1" t="str">
        <f>IF(LEN(SUBSTITUTE(SUBSTITUTE(SUBSTITUTE(DadosBrutos[[#This Row],[cpf]],".",""),"-","")," ",""))=11,DadosBrutos[[#This Row],[cpf]],"-")</f>
        <v>000.000.062-00</v>
      </c>
      <c r="D28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63</v>
      </c>
      <c r="E287" s="45">
        <f>IF(DadosBrutos[[#This Row],[data_nascimento]]="","-",DadosBrutos[[#This Row],[data_nascimento]])</f>
        <v>23006</v>
      </c>
      <c r="F287" s="1" t="str">
        <f>IF(ISNUMBER(SEARCH("|",DadosBrutos[[#This Row],[cidade]])),TRIM(LEFT(DadosBrutos[[#This Row],[cidade]],SEARCH("|",DadosBrutos[[#This Row],[cidade]])-1)),TRIM(DadosBrutos[[#This Row],[cidade]]))</f>
        <v>Castelo Negro</v>
      </c>
      <c r="G28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87" s="37">
        <f>IF(DadosBrutos[[#This Row],[renda_mensal]]="","-",IF(ISNUMBER(DadosBrutos[[#This Row],[renda_mensal]]),DadosBrutos[[#This Row],[renda_mensal]],IFERROR(VALUE(SUBSTITUTE(DadosBrutos[[#This Row],[renda_mensal]]," moedas","")),"-")))</f>
        <v>11200</v>
      </c>
      <c r="I287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28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-</v>
      </c>
      <c r="K287" s="1">
        <f>IF(DadosBrutos[[#This Row],[qtde_batalhas]]="","-",IF(ISNUMBER(DadosBrutos[[#This Row],[qtde_batalhas]]),DadosBrutos[[#This Row],[qtde_batalhas]],IFERROR(VALUE(SUBSTITUTE(DadosBrutos[[#This Row],[qtde_batalhas]]," batalhas","")),"-")))</f>
        <v>41</v>
      </c>
      <c r="L287" s="1" t="str">
        <f>IF(DadosL[[#This Row],[qtde_batalhas]]="-","-",IF(DadosL[[#This Row],[qtde_batalhas]]&lt;=10,"Baixo",IF(DadosL[[#This Row],[qtde_batalhas]]&lt;=25,"Médio","Alto")))</f>
        <v>Alto</v>
      </c>
      <c r="M28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83500</v>
      </c>
      <c r="N287" s="1" t="str">
        <f>IF(AND(DadosL[[#This Row],[nivel_risco]]="Alto",DadosL[[#This Row],[flag_inadimplente]]="Sim"),"Negado","Aprovado")</f>
        <v>Aprovado</v>
      </c>
      <c r="O287" s="1" t="str">
        <f>IF(AND(ISNUMBER(DadosL[[#This Row],[credito_tomado]]),DadosL[[#This Row],[credito_tomado]]&gt;50000,DadosL[[#This Row],[flag_inadimplente]]="Sim"),"Negado","Aprovado")</f>
        <v>Aprovado</v>
      </c>
      <c r="P287" s="46">
        <f>IF(OR(DadosL[[#This Row],[Analise_Risco]]="Negado",DadosL[[#This Row],[Analise_Credito]]="Negado"),0,IF(DadosL[[#This Row],[status]]="Ativo",DadosL[[#This Row],[valor_solicitado]]*1.08,0))</f>
        <v>90180</v>
      </c>
    </row>
    <row r="288" spans="1:16">
      <c r="A28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88" s="1" t="str">
        <f>PROPER(TRIM(DadosBrutos[[#This Row],[nome]]))</f>
        <v>Brienne Mallister</v>
      </c>
      <c r="C288" s="1" t="str">
        <f>IF(LEN(SUBSTITUTE(SUBSTITUTE(SUBSTITUTE(DadosBrutos[[#This Row],[cpf]],".",""),"-","")," ",""))=11,DadosBrutos[[#This Row],[cpf]],"-")</f>
        <v>000.000.202-00</v>
      </c>
      <c r="D28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53</v>
      </c>
      <c r="E288" s="45">
        <f>IF(DadosBrutos[[#This Row],[data_nascimento]]="","-",DadosBrutos[[#This Row],[data_nascimento]])</f>
        <v>26840</v>
      </c>
      <c r="F288" s="1" t="str">
        <f>IF(ISNUMBER(SEARCH("|",DadosBrutos[[#This Row],[cidade]])),TRIM(LEFT(DadosBrutos[[#This Row],[cidade]],SEARCH("|",DadosBrutos[[#This Row],[cidade]])-1)),TRIM(DadosBrutos[[#This Row],[cidade]]))</f>
        <v>Ilha dos Ursos</v>
      </c>
      <c r="G28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88" s="37">
        <f>IF(DadosBrutos[[#This Row],[renda_mensal]]="","-",IF(ISNUMBER(DadosBrutos[[#This Row],[renda_mensal]]),DadosBrutos[[#This Row],[renda_mensal]],IFERROR(VALUE(SUBSTITUTE(DadosBrutos[[#This Row],[renda_mensal]]," moedas","")),"-")))</f>
        <v>9500</v>
      </c>
      <c r="I288" s="37">
        <f>IF(DadosBrutos[[#This Row],[credito_tomado]]="","-",IF(ISNUMBER(DadosBrutos[[#This Row],[credito_tomado]]),DadosBrutos[[#This Row],[credito_tomado]],IFERROR(VALUE(SUBSTITUTE(DadosBrutos[[#This Row],[credito_tomado]]," moedas","")),"-")))</f>
        <v>66500</v>
      </c>
      <c r="J28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288" s="1">
        <f>IF(DadosBrutos[[#This Row],[qtde_batalhas]]="","-",IF(ISNUMBER(DadosBrutos[[#This Row],[qtde_batalhas]]),DadosBrutos[[#This Row],[qtde_batalhas]],IFERROR(VALUE(SUBSTITUTE(DadosBrutos[[#This Row],[qtde_batalhas]]," batalhas","")),"-")))</f>
        <v>38</v>
      </c>
      <c r="L288" s="1" t="str">
        <f>IF(DadosL[[#This Row],[qtde_batalhas]]="-","-",IF(DadosL[[#This Row],[qtde_batalhas]]&lt;=10,"Baixo",IF(DadosL[[#This Row],[qtde_batalhas]]&lt;=25,"Médio","Alto")))</f>
        <v>Alto</v>
      </c>
      <c r="M28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42500</v>
      </c>
      <c r="N288" s="1" t="str">
        <f>IF(AND(DadosL[[#This Row],[nivel_risco]]="Alto",DadosL[[#This Row],[flag_inadimplente]]="Sim"),"Negado","Aprovado")</f>
        <v>Negado</v>
      </c>
      <c r="O288" s="1" t="str">
        <f>IF(AND(ISNUMBER(DadosL[[#This Row],[credito_tomado]]),DadosL[[#This Row],[credito_tomado]]&gt;50000,DadosL[[#This Row],[flag_inadimplente]]="Sim"),"Negado","Aprovado")</f>
        <v>Negado</v>
      </c>
      <c r="P288" s="46">
        <f>IF(OR(DadosL[[#This Row],[Analise_Risco]]="Negado",DadosL[[#This Row],[Analise_Credito]]="Negado"),0,IF(DadosL[[#This Row],[status]]="Ativo",DadosL[[#This Row],[valor_solicitado]]*1.08,0))</f>
        <v>0</v>
      </c>
    </row>
    <row r="289" spans="1:16">
      <c r="A28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89" s="1" t="str">
        <f>PROPER(TRIM(DadosBrutos[[#This Row],[nome]]))</f>
        <v>Stannis Crakehall</v>
      </c>
      <c r="C289" s="1" t="str">
        <f>IF(LEN(SUBSTITUTE(SUBSTITUTE(SUBSTITUTE(DadosBrutos[[#This Row],[cpf]],".",""),"-","")," ",""))=11,DadosBrutos[[#This Row],[cpf]],"-")</f>
        <v>000.000.351-00</v>
      </c>
      <c r="D28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71</v>
      </c>
      <c r="E289" s="45">
        <f>IF(DadosBrutos[[#This Row],[data_nascimento]]="","-",DadosBrutos[[#This Row],[data_nascimento]])</f>
        <v>20275</v>
      </c>
      <c r="F289" s="1" t="str">
        <f>IF(ISNUMBER(SEARCH("|",DadosBrutos[[#This Row],[cidade]])),TRIM(LEFT(DadosBrutos[[#This Row],[cidade]],SEARCH("|",DadosBrutos[[#This Row],[cidade]])-1)),TRIM(DadosBrutos[[#This Row],[cidade]]))</f>
        <v>Lannisporto</v>
      </c>
      <c r="G28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289" s="37">
        <f>IF(DadosBrutos[[#This Row],[renda_mensal]]="","-",IF(ISNUMBER(DadosBrutos[[#This Row],[renda_mensal]]),DadosBrutos[[#This Row],[renda_mensal]],IFERROR(VALUE(SUBSTITUTE(DadosBrutos[[#This Row],[renda_mensal]]," moedas","")),"-")))</f>
        <v>14200</v>
      </c>
      <c r="I289" s="37">
        <f>IF(DadosBrutos[[#This Row],[credito_tomado]]="","-",IF(ISNUMBER(DadosBrutos[[#This Row],[credito_tomado]]),DadosBrutos[[#This Row],[credito_tomado]],IFERROR(VALUE(SUBSTITUTE(DadosBrutos[[#This Row],[credito_tomado]]," moedas","")),"-")))</f>
        <v>51000</v>
      </c>
      <c r="J28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89" s="1">
        <f>IF(DadosBrutos[[#This Row],[qtde_batalhas]]="","-",IF(ISNUMBER(DadosBrutos[[#This Row],[qtde_batalhas]]),DadosBrutos[[#This Row],[qtde_batalhas]],IFERROR(VALUE(SUBSTITUTE(DadosBrutos[[#This Row],[qtde_batalhas]]," batalhas","")),"-")))</f>
        <v>10</v>
      </c>
      <c r="L289" s="1" t="str">
        <f>IF(DadosL[[#This Row],[qtde_batalhas]]="-","-",IF(DadosL[[#This Row],[qtde_batalhas]]&lt;=10,"Baixo",IF(DadosL[[#This Row],[qtde_batalhas]]&lt;=25,"Médio","Alto")))</f>
        <v>Baixo</v>
      </c>
      <c r="M28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90500</v>
      </c>
      <c r="N289" s="1" t="str">
        <f>IF(AND(DadosL[[#This Row],[nivel_risco]]="Alto",DadosL[[#This Row],[flag_inadimplente]]="Sim"),"Negado","Aprovado")</f>
        <v>Aprovado</v>
      </c>
      <c r="O289" s="1" t="str">
        <f>IF(AND(ISNUMBER(DadosL[[#This Row],[credito_tomado]]),DadosL[[#This Row],[credito_tomado]]&gt;50000,DadosL[[#This Row],[flag_inadimplente]]="Sim"),"Negado","Aprovado")</f>
        <v>Aprovado</v>
      </c>
      <c r="P289" s="46">
        <f>IF(OR(DadosL[[#This Row],[Analise_Risco]]="Negado",DadosL[[#This Row],[Analise_Credito]]="Negado"),0,IF(DadosL[[#This Row],[status]]="Ativo",DadosL[[#This Row],[valor_solicitado]]*1.08,0))</f>
        <v>97740</v>
      </c>
    </row>
    <row r="290" spans="1:16">
      <c r="A29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90" s="1" t="str">
        <f>PROPER(TRIM(DadosBrutos[[#This Row],[nome]]))</f>
        <v>Jorah Marbrand</v>
      </c>
      <c r="C290" s="1" t="str">
        <f>IF(LEN(SUBSTITUTE(SUBSTITUTE(SUBSTITUTE(DadosBrutos[[#This Row],[cpf]],".",""),"-","")," ",""))=11,DadosBrutos[[#This Row],[cpf]],"-")</f>
        <v>000.000.168-00</v>
      </c>
      <c r="D29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37</v>
      </c>
      <c r="E290" s="45">
        <f>IF(DadosBrutos[[#This Row],[data_nascimento]]="","-",DadosBrutos[[#This Row],[data_nascimento]])</f>
        <v>32414</v>
      </c>
      <c r="F290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29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290" s="37">
        <f>IF(DadosBrutos[[#This Row],[renda_mensal]]="","-",IF(ISNUMBER(DadosBrutos[[#This Row],[renda_mensal]]),DadosBrutos[[#This Row],[renda_mensal]],IFERROR(VALUE(SUBSTITUTE(DadosBrutos[[#This Row],[renda_mensal]]," moedas","")),"-")))</f>
        <v>12800</v>
      </c>
      <c r="I290" s="37">
        <f>IF(DadosBrutos[[#This Row],[credito_tomado]]="","-",IF(ISNUMBER(DadosBrutos[[#This Row],[credito_tomado]]),DadosBrutos[[#This Row],[credito_tomado]],IFERROR(VALUE(SUBSTITUTE(DadosBrutos[[#This Row],[credito_tomado]]," moedas","")),"-")))</f>
        <v>76500</v>
      </c>
      <c r="J29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90" s="1">
        <f>IF(DadosBrutos[[#This Row],[qtde_batalhas]]="","-",IF(ISNUMBER(DadosBrutos[[#This Row],[qtde_batalhas]]),DadosBrutos[[#This Row],[qtde_batalhas]],IFERROR(VALUE(SUBSTITUTE(DadosBrutos[[#This Row],[qtde_batalhas]]," batalhas","")),"-")))</f>
        <v>30</v>
      </c>
      <c r="L290" s="1" t="str">
        <f>IF(DadosL[[#This Row],[qtde_batalhas]]="-","-",IF(DadosL[[#This Row],[qtde_batalhas]]&lt;=10,"Baixo",IF(DadosL[[#This Row],[qtde_batalhas]]&lt;=25,"Médio","Alto")))</f>
        <v>Alto</v>
      </c>
      <c r="M29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95000</v>
      </c>
      <c r="N290" s="1" t="str">
        <f>IF(AND(DadosL[[#This Row],[nivel_risco]]="Alto",DadosL[[#This Row],[flag_inadimplente]]="Sim"),"Negado","Aprovado")</f>
        <v>Aprovado</v>
      </c>
      <c r="O290" s="1" t="str">
        <f>IF(AND(ISNUMBER(DadosL[[#This Row],[credito_tomado]]),DadosL[[#This Row],[credito_tomado]]&gt;50000,DadosL[[#This Row],[flag_inadimplente]]="Sim"),"Negado","Aprovado")</f>
        <v>Aprovado</v>
      </c>
      <c r="P290" s="46">
        <f>IF(OR(DadosL[[#This Row],[Analise_Risco]]="Negado",DadosL[[#This Row],[Analise_Credito]]="Negado"),0,IF(DadosL[[#This Row],[status]]="Ativo",DadosL[[#This Row],[valor_solicitado]]*1.08,0))</f>
        <v>102600</v>
      </c>
    </row>
    <row r="291" spans="1:16">
      <c r="A29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91" s="1" t="str">
        <f>PROPER(TRIM(DadosBrutos[[#This Row],[nome]]))</f>
        <v>Sansa Dondarrion</v>
      </c>
      <c r="C291" s="1" t="str">
        <f>IF(LEN(SUBSTITUTE(SUBSTITUTE(SUBSTITUTE(DadosBrutos[[#This Row],[cpf]],".",""),"-","")," ",""))=11,DadosBrutos[[#This Row],[cpf]],"-")</f>
        <v>000.000.101-00</v>
      </c>
      <c r="D29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22</v>
      </c>
      <c r="E291" s="45">
        <f>IF(DadosBrutos[[#This Row],[data_nascimento]]="","-",DadosBrutos[[#This Row],[data_nascimento]])</f>
        <v>37936</v>
      </c>
      <c r="F291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29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291" s="37">
        <f>IF(DadosBrutos[[#This Row],[renda_mensal]]="","-",IF(ISNUMBER(DadosBrutos[[#This Row],[renda_mensal]]),DadosBrutos[[#This Row],[renda_mensal]],IFERROR(VALUE(SUBSTITUTE(DadosBrutos[[#This Row],[renda_mensal]]," moedas","")),"-")))</f>
        <v>4100</v>
      </c>
      <c r="I291" s="37">
        <f>IF(DadosBrutos[[#This Row],[credito_tomado]]="","-",IF(ISNUMBER(DadosBrutos[[#This Row],[credito_tomado]]),DadosBrutos[[#This Row],[credito_tomado]],IFERROR(VALUE(SUBSTITUTE(DadosBrutos[[#This Row],[credito_tomado]]," moedas","")),"-")))</f>
        <v>2000</v>
      </c>
      <c r="J29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91" s="1">
        <f>IF(DadosBrutos[[#This Row],[qtde_batalhas]]="","-",IF(ISNUMBER(DadosBrutos[[#This Row],[qtde_batalhas]]),DadosBrutos[[#This Row],[qtde_batalhas]],IFERROR(VALUE(SUBSTITUTE(DadosBrutos[[#This Row],[qtde_batalhas]]," batalhas","")),"-")))</f>
        <v>8</v>
      </c>
      <c r="L291" s="1" t="str">
        <f>IF(DadosL[[#This Row],[qtde_batalhas]]="-","-",IF(DadosL[[#This Row],[qtde_batalhas]]&lt;=10,"Baixo",IF(DadosL[[#This Row],[qtde_batalhas]]&lt;=25,"Médio","Alto")))</f>
        <v>Baixo</v>
      </c>
      <c r="M29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4000</v>
      </c>
      <c r="N291" s="1" t="str">
        <f>IF(AND(DadosL[[#This Row],[nivel_risco]]="Alto",DadosL[[#This Row],[flag_inadimplente]]="Sim"),"Negado","Aprovado")</f>
        <v>Aprovado</v>
      </c>
      <c r="O291" s="1" t="str">
        <f>IF(AND(ISNUMBER(DadosL[[#This Row],[credito_tomado]]),DadosL[[#This Row],[credito_tomado]]&gt;50000,DadosL[[#This Row],[flag_inadimplente]]="Sim"),"Negado","Aprovado")</f>
        <v>Aprovado</v>
      </c>
      <c r="P291" s="46">
        <f>IF(OR(DadosL[[#This Row],[Analise_Risco]]="Negado",DadosL[[#This Row],[Analise_Credito]]="Negado"),0,IF(DadosL[[#This Row],[status]]="Ativo",DadosL[[#This Row],[valor_solicitado]]*1.08,0))</f>
        <v>4320</v>
      </c>
    </row>
    <row r="292" spans="1:16">
      <c r="A29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92" s="1" t="str">
        <f>PROPER(TRIM(DadosBrutos[[#This Row],[nome]]))</f>
        <v>Beric  Karstark</v>
      </c>
      <c r="C292" s="1" t="str">
        <f>IF(LEN(SUBSTITUTE(SUBSTITUTE(SUBSTITUTE(DadosBrutos[[#This Row],[cpf]],".",""),"-","")," ",""))=11,DadosBrutos[[#This Row],[cpf]],"-")</f>
        <v>000.000.172-00</v>
      </c>
      <c r="D29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37</v>
      </c>
      <c r="E292" s="45">
        <f>IF(DadosBrutos[[#This Row],[data_nascimento]]="","-",DadosBrutos[[#This Row],[data_nascimento]])</f>
        <v>32680</v>
      </c>
      <c r="F292" s="1" t="str">
        <f>IF(ISNUMBER(SEARCH("|",DadosBrutos[[#This Row],[cidade]])),TRIM(LEFT(DadosBrutos[[#This Row],[cidade]],SEARCH("|",DadosBrutos[[#This Row],[cidade]])-1)),TRIM(DadosBrutos[[#This Row],[cidade]]))</f>
        <v>Braavos</v>
      </c>
      <c r="G29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292" s="37">
        <f>IF(DadosBrutos[[#This Row],[renda_mensal]]="","-",IF(ISNUMBER(DadosBrutos[[#This Row],[renda_mensal]]),DadosBrutos[[#This Row],[renda_mensal]],IFERROR(VALUE(SUBSTITUTE(DadosBrutos[[#This Row],[renda_mensal]]," moedas","")),"-")))</f>
        <v>28900</v>
      </c>
      <c r="I292" s="37">
        <f>IF(DadosBrutos[[#This Row],[credito_tomado]]="","-",IF(ISNUMBER(DadosBrutos[[#This Row],[credito_tomado]]),DadosBrutos[[#This Row],[credito_tomado]],IFERROR(VALUE(SUBSTITUTE(DadosBrutos[[#This Row],[credito_tomado]]," moedas","")),"-")))</f>
        <v>71000</v>
      </c>
      <c r="J29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92" s="1">
        <f>IF(DadosBrutos[[#This Row],[qtde_batalhas]]="","-",IF(ISNUMBER(DadosBrutos[[#This Row],[qtde_batalhas]]),DadosBrutos[[#This Row],[qtde_batalhas]],IFERROR(VALUE(SUBSTITUTE(DadosBrutos[[#This Row],[qtde_batalhas]]," batalhas","")),"-")))</f>
        <v>28</v>
      </c>
      <c r="L292" s="1" t="str">
        <f>IF(DadosL[[#This Row],[qtde_batalhas]]="-","-",IF(DadosL[[#This Row],[qtde_batalhas]]&lt;=10,"Baixo",IF(DadosL[[#This Row],[qtde_batalhas]]&lt;=25,"Médio","Alto")))</f>
        <v>Alto</v>
      </c>
      <c r="M29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36500</v>
      </c>
      <c r="N292" s="1" t="str">
        <f>IF(AND(DadosL[[#This Row],[nivel_risco]]="Alto",DadosL[[#This Row],[flag_inadimplente]]="Sim"),"Negado","Aprovado")</f>
        <v>Aprovado</v>
      </c>
      <c r="O292" s="1" t="str">
        <f>IF(AND(ISNUMBER(DadosL[[#This Row],[credito_tomado]]),DadosL[[#This Row],[credito_tomado]]&gt;50000,DadosL[[#This Row],[flag_inadimplente]]="Sim"),"Negado","Aprovado")</f>
        <v>Aprovado</v>
      </c>
      <c r="P292" s="46">
        <f>IF(OR(DadosL[[#This Row],[Analise_Risco]]="Negado",DadosL[[#This Row],[Analise_Credito]]="Negado"),0,IF(DadosL[[#This Row],[status]]="Ativo",DadosL[[#This Row],[valor_solicitado]]*1.08,0))</f>
        <v>39420</v>
      </c>
    </row>
    <row r="293" spans="1:16">
      <c r="A29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93" s="1" t="str">
        <f>PROPER(TRIM(DadosBrutos[[#This Row],[nome]]))</f>
        <v>Bran Umber</v>
      </c>
      <c r="C293" s="1" t="str">
        <f>IF(LEN(SUBSTITUTE(SUBSTITUTE(SUBSTITUTE(DadosBrutos[[#This Row],[cpf]],".",""),"-","")," ",""))=11,DadosBrutos[[#This Row],[cpf]],"-")</f>
        <v>-</v>
      </c>
      <c r="D29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29</v>
      </c>
      <c r="E293" s="45">
        <f>IF(DadosBrutos[[#This Row],[data_nascimento]]="","-",DadosBrutos[[#This Row],[data_nascimento]])</f>
        <v>35334</v>
      </c>
      <c r="F293" s="1" t="str">
        <f>IF(ISNUMBER(SEARCH("|",DadosBrutos[[#This Row],[cidade]])),TRIM(LEFT(DadosBrutos[[#This Row],[cidade]],SEARCH("|",DadosBrutos[[#This Row],[cidade]])-1)),TRIM(DadosBrutos[[#This Row],[cidade]]))</f>
        <v>Pyke</v>
      </c>
      <c r="G29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293" s="37">
        <f>IF(DadosBrutos[[#This Row],[renda_mensal]]="","-",IF(ISNUMBER(DadosBrutos[[#This Row],[renda_mensal]]),DadosBrutos[[#This Row],[renda_mensal]],IFERROR(VALUE(SUBSTITUTE(DadosBrutos[[#This Row],[renda_mensal]]," moedas","")),"-")))</f>
        <v>19500</v>
      </c>
      <c r="I293" s="37">
        <f>IF(DadosBrutos[[#This Row],[credito_tomado]]="","-",IF(ISNUMBER(DadosBrutos[[#This Row],[credito_tomado]]),DadosBrutos[[#This Row],[credito_tomado]],IFERROR(VALUE(SUBSTITUTE(DadosBrutos[[#This Row],[credito_tomado]]," moedas","")),"-")))</f>
        <v>57000</v>
      </c>
      <c r="J29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93" s="1">
        <f>IF(DadosBrutos[[#This Row],[qtde_batalhas]]="","-",IF(ISNUMBER(DadosBrutos[[#This Row],[qtde_batalhas]]),DadosBrutos[[#This Row],[qtde_batalhas]],IFERROR(VALUE(SUBSTITUTE(DadosBrutos[[#This Row],[qtde_batalhas]]," batalhas","")),"-")))</f>
        <v>12</v>
      </c>
      <c r="L293" s="1" t="str">
        <f>IF(DadosL[[#This Row],[qtde_batalhas]]="-","-",IF(DadosL[[#This Row],[qtde_batalhas]]&lt;=10,"Baixo",IF(DadosL[[#This Row],[qtde_batalhas]]&lt;=25,"Médio","Alto")))</f>
        <v>Médio</v>
      </c>
      <c r="M29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20500</v>
      </c>
      <c r="N293" s="1" t="str">
        <f>IF(AND(DadosL[[#This Row],[nivel_risco]]="Alto",DadosL[[#This Row],[flag_inadimplente]]="Sim"),"Negado","Aprovado")</f>
        <v>Aprovado</v>
      </c>
      <c r="O293" s="1" t="str">
        <f>IF(AND(ISNUMBER(DadosL[[#This Row],[credito_tomado]]),DadosL[[#This Row],[credito_tomado]]&gt;50000,DadosL[[#This Row],[flag_inadimplente]]="Sim"),"Negado","Aprovado")</f>
        <v>Aprovado</v>
      </c>
      <c r="P293" s="46">
        <f>IF(OR(DadosL[[#This Row],[Analise_Risco]]="Negado",DadosL[[#This Row],[Analise_Credito]]="Negado"),0,IF(DadosL[[#This Row],[status]]="Ativo",DadosL[[#This Row],[valor_solicitado]]*1.08,0))</f>
        <v>22140</v>
      </c>
    </row>
    <row r="294" spans="1:16">
      <c r="A29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94" s="1" t="str">
        <f>PROPER(TRIM(DadosBrutos[[#This Row],[nome]]))</f>
        <v>Thoros Yronwood</v>
      </c>
      <c r="C294" s="1" t="str">
        <f>IF(LEN(SUBSTITUTE(SUBSTITUTE(SUBSTITUTE(DadosBrutos[[#This Row],[cpf]],".",""),"-","")," ",""))=11,DadosBrutos[[#This Row],[cpf]],"-")</f>
        <v>000.000.104-00</v>
      </c>
      <c r="D29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51</v>
      </c>
      <c r="E294" s="45">
        <f>IF(DadosBrutos[[#This Row],[data_nascimento]]="","-",DadosBrutos[[#This Row],[data_nascimento]])</f>
        <v>27421</v>
      </c>
      <c r="F294" s="1" t="str">
        <f>IF(ISNUMBER(SEARCH("|",DadosBrutos[[#This Row],[cidade]])),TRIM(LEFT(DadosBrutos[[#This Row],[cidade]],SEARCH("|",DadosBrutos[[#This Row],[cidade]])-1)),TRIM(DadosBrutos[[#This Row],[cidade]]))</f>
        <v>Dorne</v>
      </c>
      <c r="G29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294" s="37">
        <f>IF(DadosBrutos[[#This Row],[renda_mensal]]="","-",IF(ISNUMBER(DadosBrutos[[#This Row],[renda_mensal]]),DadosBrutos[[#This Row],[renda_mensal]],IFERROR(VALUE(SUBSTITUTE(DadosBrutos[[#This Row],[renda_mensal]]," moedas","")),"-")))</f>
        <v>26000</v>
      </c>
      <c r="I294" s="37">
        <f>IF(DadosBrutos[[#This Row],[credito_tomado]]="","-",IF(ISNUMBER(DadosBrutos[[#This Row],[credito_tomado]]),DadosBrutos[[#This Row],[credito_tomado]],IFERROR(VALUE(SUBSTITUTE(DadosBrutos[[#This Row],[credito_tomado]]," moedas","")),"-")))</f>
        <v>47500</v>
      </c>
      <c r="J29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94" s="1">
        <f>IF(DadosBrutos[[#This Row],[qtde_batalhas]]="","-",IF(ISNUMBER(DadosBrutos[[#This Row],[qtde_batalhas]]),DadosBrutos[[#This Row],[qtde_batalhas]],IFERROR(VALUE(SUBSTITUTE(DadosBrutos[[#This Row],[qtde_batalhas]]," batalhas","")),"-")))</f>
        <v>45</v>
      </c>
      <c r="L294" s="1" t="str">
        <f>IF(DadosL[[#This Row],[qtde_batalhas]]="-","-",IF(DadosL[[#This Row],[qtde_batalhas]]&lt;=10,"Baixo",IF(DadosL[[#This Row],[qtde_batalhas]]&lt;=25,"Médio","Alto")))</f>
        <v>Alto</v>
      </c>
      <c r="M29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60500</v>
      </c>
      <c r="N294" s="1" t="str">
        <f>IF(AND(DadosL[[#This Row],[nivel_risco]]="Alto",DadosL[[#This Row],[flag_inadimplente]]="Sim"),"Negado","Aprovado")</f>
        <v>Aprovado</v>
      </c>
      <c r="O294" s="1" t="str">
        <f>IF(AND(ISNUMBER(DadosL[[#This Row],[credito_tomado]]),DadosL[[#This Row],[credito_tomado]]&gt;50000,DadosL[[#This Row],[flag_inadimplente]]="Sim"),"Negado","Aprovado")</f>
        <v>Aprovado</v>
      </c>
      <c r="P294" s="46">
        <f>IF(OR(DadosL[[#This Row],[Analise_Risco]]="Negado",DadosL[[#This Row],[Analise_Credito]]="Negado"),0,IF(DadosL[[#This Row],[status]]="Ativo",DadosL[[#This Row],[valor_solicitado]]*1.08,0))</f>
        <v>65340.000000000007</v>
      </c>
    </row>
    <row r="295" spans="1:16">
      <c r="A29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95" s="1" t="str">
        <f>PROPER(TRIM(DadosBrutos[[#This Row],[nome]]))</f>
        <v>Davos Umber</v>
      </c>
      <c r="C295" s="1" t="str">
        <f>IF(LEN(SUBSTITUTE(SUBSTITUTE(SUBSTITUTE(DadosBrutos[[#This Row],[cpf]],".",""),"-","")," ",""))=11,DadosBrutos[[#This Row],[cpf]],"-")</f>
        <v>000.000.353-00</v>
      </c>
      <c r="D29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74</v>
      </c>
      <c r="E295" s="45">
        <f>IF(DadosBrutos[[#This Row],[data_nascimento]]="","-",DadosBrutos[[#This Row],[data_nascimento]])</f>
        <v>19047</v>
      </c>
      <c r="F295" s="1" t="str">
        <f>IF(ISNUMBER(SEARCH("|",DadosBrutos[[#This Row],[cidade]])),TRIM(LEFT(DadosBrutos[[#This Row],[cidade]],SEARCH("|",DadosBrutos[[#This Row],[cidade]])-1)),TRIM(DadosBrutos[[#This Row],[cidade]]))</f>
        <v>Lannisporto</v>
      </c>
      <c r="G29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295" s="37">
        <f>IF(DadosBrutos[[#This Row],[renda_mensal]]="","-",IF(ISNUMBER(DadosBrutos[[#This Row],[renda_mensal]]),DadosBrutos[[#This Row],[renda_mensal]],IFERROR(VALUE(SUBSTITUTE(DadosBrutos[[#This Row],[renda_mensal]]," moedas","")),"-")))</f>
        <v>24000</v>
      </c>
      <c r="I295" s="37">
        <f>IF(DadosBrutos[[#This Row],[credito_tomado]]="","-",IF(ISNUMBER(DadosBrutos[[#This Row],[credito_tomado]]),DadosBrutos[[#This Row],[credito_tomado]],IFERROR(VALUE(SUBSTITUTE(DadosBrutos[[#This Row],[credito_tomado]]," moedas","")),"-")))</f>
        <v>35000</v>
      </c>
      <c r="J29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95" s="1">
        <f>IF(DadosBrutos[[#This Row],[qtde_batalhas]]="","-",IF(ISNUMBER(DadosBrutos[[#This Row],[qtde_batalhas]]),DadosBrutos[[#This Row],[qtde_batalhas]],IFERROR(VALUE(SUBSTITUTE(DadosBrutos[[#This Row],[qtde_batalhas]]," batalhas","")),"-")))</f>
        <v>6</v>
      </c>
      <c r="L295" s="1" t="str">
        <f>IF(DadosL[[#This Row],[qtde_batalhas]]="-","-",IF(DadosL[[#This Row],[qtde_batalhas]]&lt;=10,"Baixo",IF(DadosL[[#This Row],[qtde_batalhas]]&lt;=25,"Médio","Alto")))</f>
        <v>Baixo</v>
      </c>
      <c r="M29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29500</v>
      </c>
      <c r="N295" s="1" t="str">
        <f>IF(AND(DadosL[[#This Row],[nivel_risco]]="Alto",DadosL[[#This Row],[flag_inadimplente]]="Sim"),"Negado","Aprovado")</f>
        <v>Aprovado</v>
      </c>
      <c r="O295" s="1" t="str">
        <f>IF(AND(ISNUMBER(DadosL[[#This Row],[credito_tomado]]),DadosL[[#This Row],[credito_tomado]]&gt;50000,DadosL[[#This Row],[flag_inadimplente]]="Sim"),"Negado","Aprovado")</f>
        <v>Aprovado</v>
      </c>
      <c r="P295" s="46">
        <f>IF(OR(DadosL[[#This Row],[Analise_Risco]]="Negado",DadosL[[#This Row],[Analise_Credito]]="Negado"),0,IF(DadosL[[#This Row],[status]]="Ativo",DadosL[[#This Row],[valor_solicitado]]*1.08,0))</f>
        <v>0</v>
      </c>
    </row>
    <row r="296" spans="1:16">
      <c r="A29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96" s="1" t="str">
        <f>PROPER(TRIM(DadosBrutos[[#This Row],[nome]]))</f>
        <v>Aegon Redwyne</v>
      </c>
      <c r="C296" s="1" t="str">
        <f>IF(LEN(SUBSTITUTE(SUBSTITUTE(SUBSTITUTE(DadosBrutos[[#This Row],[cpf]],".",""),"-","")," ",""))=11,DadosBrutos[[#This Row],[cpf]],"-")</f>
        <v>000.000.347-00</v>
      </c>
      <c r="D29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19</v>
      </c>
      <c r="E296" s="45">
        <f>IF(DadosBrutos[[#This Row],[data_nascimento]]="","-",DadosBrutos[[#This Row],[data_nascimento]])</f>
        <v>39016</v>
      </c>
      <c r="F296" s="1" t="str">
        <f>IF(ISNUMBER(SEARCH("|",DadosBrutos[[#This Row],[cidade]])),TRIM(LEFT(DadosBrutos[[#This Row],[cidade]],SEARCH("|",DadosBrutos[[#This Row],[cidade]])-1)),TRIM(DadosBrutos[[#This Row],[cidade]]))</f>
        <v>Pyke</v>
      </c>
      <c r="G29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296" s="37">
        <f>IF(DadosBrutos[[#This Row],[renda_mensal]]="","-",IF(ISNUMBER(DadosBrutos[[#This Row],[renda_mensal]]),DadosBrutos[[#This Row],[renda_mensal]],IFERROR(VALUE(SUBSTITUTE(DadosBrutos[[#This Row],[renda_mensal]]," moedas","")),"-")))</f>
        <v>14900</v>
      </c>
      <c r="I296" s="37">
        <f>IF(DadosBrutos[[#This Row],[credito_tomado]]="","-",IF(ISNUMBER(DadosBrutos[[#This Row],[credito_tomado]]),DadosBrutos[[#This Row],[credito_tomado]],IFERROR(VALUE(SUBSTITUTE(DadosBrutos[[#This Row],[credito_tomado]]," moedas","")),"-")))</f>
        <v>17000</v>
      </c>
      <c r="J29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96" s="1">
        <f>IF(DadosBrutos[[#This Row],[qtde_batalhas]]="","-",IF(ISNUMBER(DadosBrutos[[#This Row],[qtde_batalhas]]),DadosBrutos[[#This Row],[qtde_batalhas]],IFERROR(VALUE(SUBSTITUTE(DadosBrutos[[#This Row],[qtde_batalhas]]," batalhas","")),"-")))</f>
        <v>20</v>
      </c>
      <c r="L296" s="1" t="str">
        <f>IF(DadosL[[#This Row],[qtde_batalhas]]="-","-",IF(DadosL[[#This Row],[qtde_batalhas]]&lt;=10,"Baixo",IF(DadosL[[#This Row],[qtde_batalhas]]&lt;=25,"Médio","Alto")))</f>
        <v>Médio</v>
      </c>
      <c r="M29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29500</v>
      </c>
      <c r="N296" s="1" t="str">
        <f>IF(AND(DadosL[[#This Row],[nivel_risco]]="Alto",DadosL[[#This Row],[flag_inadimplente]]="Sim"),"Negado","Aprovado")</f>
        <v>Aprovado</v>
      </c>
      <c r="O296" s="1" t="str">
        <f>IF(AND(ISNUMBER(DadosL[[#This Row],[credito_tomado]]),DadosL[[#This Row],[credito_tomado]]&gt;50000,DadosL[[#This Row],[flag_inadimplente]]="Sim"),"Negado","Aprovado")</f>
        <v>Aprovado</v>
      </c>
      <c r="P296" s="46">
        <f>IF(OR(DadosL[[#This Row],[Analise_Risco]]="Negado",DadosL[[#This Row],[Analise_Credito]]="Negado"),0,IF(DadosL[[#This Row],[status]]="Ativo",DadosL[[#This Row],[valor_solicitado]]*1.08,0))</f>
        <v>31860.000000000004</v>
      </c>
    </row>
    <row r="297" spans="1:16">
      <c r="A29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97" s="1" t="str">
        <f>PROPER(TRIM(DadosBrutos[[#This Row],[nome]]))</f>
        <v>Robert Mallister</v>
      </c>
      <c r="C297" s="1" t="str">
        <f>IF(LEN(SUBSTITUTE(SUBSTITUTE(SUBSTITUTE(DadosBrutos[[#This Row],[cpf]],".",""),"-","")," ",""))=11,DadosBrutos[[#This Row],[cpf]],"-")</f>
        <v>-</v>
      </c>
      <c r="D29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57</v>
      </c>
      <c r="E297" s="45">
        <f>IF(DadosBrutos[[#This Row],[data_nascimento]]="","-",DadosBrutos[[#This Row],[data_nascimento]])</f>
        <v>25369</v>
      </c>
      <c r="F297" s="1" t="str">
        <f>IF(ISNUMBER(SEARCH("|",DadosBrutos[[#This Row],[cidade]])),TRIM(LEFT(DadosBrutos[[#This Row],[cidade]],SEARCH("|",DadosBrutos[[#This Row],[cidade]])-1)),TRIM(DadosBrutos[[#This Row],[cidade]]))</f>
        <v>Braavos</v>
      </c>
      <c r="G29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297" s="37">
        <f>IF(DadosBrutos[[#This Row],[renda_mensal]]="","-",IF(ISNUMBER(DadosBrutos[[#This Row],[renda_mensal]]),DadosBrutos[[#This Row],[renda_mensal]],IFERROR(VALUE(SUBSTITUTE(DadosBrutos[[#This Row],[renda_mensal]]," moedas","")),"-")))</f>
        <v>28600</v>
      </c>
      <c r="I297" s="37">
        <f>IF(DadosBrutos[[#This Row],[credito_tomado]]="","-",IF(ISNUMBER(DadosBrutos[[#This Row],[credito_tomado]]),DadosBrutos[[#This Row],[credito_tomado]],IFERROR(VALUE(SUBSTITUTE(DadosBrutos[[#This Row],[credito_tomado]]," moedas","")),"-")))</f>
        <v>73500</v>
      </c>
      <c r="J29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97" s="1">
        <f>IF(DadosBrutos[[#This Row],[qtde_batalhas]]="","-",IF(ISNUMBER(DadosBrutos[[#This Row],[qtde_batalhas]]),DadosBrutos[[#This Row],[qtde_batalhas]],IFERROR(VALUE(SUBSTITUTE(DadosBrutos[[#This Row],[qtde_batalhas]]," batalhas","")),"-")))</f>
        <v>29</v>
      </c>
      <c r="L297" s="1" t="str">
        <f>IF(DadosL[[#This Row],[qtde_batalhas]]="-","-",IF(DadosL[[#This Row],[qtde_batalhas]]&lt;=10,"Baixo",IF(DadosL[[#This Row],[qtde_batalhas]]&lt;=25,"Médio","Alto")))</f>
        <v>Alto</v>
      </c>
      <c r="M29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93500</v>
      </c>
      <c r="N297" s="1" t="str">
        <f>IF(AND(DadosL[[#This Row],[nivel_risco]]="Alto",DadosL[[#This Row],[flag_inadimplente]]="Sim"),"Negado","Aprovado")</f>
        <v>Aprovado</v>
      </c>
      <c r="O297" s="1" t="str">
        <f>IF(AND(ISNUMBER(DadosL[[#This Row],[credito_tomado]]),DadosL[[#This Row],[credito_tomado]]&gt;50000,DadosL[[#This Row],[flag_inadimplente]]="Sim"),"Negado","Aprovado")</f>
        <v>Aprovado</v>
      </c>
      <c r="P297" s="46">
        <f>IF(OR(DadosL[[#This Row],[Analise_Risco]]="Negado",DadosL[[#This Row],[Analise_Credito]]="Negado"),0,IF(DadosL[[#This Row],[status]]="Ativo",DadosL[[#This Row],[valor_solicitado]]*1.08,0))</f>
        <v>0</v>
      </c>
    </row>
    <row r="298" spans="1:16">
      <c r="A29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298" s="1" t="str">
        <f>PROPER(TRIM(DadosBrutos[[#This Row],[nome]]))</f>
        <v>Margaery Dondarrion</v>
      </c>
      <c r="C298" s="1" t="str">
        <f>IF(LEN(SUBSTITUTE(SUBSTITUTE(SUBSTITUTE(DadosBrutos[[#This Row],[cpf]],".",""),"-","")," ",""))=11,DadosBrutos[[#This Row],[cpf]],"-")</f>
        <v>-</v>
      </c>
      <c r="D29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50</v>
      </c>
      <c r="E298" s="45">
        <f>IF(DadosBrutos[[#This Row],[data_nascimento]]="","-",DadosBrutos[[#This Row],[data_nascimento]])</f>
        <v>27833</v>
      </c>
      <c r="F298" s="1" t="str">
        <f>IF(ISNUMBER(SEARCH("|",DadosBrutos[[#This Row],[cidade]])),TRIM(LEFT(DadosBrutos[[#This Row],[cidade]],SEARCH("|",DadosBrutos[[#This Row],[cidade]])-1)),TRIM(DadosBrutos[[#This Row],[cidade]]))</f>
        <v>Correrrio</v>
      </c>
      <c r="G29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298" s="37">
        <f>IF(DadosBrutos[[#This Row],[renda_mensal]]="","-",IF(ISNUMBER(DadosBrutos[[#This Row],[renda_mensal]]),DadosBrutos[[#This Row],[renda_mensal]],IFERROR(VALUE(SUBSTITUTE(DadosBrutos[[#This Row],[renda_mensal]]," moedas","")),"-")))</f>
        <v>16200</v>
      </c>
      <c r="I298" s="37">
        <f>IF(DadosBrutos[[#This Row],[credito_tomado]]="","-",IF(ISNUMBER(DadosBrutos[[#This Row],[credito_tomado]]),DadosBrutos[[#This Row],[credito_tomado]],IFERROR(VALUE(SUBSTITUTE(DadosBrutos[[#This Row],[credito_tomado]]," moedas","")),"-")))</f>
        <v>25000</v>
      </c>
      <c r="J29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98" s="1">
        <f>IF(DadosBrutos[[#This Row],[qtde_batalhas]]="","-",IF(ISNUMBER(DadosBrutos[[#This Row],[qtde_batalhas]]),DadosBrutos[[#This Row],[qtde_batalhas]],IFERROR(VALUE(SUBSTITUTE(DadosBrutos[[#This Row],[qtde_batalhas]]," batalhas","")),"-")))</f>
        <v>26</v>
      </c>
      <c r="L298" s="1" t="str">
        <f>IF(DadosL[[#This Row],[qtde_batalhas]]="-","-",IF(DadosL[[#This Row],[qtde_batalhas]]&lt;=10,"Baixo",IF(DadosL[[#This Row],[qtde_batalhas]]&lt;=25,"Médio","Alto")))</f>
        <v>Alto</v>
      </c>
      <c r="M29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65000</v>
      </c>
      <c r="N298" s="1" t="str">
        <f>IF(AND(DadosL[[#This Row],[nivel_risco]]="Alto",DadosL[[#This Row],[flag_inadimplente]]="Sim"),"Negado","Aprovado")</f>
        <v>Aprovado</v>
      </c>
      <c r="O298" s="1" t="str">
        <f>IF(AND(ISNUMBER(DadosL[[#This Row],[credito_tomado]]),DadosL[[#This Row],[credito_tomado]]&gt;50000,DadosL[[#This Row],[flag_inadimplente]]="Sim"),"Negado","Aprovado")</f>
        <v>Aprovado</v>
      </c>
      <c r="P298" s="46">
        <f>IF(OR(DadosL[[#This Row],[Analise_Risco]]="Negado",DadosL[[#This Row],[Analise_Credito]]="Negado"),0,IF(DadosL[[#This Row],[status]]="Ativo",DadosL[[#This Row],[valor_solicitado]]*1.08,0))</f>
        <v>0</v>
      </c>
    </row>
    <row r="299" spans="1:16">
      <c r="A29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299" s="1" t="str">
        <f>PROPER(TRIM(DadosBrutos[[#This Row],[nome]]))</f>
        <v>Robert Hornwood</v>
      </c>
      <c r="C299" s="1" t="str">
        <f>IF(LEN(SUBSTITUTE(SUBSTITUTE(SUBSTITUTE(DadosBrutos[[#This Row],[cpf]],".",""),"-","")," ",""))=11,DadosBrutos[[#This Row],[cpf]],"-")</f>
        <v>-</v>
      </c>
      <c r="D299" s="15" t="str">
        <f ca="1">IF(DadosBrutos[[#This Row],[idade]]="",IF(DadosBrutos[[#This Row],[data_nascimento]]="","-",YEAR(TODAY())-YEAR(DadosBrutos[[#This Row],[data_nascimento]])),IF(ISNUMBER(DadosBrutos[[#This Row],[idade]]),DadosBrutos[[#This Row],[idade]],"-"))</f>
        <v>-</v>
      </c>
      <c r="E299" s="45">
        <f>IF(DadosBrutos[[#This Row],[data_nascimento]]="","-",DadosBrutos[[#This Row],[data_nascimento]])</f>
        <v>31115</v>
      </c>
      <c r="F299" s="1" t="str">
        <f>IF(ISNUMBER(SEARCH("|",DadosBrutos[[#This Row],[cidade]])),TRIM(LEFT(DadosBrutos[[#This Row],[cidade]],SEARCH("|",DadosBrutos[[#This Row],[cidade]])-1)),TRIM(DadosBrutos[[#This Row],[cidade]]))</f>
        <v>Castelo Negro</v>
      </c>
      <c r="G29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299" s="37">
        <f>IF(DadosBrutos[[#This Row],[renda_mensal]]="","-",IF(ISNUMBER(DadosBrutos[[#This Row],[renda_mensal]]),DadosBrutos[[#This Row],[renda_mensal]],IFERROR(VALUE(SUBSTITUTE(DadosBrutos[[#This Row],[renda_mensal]]," moedas","")),"-")))</f>
        <v>23100</v>
      </c>
      <c r="I299" s="37">
        <f>IF(DadosBrutos[[#This Row],[credito_tomado]]="","-",IF(ISNUMBER(DadosBrutos[[#This Row],[credito_tomado]]),DadosBrutos[[#This Row],[credito_tomado]],IFERROR(VALUE(SUBSTITUTE(DadosBrutos[[#This Row],[credito_tomado]]," moedas","")),"-")))</f>
        <v>36000</v>
      </c>
      <c r="J29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299" s="1">
        <f>IF(DadosBrutos[[#This Row],[qtde_batalhas]]="","-",IF(ISNUMBER(DadosBrutos[[#This Row],[qtde_batalhas]]),DadosBrutos[[#This Row],[qtde_batalhas]],IFERROR(VALUE(SUBSTITUTE(DadosBrutos[[#This Row],[qtde_batalhas]]," batalhas","")),"-")))</f>
        <v>19</v>
      </c>
      <c r="L299" s="1" t="str">
        <f>IF(DadosL[[#This Row],[qtde_batalhas]]="-","-",IF(DadosL[[#This Row],[qtde_batalhas]]&lt;=10,"Baixo",IF(DadosL[[#This Row],[qtde_batalhas]]&lt;=25,"Médio","Alto")))</f>
        <v>Médio</v>
      </c>
      <c r="M29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37500</v>
      </c>
      <c r="N299" s="1" t="str">
        <f>IF(AND(DadosL[[#This Row],[nivel_risco]]="Alto",DadosL[[#This Row],[flag_inadimplente]]="Sim"),"Negado","Aprovado")</f>
        <v>Aprovado</v>
      </c>
      <c r="O299" s="1" t="str">
        <f>IF(AND(ISNUMBER(DadosL[[#This Row],[credito_tomado]]),DadosL[[#This Row],[credito_tomado]]&gt;50000,DadosL[[#This Row],[flag_inadimplente]]="Sim"),"Negado","Aprovado")</f>
        <v>Aprovado</v>
      </c>
      <c r="P299" s="46">
        <f>IF(OR(DadosL[[#This Row],[Analise_Risco]]="Negado",DadosL[[#This Row],[Analise_Credito]]="Negado"),0,IF(DadosL[[#This Row],[status]]="Ativo",DadosL[[#This Row],[valor_solicitado]]*1.08,0))</f>
        <v>40500</v>
      </c>
    </row>
    <row r="300" spans="1:16">
      <c r="A30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00" s="1" t="str">
        <f>PROPER(TRIM(DadosBrutos[[#This Row],[nome]]))</f>
        <v>Roose Bolton</v>
      </c>
      <c r="C300" s="1" t="str">
        <f>IF(LEN(SUBSTITUTE(SUBSTITUTE(SUBSTITUTE(DadosBrutos[[#This Row],[cpf]],".",""),"-","")," ",""))=11,DadosBrutos[[#This Row],[cpf]],"-")</f>
        <v>-</v>
      </c>
      <c r="D30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73</v>
      </c>
      <c r="E300" s="45">
        <f>IF(DadosBrutos[[#This Row],[data_nascimento]]="","-",DadosBrutos[[#This Row],[data_nascimento]])</f>
        <v>19323</v>
      </c>
      <c r="F300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30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300" s="37">
        <f>IF(DadosBrutos[[#This Row],[renda_mensal]]="","-",IF(ISNUMBER(DadosBrutos[[#This Row],[renda_mensal]]),DadosBrutos[[#This Row],[renda_mensal]],IFERROR(VALUE(SUBSTITUTE(DadosBrutos[[#This Row],[renda_mensal]]," moedas","")),"-")))</f>
        <v>18100</v>
      </c>
      <c r="I300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30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00" s="1">
        <f>IF(DadosBrutos[[#This Row],[qtde_batalhas]]="","-",IF(ISNUMBER(DadosBrutos[[#This Row],[qtde_batalhas]]),DadosBrutos[[#This Row],[qtde_batalhas]],IFERROR(VALUE(SUBSTITUTE(DadosBrutos[[#This Row],[qtde_batalhas]]," batalhas","")),"-")))</f>
        <v>36</v>
      </c>
      <c r="L300" s="1" t="str">
        <f>IF(DadosL[[#This Row],[qtde_batalhas]]="-","-",IF(DadosL[[#This Row],[qtde_batalhas]]&lt;=10,"Baixo",IF(DadosL[[#This Row],[qtde_batalhas]]&lt;=25,"Médio","Alto")))</f>
        <v>Alto</v>
      </c>
      <c r="M30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89000</v>
      </c>
      <c r="N300" s="1" t="str">
        <f>IF(AND(DadosL[[#This Row],[nivel_risco]]="Alto",DadosL[[#This Row],[flag_inadimplente]]="Sim"),"Negado","Aprovado")</f>
        <v>Aprovado</v>
      </c>
      <c r="O300" s="1" t="str">
        <f>IF(AND(ISNUMBER(DadosL[[#This Row],[credito_tomado]]),DadosL[[#This Row],[credito_tomado]]&gt;50000,DadosL[[#This Row],[flag_inadimplente]]="Sim"),"Negado","Aprovado")</f>
        <v>Aprovado</v>
      </c>
      <c r="P300" s="46">
        <f>IF(OR(DadosL[[#This Row],[Analise_Risco]]="Negado",DadosL[[#This Row],[Analise_Credito]]="Negado"),0,IF(DadosL[[#This Row],[status]]="Ativo",DadosL[[#This Row],[valor_solicitado]]*1.08,0))</f>
        <v>96120</v>
      </c>
    </row>
    <row r="301" spans="1:16">
      <c r="A30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-</v>
      </c>
      <c r="B301" s="1" t="str">
        <f>PROPER(TRIM(DadosBrutos[[#This Row],[nome]]))</f>
        <v>Jon Hornwood</v>
      </c>
      <c r="C301" s="1" t="str">
        <f>IF(LEN(SUBSTITUTE(SUBSTITUTE(SUBSTITUTE(DadosBrutos[[#This Row],[cpf]],".",""),"-","")," ",""))=11,DadosBrutos[[#This Row],[cpf]],"-")</f>
        <v>-</v>
      </c>
      <c r="D30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26</v>
      </c>
      <c r="E301" s="45">
        <f>IF(DadosBrutos[[#This Row],[data_nascimento]]="","-",DadosBrutos[[#This Row],[data_nascimento]])</f>
        <v>36759</v>
      </c>
      <c r="F301" s="1" t="str">
        <f>IF(ISNUMBER(SEARCH("|",DadosBrutos[[#This Row],[cidade]])),TRIM(LEFT(DadosBrutos[[#This Row],[cidade]],SEARCH("|",DadosBrutos[[#This Row],[cidade]])-1)),TRIM(DadosBrutos[[#This Row],[cidade]]))</f>
        <v>Dorne</v>
      </c>
      <c r="G30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301" s="37">
        <f>IF(DadosBrutos[[#This Row],[renda_mensal]]="","-",IF(ISNUMBER(DadosBrutos[[#This Row],[renda_mensal]]),DadosBrutos[[#This Row],[renda_mensal]],IFERROR(VALUE(SUBSTITUTE(DadosBrutos[[#This Row],[renda_mensal]]," moedas","")),"-")))</f>
        <v>23200</v>
      </c>
      <c r="I301" s="37">
        <f>IF(DadosBrutos[[#This Row],[credito_tomado]]="","-",IF(ISNUMBER(DadosBrutos[[#This Row],[credito_tomado]]),DadosBrutos[[#This Row],[credito_tomado]],IFERROR(VALUE(SUBSTITUTE(DadosBrutos[[#This Row],[credito_tomado]]," moedas","")),"-")))</f>
        <v>54500</v>
      </c>
      <c r="J30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01" s="1">
        <f>IF(DadosBrutos[[#This Row],[qtde_batalhas]]="","-",IF(ISNUMBER(DadosBrutos[[#This Row],[qtde_batalhas]]),DadosBrutos[[#This Row],[qtde_batalhas]],IFERROR(VALUE(SUBSTITUTE(DadosBrutos[[#This Row],[qtde_batalhas]]," batalhas","")),"-")))</f>
        <v>26</v>
      </c>
      <c r="L301" s="1" t="str">
        <f>IF(DadosL[[#This Row],[qtde_batalhas]]="-","-",IF(DadosL[[#This Row],[qtde_batalhas]]&lt;=10,"Baixo",IF(DadosL[[#This Row],[qtde_batalhas]]&lt;=25,"Médio","Alto")))</f>
        <v>Alto</v>
      </c>
      <c r="M30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75000</v>
      </c>
      <c r="N301" s="1" t="str">
        <f>IF(AND(DadosL[[#This Row],[nivel_risco]]="Alto",DadosL[[#This Row],[flag_inadimplente]]="Sim"),"Negado","Aprovado")</f>
        <v>Negado</v>
      </c>
      <c r="O301" s="1" t="str">
        <f>IF(AND(ISNUMBER(DadosL[[#This Row],[credito_tomado]]),DadosL[[#This Row],[credito_tomado]]&gt;50000,DadosL[[#This Row],[flag_inadimplente]]="Sim"),"Negado","Aprovado")</f>
        <v>Negado</v>
      </c>
      <c r="P301" s="46">
        <f>IF(OR(DadosL[[#This Row],[Analise_Risco]]="Negado",DadosL[[#This Row],[Analise_Credito]]="Negado"),0,IF(DadosL[[#This Row],[status]]="Ativo",DadosL[[#This Row],[valor_solicitado]]*1.08,0))</f>
        <v>0</v>
      </c>
    </row>
    <row r="302" spans="1:16">
      <c r="A30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02" s="1" t="str">
        <f>PROPER(TRIM(DadosBrutos[[#This Row],[nome]]))</f>
        <v>Shae  Dayne</v>
      </c>
      <c r="C302" s="1" t="str">
        <f>IF(LEN(SUBSTITUTE(SUBSTITUTE(SUBSTITUTE(DadosBrutos[[#This Row],[cpf]],".",""),"-","")," ",""))=11,DadosBrutos[[#This Row],[cpf]],"-")</f>
        <v>000.000.312-00</v>
      </c>
      <c r="D30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25</v>
      </c>
      <c r="E302" s="45">
        <f>IF(DadosBrutos[[#This Row],[data_nascimento]]="","-",DadosBrutos[[#This Row],[data_nascimento]])</f>
        <v>36792</v>
      </c>
      <c r="F302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30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302" s="37">
        <f>IF(DadosBrutos[[#This Row],[renda_mensal]]="","-",IF(ISNUMBER(DadosBrutos[[#This Row],[renda_mensal]]),DadosBrutos[[#This Row],[renda_mensal]],IFERROR(VALUE(SUBSTITUTE(DadosBrutos[[#This Row],[renda_mensal]]," moedas","")),"-")))</f>
        <v>22100</v>
      </c>
      <c r="I302" s="37">
        <f>IF(DadosBrutos[[#This Row],[credito_tomado]]="","-",IF(ISNUMBER(DadosBrutos[[#This Row],[credito_tomado]]),DadosBrutos[[#This Row],[credito_tomado]],IFERROR(VALUE(SUBSTITUTE(DadosBrutos[[#This Row],[credito_tomado]]," moedas","")),"-")))</f>
        <v>30500</v>
      </c>
      <c r="J30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02" s="1">
        <f>IF(DadosBrutos[[#This Row],[qtde_batalhas]]="","-",IF(ISNUMBER(DadosBrutos[[#This Row],[qtde_batalhas]]),DadosBrutos[[#This Row],[qtde_batalhas]],IFERROR(VALUE(SUBSTITUTE(DadosBrutos[[#This Row],[qtde_batalhas]]," batalhas","")),"-")))</f>
        <v>28</v>
      </c>
      <c r="L302" s="1" t="str">
        <f>IF(DadosL[[#This Row],[qtde_batalhas]]="-","-",IF(DadosL[[#This Row],[qtde_batalhas]]&lt;=10,"Baixo",IF(DadosL[[#This Row],[qtde_batalhas]]&lt;=25,"Médio","Alto")))</f>
        <v>Alto</v>
      </c>
      <c r="M30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48000</v>
      </c>
      <c r="N302" s="1" t="str">
        <f>IF(AND(DadosL[[#This Row],[nivel_risco]]="Alto",DadosL[[#This Row],[flag_inadimplente]]="Sim"),"Negado","Aprovado")</f>
        <v>Aprovado</v>
      </c>
      <c r="O302" s="1" t="str">
        <f>IF(AND(ISNUMBER(DadosL[[#This Row],[credito_tomado]]),DadosL[[#This Row],[credito_tomado]]&gt;50000,DadosL[[#This Row],[flag_inadimplente]]="Sim"),"Negado","Aprovado")</f>
        <v>Aprovado</v>
      </c>
      <c r="P302" s="46">
        <f>IF(OR(DadosL[[#This Row],[Analise_Risco]]="Negado",DadosL[[#This Row],[Analise_Credito]]="Negado"),0,IF(DadosL[[#This Row],[status]]="Ativo",DadosL[[#This Row],[valor_solicitado]]*1.08,0))</f>
        <v>51840</v>
      </c>
    </row>
    <row r="303" spans="1:16">
      <c r="A30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03" s="1" t="str">
        <f>PROPER(TRIM(DadosBrutos[[#This Row],[nome]]))</f>
        <v>Petyr Swyft</v>
      </c>
      <c r="C303" s="1" t="str">
        <f>IF(LEN(SUBSTITUTE(SUBSTITUTE(SUBSTITUTE(DadosBrutos[[#This Row],[cpf]],".",""),"-","")," ",""))=11,DadosBrutos[[#This Row],[cpf]],"-")</f>
        <v>000.000.275-00</v>
      </c>
      <c r="D30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36</v>
      </c>
      <c r="E303" s="45">
        <f>IF(DadosBrutos[[#This Row],[data_nascimento]]="","-",DadosBrutos[[#This Row],[data_nascimento]])</f>
        <v>33117</v>
      </c>
      <c r="F303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30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303" s="37">
        <f>IF(DadosBrutos[[#This Row],[renda_mensal]]="","-",IF(ISNUMBER(DadosBrutos[[#This Row],[renda_mensal]]),DadosBrutos[[#This Row],[renda_mensal]],IFERROR(VALUE(SUBSTITUTE(DadosBrutos[[#This Row],[renda_mensal]]," moedas","")),"-")))</f>
        <v>11600</v>
      </c>
      <c r="I303" s="37">
        <f>IF(DadosBrutos[[#This Row],[credito_tomado]]="","-",IF(ISNUMBER(DadosBrutos[[#This Row],[credito_tomado]]),DadosBrutos[[#This Row],[credito_tomado]],IFERROR(VALUE(SUBSTITUTE(DadosBrutos[[#This Row],[credito_tomado]]," moedas","")),"-")))</f>
        <v>78500</v>
      </c>
      <c r="J30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03" s="1">
        <f>IF(DadosBrutos[[#This Row],[qtde_batalhas]]="","-",IF(ISNUMBER(DadosBrutos[[#This Row],[qtde_batalhas]]),DadosBrutos[[#This Row],[qtde_batalhas]],IFERROR(VALUE(SUBSTITUTE(DadosBrutos[[#This Row],[qtde_batalhas]]," batalhas","")),"-")))</f>
        <v>1</v>
      </c>
      <c r="L303" s="1" t="str">
        <f>IF(DadosL[[#This Row],[qtde_batalhas]]="-","-",IF(DadosL[[#This Row],[qtde_batalhas]]&lt;=10,"Baixo",IF(DadosL[[#This Row],[qtde_batalhas]]&lt;=25,"Médio","Alto")))</f>
        <v>Baixo</v>
      </c>
      <c r="M30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42000</v>
      </c>
      <c r="N303" s="1" t="str">
        <f>IF(AND(DadosL[[#This Row],[nivel_risco]]="Alto",DadosL[[#This Row],[flag_inadimplente]]="Sim"),"Negado","Aprovado")</f>
        <v>Aprovado</v>
      </c>
      <c r="O303" s="1" t="str">
        <f>IF(AND(ISNUMBER(DadosL[[#This Row],[credito_tomado]]),DadosL[[#This Row],[credito_tomado]]&gt;50000,DadosL[[#This Row],[flag_inadimplente]]="Sim"),"Negado","Aprovado")</f>
        <v>Aprovado</v>
      </c>
      <c r="P303" s="46">
        <f>IF(OR(DadosL[[#This Row],[Analise_Risco]]="Negado",DadosL[[#This Row],[Analise_Credito]]="Negado"),0,IF(DadosL[[#This Row],[status]]="Ativo",DadosL[[#This Row],[valor_solicitado]]*1.08,0))</f>
        <v>45360</v>
      </c>
    </row>
    <row r="304" spans="1:16">
      <c r="A30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04" s="1" t="str">
        <f>PROPER(TRIM(DadosBrutos[[#This Row],[nome]]))</f>
        <v>Jaime Bracken</v>
      </c>
      <c r="C304" s="1" t="str">
        <f>IF(LEN(SUBSTITUTE(SUBSTITUTE(SUBSTITUTE(DadosBrutos[[#This Row],[cpf]],".",""),"-","")," ",""))=11,DadosBrutos[[#This Row],[cpf]],"-")</f>
        <v>-</v>
      </c>
      <c r="D30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35</v>
      </c>
      <c r="E304" s="45">
        <f>IF(DadosBrutos[[#This Row],[data_nascimento]]="","-",DadosBrutos[[#This Row],[data_nascimento]])</f>
        <v>33417</v>
      </c>
      <c r="F304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30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304" s="37">
        <f>IF(DadosBrutos[[#This Row],[renda_mensal]]="","-",IF(ISNUMBER(DadosBrutos[[#This Row],[renda_mensal]]),DadosBrutos[[#This Row],[renda_mensal]],IFERROR(VALUE(SUBSTITUTE(DadosBrutos[[#This Row],[renda_mensal]]," moedas","")),"-")))</f>
        <v>12400</v>
      </c>
      <c r="I304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30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04" s="1">
        <f>IF(DadosBrutos[[#This Row],[qtde_batalhas]]="","-",IF(ISNUMBER(DadosBrutos[[#This Row],[qtde_batalhas]]),DadosBrutos[[#This Row],[qtde_batalhas]],IFERROR(VALUE(SUBSTITUTE(DadosBrutos[[#This Row],[qtde_batalhas]]," batalhas","")),"-")))</f>
        <v>3</v>
      </c>
      <c r="L304" s="1" t="str">
        <f>IF(DadosL[[#This Row],[qtde_batalhas]]="-","-",IF(DadosL[[#This Row],[qtde_batalhas]]&lt;=10,"Baixo",IF(DadosL[[#This Row],[qtde_batalhas]]&lt;=25,"Médio","Alto")))</f>
        <v>Baixo</v>
      </c>
      <c r="M30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83500</v>
      </c>
      <c r="N304" s="1" t="str">
        <f>IF(AND(DadosL[[#This Row],[nivel_risco]]="Alto",DadosL[[#This Row],[flag_inadimplente]]="Sim"),"Negado","Aprovado")</f>
        <v>Aprovado</v>
      </c>
      <c r="O304" s="1" t="str">
        <f>IF(AND(ISNUMBER(DadosL[[#This Row],[credito_tomado]]),DadosL[[#This Row],[credito_tomado]]&gt;50000,DadosL[[#This Row],[flag_inadimplente]]="Sim"),"Negado","Aprovado")</f>
        <v>Aprovado</v>
      </c>
      <c r="P304" s="46">
        <f>IF(OR(DadosL[[#This Row],[Analise_Risco]]="Negado",DadosL[[#This Row],[Analise_Credito]]="Negado"),0,IF(DadosL[[#This Row],[status]]="Ativo",DadosL[[#This Row],[valor_solicitado]]*1.08,0))</f>
        <v>0</v>
      </c>
    </row>
    <row r="305" spans="1:16">
      <c r="A30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05" s="1" t="str">
        <f>PROPER(TRIM(DadosBrutos[[#This Row],[nome]]))</f>
        <v>Rhaegar Mormont</v>
      </c>
      <c r="C305" s="1" t="str">
        <f>IF(LEN(SUBSTITUTE(SUBSTITUTE(SUBSTITUTE(DadosBrutos[[#This Row],[cpf]],".",""),"-","")," ",""))=11,DadosBrutos[[#This Row],[cpf]],"-")</f>
        <v>000.000.109-00</v>
      </c>
      <c r="D30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64</v>
      </c>
      <c r="E305" s="45">
        <f>IF(DadosBrutos[[#This Row],[data_nascimento]]="","-",DadosBrutos[[#This Row],[data_nascimento]])</f>
        <v>22845</v>
      </c>
      <c r="F305" s="1" t="str">
        <f>IF(ISNUMBER(SEARCH("|",DadosBrutos[[#This Row],[cidade]])),TRIM(LEFT(DadosBrutos[[#This Row],[cidade]],SEARCH("|",DadosBrutos[[#This Row],[cidade]])-1)),TRIM(DadosBrutos[[#This Row],[cidade]]))</f>
        <v>Fosso Cailin</v>
      </c>
      <c r="G30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305" s="37">
        <f>IF(DadosBrutos[[#This Row],[renda_mensal]]="","-",IF(ISNUMBER(DadosBrutos[[#This Row],[renda_mensal]]),DadosBrutos[[#This Row],[renda_mensal]],IFERROR(VALUE(SUBSTITUTE(DadosBrutos[[#This Row],[renda_mensal]]," moedas","")),"-")))</f>
        <v>12700</v>
      </c>
      <c r="I305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30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05" s="1">
        <f>IF(DadosBrutos[[#This Row],[qtde_batalhas]]="","-",IF(ISNUMBER(DadosBrutos[[#This Row],[qtde_batalhas]]),DadosBrutos[[#This Row],[qtde_batalhas]],IFERROR(VALUE(SUBSTITUTE(DadosBrutos[[#This Row],[qtde_batalhas]]," batalhas","")),"-")))</f>
        <v>21</v>
      </c>
      <c r="L305" s="1" t="str">
        <f>IF(DadosL[[#This Row],[qtde_batalhas]]="-","-",IF(DadosL[[#This Row],[qtde_batalhas]]&lt;=10,"Baixo",IF(DadosL[[#This Row],[qtde_batalhas]]&lt;=25,"Médio","Alto")))</f>
        <v>Médio</v>
      </c>
      <c r="M30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50500</v>
      </c>
      <c r="N305" s="1" t="str">
        <f>IF(AND(DadosL[[#This Row],[nivel_risco]]="Alto",DadosL[[#This Row],[flag_inadimplente]]="Sim"),"Negado","Aprovado")</f>
        <v>Aprovado</v>
      </c>
      <c r="O305" s="1" t="str">
        <f>IF(AND(ISNUMBER(DadosL[[#This Row],[credito_tomado]]),DadosL[[#This Row],[credito_tomado]]&gt;50000,DadosL[[#This Row],[flag_inadimplente]]="Sim"),"Negado","Aprovado")</f>
        <v>Aprovado</v>
      </c>
      <c r="P305" s="46">
        <f>IF(OR(DadosL[[#This Row],[Analise_Risco]]="Negado",DadosL[[#This Row],[Analise_Credito]]="Negado"),0,IF(DadosL[[#This Row],[status]]="Ativo",DadosL[[#This Row],[valor_solicitado]]*1.08,0))</f>
        <v>54540</v>
      </c>
    </row>
    <row r="306" spans="1:16">
      <c r="A30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06" s="1" t="str">
        <f>PROPER(TRIM(DadosBrutos[[#This Row],[nome]]))</f>
        <v>Jorah Florent</v>
      </c>
      <c r="C306" s="1" t="str">
        <f>IF(LEN(SUBSTITUTE(SUBSTITUTE(SUBSTITUTE(DadosBrutos[[#This Row],[cpf]],".",""),"-","")," ",""))=11,DadosBrutos[[#This Row],[cpf]],"-")</f>
        <v>000.000.204-00</v>
      </c>
      <c r="D30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49</v>
      </c>
      <c r="E306" s="45">
        <f>IF(DadosBrutos[[#This Row],[data_nascimento]]="","-",DadosBrutos[[#This Row],[data_nascimento]])</f>
        <v>28147</v>
      </c>
      <c r="F306" s="1" t="str">
        <f>IF(ISNUMBER(SEARCH("|",DadosBrutos[[#This Row],[cidade]])),TRIM(LEFT(DadosBrutos[[#This Row],[cidade]],SEARCH("|",DadosBrutos[[#This Row],[cidade]])-1)),TRIM(DadosBrutos[[#This Row],[cidade]]))</f>
        <v>Porto Real</v>
      </c>
      <c r="G30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306" s="37">
        <f>IF(DadosBrutos[[#This Row],[renda_mensal]]="","-",IF(ISNUMBER(DadosBrutos[[#This Row],[renda_mensal]]),DadosBrutos[[#This Row],[renda_mensal]],IFERROR(VALUE(SUBSTITUTE(DadosBrutos[[#This Row],[renda_mensal]]," moedas","")),"-")))</f>
        <v>28400</v>
      </c>
      <c r="I306" s="37">
        <f>IF(DadosBrutos[[#This Row],[credito_tomado]]="","-",IF(ISNUMBER(DadosBrutos[[#This Row],[credito_tomado]]),DadosBrutos[[#This Row],[credito_tomado]],IFERROR(VALUE(SUBSTITUTE(DadosBrutos[[#This Row],[credito_tomado]]," moedas","")),"-")))</f>
        <v>38500</v>
      </c>
      <c r="J30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06" s="1">
        <f>IF(DadosBrutos[[#This Row],[qtde_batalhas]]="","-",IF(ISNUMBER(DadosBrutos[[#This Row],[qtde_batalhas]]),DadosBrutos[[#This Row],[qtde_batalhas]],IFERROR(VALUE(SUBSTITUTE(DadosBrutos[[#This Row],[qtde_batalhas]]," batalhas","")),"-")))</f>
        <v>26</v>
      </c>
      <c r="L306" s="1" t="str">
        <f>IF(DadosL[[#This Row],[qtde_batalhas]]="-","-",IF(DadosL[[#This Row],[qtde_batalhas]]&lt;=10,"Baixo",IF(DadosL[[#This Row],[qtde_batalhas]]&lt;=25,"Médio","Alto")))</f>
        <v>Alto</v>
      </c>
      <c r="M30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51000</v>
      </c>
      <c r="N306" s="1" t="str">
        <f>IF(AND(DadosL[[#This Row],[nivel_risco]]="Alto",DadosL[[#This Row],[flag_inadimplente]]="Sim"),"Negado","Aprovado")</f>
        <v>Aprovado</v>
      </c>
      <c r="O306" s="1" t="str">
        <f>IF(AND(ISNUMBER(DadosL[[#This Row],[credito_tomado]]),DadosL[[#This Row],[credito_tomado]]&gt;50000,DadosL[[#This Row],[flag_inadimplente]]="Sim"),"Negado","Aprovado")</f>
        <v>Aprovado</v>
      </c>
      <c r="P306" s="46">
        <f>IF(OR(DadosL[[#This Row],[Analise_Risco]]="Negado",DadosL[[#This Row],[Analise_Credito]]="Negado"),0,IF(DadosL[[#This Row],[status]]="Ativo",DadosL[[#This Row],[valor_solicitado]]*1.08,0))</f>
        <v>55080</v>
      </c>
    </row>
    <row r="307" spans="1:16">
      <c r="A30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07" s="1" t="str">
        <f>PROPER(TRIM(DadosBrutos[[#This Row],[nome]]))</f>
        <v>Asha Blackwood</v>
      </c>
      <c r="C307" s="1" t="str">
        <f>IF(LEN(SUBSTITUTE(SUBSTITUTE(SUBSTITUTE(DadosBrutos[[#This Row],[cpf]],".",""),"-","")," ",""))=11,DadosBrutos[[#This Row],[cpf]],"-")</f>
        <v>000.000.085-00</v>
      </c>
      <c r="D30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50</v>
      </c>
      <c r="E307" s="45">
        <f>IF(DadosBrutos[[#This Row],[data_nascimento]]="","-",DadosBrutos[[#This Row],[data_nascimento]])</f>
        <v>27886</v>
      </c>
      <c r="F307" s="1" t="str">
        <f>IF(ISNUMBER(SEARCH("|",DadosBrutos[[#This Row],[cidade]])),TRIM(LEFT(DadosBrutos[[#This Row],[cidade]],SEARCH("|",DadosBrutos[[#This Row],[cidade]])-1)),TRIM(DadosBrutos[[#This Row],[cidade]]))</f>
        <v>Dorne</v>
      </c>
      <c r="G30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307" s="37">
        <f>IF(DadosBrutos[[#This Row],[renda_mensal]]="","-",IF(ISNUMBER(DadosBrutos[[#This Row],[renda_mensal]]),DadosBrutos[[#This Row],[renda_mensal]],IFERROR(VALUE(SUBSTITUTE(DadosBrutos[[#This Row],[renda_mensal]]," moedas","")),"-")))</f>
        <v>16100</v>
      </c>
      <c r="I307" s="37">
        <f>IF(DadosBrutos[[#This Row],[credito_tomado]]="","-",IF(ISNUMBER(DadosBrutos[[#This Row],[credito_tomado]]),DadosBrutos[[#This Row],[credito_tomado]],IFERROR(VALUE(SUBSTITUTE(DadosBrutos[[#This Row],[credito_tomado]]," moedas","")),"-")))</f>
        <v>8000</v>
      </c>
      <c r="J30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07" s="1">
        <f>IF(DadosBrutos[[#This Row],[qtde_batalhas]]="","-",IF(ISNUMBER(DadosBrutos[[#This Row],[qtde_batalhas]]),DadosBrutos[[#This Row],[qtde_batalhas]],IFERROR(VALUE(SUBSTITUTE(DadosBrutos[[#This Row],[qtde_batalhas]]," batalhas","")),"-")))</f>
        <v>30</v>
      </c>
      <c r="L307" s="1" t="str">
        <f>IF(DadosL[[#This Row],[qtde_batalhas]]="-","-",IF(DadosL[[#This Row],[qtde_batalhas]]&lt;=10,"Baixo",IF(DadosL[[#This Row],[qtde_batalhas]]&lt;=25,"Médio","Alto")))</f>
        <v>Alto</v>
      </c>
      <c r="M30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27000</v>
      </c>
      <c r="N307" s="1" t="str">
        <f>IF(AND(DadosL[[#This Row],[nivel_risco]]="Alto",DadosL[[#This Row],[flag_inadimplente]]="Sim"),"Negado","Aprovado")</f>
        <v>Negado</v>
      </c>
      <c r="O307" s="1" t="str">
        <f>IF(AND(ISNUMBER(DadosL[[#This Row],[credito_tomado]]),DadosL[[#This Row],[credito_tomado]]&gt;50000,DadosL[[#This Row],[flag_inadimplente]]="Sim"),"Negado","Aprovado")</f>
        <v>Aprovado</v>
      </c>
      <c r="P307" s="46">
        <f>IF(OR(DadosL[[#This Row],[Analise_Risco]]="Negado",DadosL[[#This Row],[Analise_Credito]]="Negado"),0,IF(DadosL[[#This Row],[status]]="Ativo",DadosL[[#This Row],[valor_solicitado]]*1.08,0))</f>
        <v>0</v>
      </c>
    </row>
    <row r="308" spans="1:16">
      <c r="A30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-</v>
      </c>
      <c r="B308" s="1" t="str">
        <f>PROPER(TRIM(DadosBrutos[[#This Row],[nome]]))</f>
        <v>Gilly Swyft</v>
      </c>
      <c r="C308" s="1" t="str">
        <f>IF(LEN(SUBSTITUTE(SUBSTITUTE(SUBSTITUTE(DadosBrutos[[#This Row],[cpf]],".",""),"-","")," ",""))=11,DadosBrutos[[#This Row],[cpf]],"-")</f>
        <v>000.000.261-00</v>
      </c>
      <c r="D30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36</v>
      </c>
      <c r="E308" s="45">
        <f>IF(DadosBrutos[[#This Row],[data_nascimento]]="","-",DadosBrutos[[#This Row],[data_nascimento]])</f>
        <v>33188</v>
      </c>
      <c r="F308" s="1" t="str">
        <f>IF(ISNUMBER(SEARCH("|",DadosBrutos[[#This Row],[cidade]])),TRIM(LEFT(DadosBrutos[[#This Row],[cidade]],SEARCH("|",DadosBrutos[[#This Row],[cidade]])-1)),TRIM(DadosBrutos[[#This Row],[cidade]]))</f>
        <v>Braavos</v>
      </c>
      <c r="G30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308" s="37">
        <f>IF(DadosBrutos[[#This Row],[renda_mensal]]="","-",IF(ISNUMBER(DadosBrutos[[#This Row],[renda_mensal]]),DadosBrutos[[#This Row],[renda_mensal]],IFERROR(VALUE(SUBSTITUTE(DadosBrutos[[#This Row],[renda_mensal]]," moedas","")),"-")))</f>
        <v>29900</v>
      </c>
      <c r="I308" s="37">
        <f>IF(DadosBrutos[[#This Row],[credito_tomado]]="","-",IF(ISNUMBER(DadosBrutos[[#This Row],[credito_tomado]]),DadosBrutos[[#This Row],[credito_tomado]],IFERROR(VALUE(SUBSTITUTE(DadosBrutos[[#This Row],[credito_tomado]]," moedas","")),"-")))</f>
        <v>64500</v>
      </c>
      <c r="J30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08" s="1">
        <f>IF(DadosBrutos[[#This Row],[qtde_batalhas]]="","-",IF(ISNUMBER(DadosBrutos[[#This Row],[qtde_batalhas]]),DadosBrutos[[#This Row],[qtde_batalhas]],IFERROR(VALUE(SUBSTITUTE(DadosBrutos[[#This Row],[qtde_batalhas]]," batalhas","")),"-")))</f>
        <v>34</v>
      </c>
      <c r="L308" s="1" t="str">
        <f>IF(DadosL[[#This Row],[qtde_batalhas]]="-","-",IF(DadosL[[#This Row],[qtde_batalhas]]&lt;=10,"Baixo",IF(DadosL[[#This Row],[qtde_batalhas]]&lt;=25,"Médio","Alto")))</f>
        <v>Alto</v>
      </c>
      <c r="M30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48500</v>
      </c>
      <c r="N308" s="1" t="str">
        <f>IF(AND(DadosL[[#This Row],[nivel_risco]]="Alto",DadosL[[#This Row],[flag_inadimplente]]="Sim"),"Negado","Aprovado")</f>
        <v>Aprovado</v>
      </c>
      <c r="O308" s="1" t="str">
        <f>IF(AND(ISNUMBER(DadosL[[#This Row],[credito_tomado]]),DadosL[[#This Row],[credito_tomado]]&gt;50000,DadosL[[#This Row],[flag_inadimplente]]="Sim"),"Negado","Aprovado")</f>
        <v>Aprovado</v>
      </c>
      <c r="P308" s="46">
        <f>IF(OR(DadosL[[#This Row],[Analise_Risco]]="Negado",DadosL[[#This Row],[Analise_Credito]]="Negado"),0,IF(DadosL[[#This Row],[status]]="Ativo",DadosL[[#This Row],[valor_solicitado]]*1.08,0))</f>
        <v>0</v>
      </c>
    </row>
    <row r="309" spans="1:16">
      <c r="A30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09" s="1" t="str">
        <f>PROPER(TRIM(DadosBrutos[[#This Row],[nome]]))</f>
        <v>Bran Frey</v>
      </c>
      <c r="C309" s="1" t="str">
        <f>IF(LEN(SUBSTITUTE(SUBSTITUTE(SUBSTITUTE(DadosBrutos[[#This Row],[cpf]],".",""),"-","")," ",""))=11,DadosBrutos[[#This Row],[cpf]],"-")</f>
        <v>000.000.189-00</v>
      </c>
      <c r="D30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39</v>
      </c>
      <c r="E309" s="45">
        <f>IF(DadosBrutos[[#This Row],[data_nascimento]]="","-",DadosBrutos[[#This Row],[data_nascimento]])</f>
        <v>31968</v>
      </c>
      <c r="F309" s="1" t="str">
        <f>IF(ISNUMBER(SEARCH("|",DadosBrutos[[#This Row],[cidade]])),TRIM(LEFT(DadosBrutos[[#This Row],[cidade]],SEARCH("|",DadosBrutos[[#This Row],[cidade]])-1)),TRIM(DadosBrutos[[#This Row],[cidade]]))</f>
        <v>Ilha dos Ursos</v>
      </c>
      <c r="G30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309" s="37">
        <f>IF(DadosBrutos[[#This Row],[renda_mensal]]="","-",IF(ISNUMBER(DadosBrutos[[#This Row],[renda_mensal]]),DadosBrutos[[#This Row],[renda_mensal]],IFERROR(VALUE(SUBSTITUTE(DadosBrutos[[#This Row],[renda_mensal]]," moedas","")),"-")))</f>
        <v>8000</v>
      </c>
      <c r="I309" s="37">
        <f>IF(DadosBrutos[[#This Row],[credito_tomado]]="","-",IF(ISNUMBER(DadosBrutos[[#This Row],[credito_tomado]]),DadosBrutos[[#This Row],[credito_tomado]],IFERROR(VALUE(SUBSTITUTE(DadosBrutos[[#This Row],[credito_tomado]]," moedas","")),"-")))</f>
        <v>69000</v>
      </c>
      <c r="J30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09" s="1">
        <f>IF(DadosBrutos[[#This Row],[qtde_batalhas]]="","-",IF(ISNUMBER(DadosBrutos[[#This Row],[qtde_batalhas]]),DadosBrutos[[#This Row],[qtde_batalhas]],IFERROR(VALUE(SUBSTITUTE(DadosBrutos[[#This Row],[qtde_batalhas]]," batalhas","")),"-")))</f>
        <v>15</v>
      </c>
      <c r="L309" s="1" t="str">
        <f>IF(DadosL[[#This Row],[qtde_batalhas]]="-","-",IF(DadosL[[#This Row],[qtde_batalhas]]&lt;=10,"Baixo",IF(DadosL[[#This Row],[qtde_batalhas]]&lt;=25,"Médio","Alto")))</f>
        <v>Médio</v>
      </c>
      <c r="M30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39500</v>
      </c>
      <c r="N309" s="1" t="str">
        <f>IF(AND(DadosL[[#This Row],[nivel_risco]]="Alto",DadosL[[#This Row],[flag_inadimplente]]="Sim"),"Negado","Aprovado")</f>
        <v>Aprovado</v>
      </c>
      <c r="O309" s="1" t="str">
        <f>IF(AND(ISNUMBER(DadosL[[#This Row],[credito_tomado]]),DadosL[[#This Row],[credito_tomado]]&gt;50000,DadosL[[#This Row],[flag_inadimplente]]="Sim"),"Negado","Aprovado")</f>
        <v>Aprovado</v>
      </c>
      <c r="P309" s="46">
        <f>IF(OR(DadosL[[#This Row],[Analise_Risco]]="Negado",DadosL[[#This Row],[Analise_Credito]]="Negado"),0,IF(DadosL[[#This Row],[status]]="Ativo",DadosL[[#This Row],[valor_solicitado]]*1.08,0))</f>
        <v>42660</v>
      </c>
    </row>
    <row r="310" spans="1:16">
      <c r="A31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10" s="1" t="str">
        <f>PROPER(TRIM(DadosBrutos[[#This Row],[nome]]))</f>
        <v>Rickon Targaryen</v>
      </c>
      <c r="C310" s="1" t="str">
        <f>IF(LEN(SUBSTITUTE(SUBSTITUTE(SUBSTITUTE(DadosBrutos[[#This Row],[cpf]],".",""),"-","")," ",""))=11,DadosBrutos[[#This Row],[cpf]],"-")</f>
        <v>000.000.298-00</v>
      </c>
      <c r="D31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19</v>
      </c>
      <c r="E310" s="45">
        <f>IF(DadosBrutos[[#This Row],[data_nascimento]]="","-",DadosBrutos[[#This Row],[data_nascimento]])</f>
        <v>39003</v>
      </c>
      <c r="F310" s="1" t="str">
        <f>IF(ISNUMBER(SEARCH("|",DadosBrutos[[#This Row],[cidade]])),TRIM(LEFT(DadosBrutos[[#This Row],[cidade]],SEARCH("|",DadosBrutos[[#This Row],[cidade]])-1)),TRIM(DadosBrutos[[#This Row],[cidade]]))</f>
        <v>Ilha dos Ursos</v>
      </c>
      <c r="G31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310" s="37">
        <f>IF(DadosBrutos[[#This Row],[renda_mensal]]="","-",IF(ISNUMBER(DadosBrutos[[#This Row],[renda_mensal]]),DadosBrutos[[#This Row],[renda_mensal]],IFERROR(VALUE(SUBSTITUTE(DadosBrutos[[#This Row],[renda_mensal]]," moedas","")),"-")))</f>
        <v>4000</v>
      </c>
      <c r="I310" s="37">
        <f>IF(DadosBrutos[[#This Row],[credito_tomado]]="","-",IF(ISNUMBER(DadosBrutos[[#This Row],[credito_tomado]]),DadosBrutos[[#This Row],[credito_tomado]],IFERROR(VALUE(SUBSTITUTE(DadosBrutos[[#This Row],[credito_tomado]]," moedas","")),"-")))</f>
        <v>29500</v>
      </c>
      <c r="J31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10" s="1">
        <f>IF(DadosBrutos[[#This Row],[qtde_batalhas]]="","-",IF(ISNUMBER(DadosBrutos[[#This Row],[qtde_batalhas]]),DadosBrutos[[#This Row],[qtde_batalhas]],IFERROR(VALUE(SUBSTITUTE(DadosBrutos[[#This Row],[qtde_batalhas]]," batalhas","")),"-")))</f>
        <v>13</v>
      </c>
      <c r="L310" s="1" t="str">
        <f>IF(DadosL[[#This Row],[qtde_batalhas]]="-","-",IF(DadosL[[#This Row],[qtde_batalhas]]&lt;=10,"Baixo",IF(DadosL[[#This Row],[qtde_batalhas]]&lt;=25,"Médio","Alto")))</f>
        <v>Médio</v>
      </c>
      <c r="M31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5000</v>
      </c>
      <c r="N310" s="1" t="str">
        <f>IF(AND(DadosL[[#This Row],[nivel_risco]]="Alto",DadosL[[#This Row],[flag_inadimplente]]="Sim"),"Negado","Aprovado")</f>
        <v>Aprovado</v>
      </c>
      <c r="O310" s="1" t="str">
        <f>IF(AND(ISNUMBER(DadosL[[#This Row],[credito_tomado]]),DadosL[[#This Row],[credito_tomado]]&gt;50000,DadosL[[#This Row],[flag_inadimplente]]="Sim"),"Negado","Aprovado")</f>
        <v>Aprovado</v>
      </c>
      <c r="P310" s="46">
        <f>IF(OR(DadosL[[#This Row],[Analise_Risco]]="Negado",DadosL[[#This Row],[Analise_Credito]]="Negado"),0,IF(DadosL[[#This Row],[status]]="Ativo",DadosL[[#This Row],[valor_solicitado]]*1.08,0))</f>
        <v>5400</v>
      </c>
    </row>
    <row r="311" spans="1:16">
      <c r="A31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11" s="1" t="str">
        <f>PROPER(TRIM(DadosBrutos[[#This Row],[nome]]))</f>
        <v>Jeor Marbrand</v>
      </c>
      <c r="C311" s="1" t="str">
        <f>IF(LEN(SUBSTITUTE(SUBSTITUTE(SUBSTITUTE(DadosBrutos[[#This Row],[cpf]],".",""),"-","")," ",""))=11,DadosBrutos[[#This Row],[cpf]],"-")</f>
        <v>000.000.073-00</v>
      </c>
      <c r="D31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63</v>
      </c>
      <c r="E311" s="45">
        <f>IF(DadosBrutos[[#This Row],[data_nascimento]]="","-",DadosBrutos[[#This Row],[data_nascimento]])</f>
        <v>22924</v>
      </c>
      <c r="F311" s="1" t="str">
        <f>IF(ISNUMBER(SEARCH("|",DadosBrutos[[#This Row],[cidade]])),TRIM(LEFT(DadosBrutos[[#This Row],[cidade]],SEARCH("|",DadosBrutos[[#This Row],[cidade]])-1)),TRIM(DadosBrutos[[#This Row],[cidade]]))</f>
        <v>Braavos</v>
      </c>
      <c r="G31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311" s="37">
        <f>IF(DadosBrutos[[#This Row],[renda_mensal]]="","-",IF(ISNUMBER(DadosBrutos[[#This Row],[renda_mensal]]),DadosBrutos[[#This Row],[renda_mensal]],IFERROR(VALUE(SUBSTITUTE(DadosBrutos[[#This Row],[renda_mensal]]," moedas","")),"-")))</f>
        <v>29000</v>
      </c>
      <c r="I311" s="37">
        <f>IF(DadosBrutos[[#This Row],[credito_tomado]]="","-",IF(ISNUMBER(DadosBrutos[[#This Row],[credito_tomado]]),DadosBrutos[[#This Row],[credito_tomado]],IFERROR(VALUE(SUBSTITUTE(DadosBrutos[[#This Row],[credito_tomado]]," moedas","")),"-")))</f>
        <v>36500</v>
      </c>
      <c r="J31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11" s="1">
        <f>IF(DadosBrutos[[#This Row],[qtde_batalhas]]="","-",IF(ISNUMBER(DadosBrutos[[#This Row],[qtde_batalhas]]),DadosBrutos[[#This Row],[qtde_batalhas]],IFERROR(VALUE(SUBSTITUTE(DadosBrutos[[#This Row],[qtde_batalhas]]," batalhas","")),"-")))</f>
        <v>38</v>
      </c>
      <c r="L311" s="1" t="str">
        <f>IF(DadosL[[#This Row],[qtde_batalhas]]="-","-",IF(DadosL[[#This Row],[qtde_batalhas]]&lt;=10,"Baixo",IF(DadosL[[#This Row],[qtde_batalhas]]&lt;=25,"Médio","Alto")))</f>
        <v>Alto</v>
      </c>
      <c r="M31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68000</v>
      </c>
      <c r="N311" s="1" t="str">
        <f>IF(AND(DadosL[[#This Row],[nivel_risco]]="Alto",DadosL[[#This Row],[flag_inadimplente]]="Sim"),"Negado","Aprovado")</f>
        <v>Aprovado</v>
      </c>
      <c r="O311" s="1" t="str">
        <f>IF(AND(ISNUMBER(DadosL[[#This Row],[credito_tomado]]),DadosL[[#This Row],[credito_tomado]]&gt;50000,DadosL[[#This Row],[flag_inadimplente]]="Sim"),"Negado","Aprovado")</f>
        <v>Aprovado</v>
      </c>
      <c r="P311" s="46">
        <f>IF(OR(DadosL[[#This Row],[Analise_Risco]]="Negado",DadosL[[#This Row],[Analise_Credito]]="Negado"),0,IF(DadosL[[#This Row],[status]]="Ativo",DadosL[[#This Row],[valor_solicitado]]*1.08,0))</f>
        <v>0</v>
      </c>
    </row>
    <row r="312" spans="1:16">
      <c r="A31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12" s="1" t="str">
        <f>PROPER(TRIM(DadosBrutos[[#This Row],[nome]]))</f>
        <v>Lyanna Westerling</v>
      </c>
      <c r="C312" s="1" t="str">
        <f>IF(LEN(SUBSTITUTE(SUBSTITUTE(SUBSTITUTE(DadosBrutos[[#This Row],[cpf]],".",""),"-","")," ",""))=11,DadosBrutos[[#This Row],[cpf]],"-")</f>
        <v>-</v>
      </c>
      <c r="D31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44</v>
      </c>
      <c r="E312" s="45">
        <f>IF(DadosBrutos[[#This Row],[data_nascimento]]="","-",DadosBrutos[[#This Row],[data_nascimento]])</f>
        <v>29991</v>
      </c>
      <c r="F312" s="1" t="str">
        <f>IF(ISNUMBER(SEARCH("|",DadosBrutos[[#This Row],[cidade]])),TRIM(LEFT(DadosBrutos[[#This Row],[cidade]],SEARCH("|",DadosBrutos[[#This Row],[cidade]])-1)),TRIM(DadosBrutos[[#This Row],[cidade]]))</f>
        <v>Porto Real</v>
      </c>
      <c r="G31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312" s="37">
        <f>IF(DadosBrutos[[#This Row],[renda_mensal]]="","-",IF(ISNUMBER(DadosBrutos[[#This Row],[renda_mensal]]),DadosBrutos[[#This Row],[renda_mensal]],IFERROR(VALUE(SUBSTITUTE(DadosBrutos[[#This Row],[renda_mensal]]," moedas","")),"-")))</f>
        <v>6700</v>
      </c>
      <c r="I312" s="37">
        <f>IF(DadosBrutos[[#This Row],[credito_tomado]]="","-",IF(ISNUMBER(DadosBrutos[[#This Row],[credito_tomado]]),DadosBrutos[[#This Row],[credito_tomado]],IFERROR(VALUE(SUBSTITUTE(DadosBrutos[[#This Row],[credito_tomado]]," moedas","")),"-")))</f>
        <v>16500</v>
      </c>
      <c r="J31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12" s="1">
        <f>IF(DadosBrutos[[#This Row],[qtde_batalhas]]="","-",IF(ISNUMBER(DadosBrutos[[#This Row],[qtde_batalhas]]),DadosBrutos[[#This Row],[qtde_batalhas]],IFERROR(VALUE(SUBSTITUTE(DadosBrutos[[#This Row],[qtde_batalhas]]," batalhas","")),"-")))</f>
        <v>38</v>
      </c>
      <c r="L312" s="1" t="str">
        <f>IF(DadosL[[#This Row],[qtde_batalhas]]="-","-",IF(DadosL[[#This Row],[qtde_batalhas]]&lt;=10,"Baixo",IF(DadosL[[#This Row],[qtde_batalhas]]&lt;=25,"Médio","Alto")))</f>
        <v>Alto</v>
      </c>
      <c r="M31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15500</v>
      </c>
      <c r="N312" s="1" t="str">
        <f>IF(AND(DadosL[[#This Row],[nivel_risco]]="Alto",DadosL[[#This Row],[flag_inadimplente]]="Sim"),"Negado","Aprovado")</f>
        <v>Negado</v>
      </c>
      <c r="O312" s="1" t="str">
        <f>IF(AND(ISNUMBER(DadosL[[#This Row],[credito_tomado]]),DadosL[[#This Row],[credito_tomado]]&gt;50000,DadosL[[#This Row],[flag_inadimplente]]="Sim"),"Negado","Aprovado")</f>
        <v>Aprovado</v>
      </c>
      <c r="P312" s="46">
        <f>IF(OR(DadosL[[#This Row],[Analise_Risco]]="Negado",DadosL[[#This Row],[Analise_Credito]]="Negado"),0,IF(DadosL[[#This Row],[status]]="Ativo",DadosL[[#This Row],[valor_solicitado]]*1.08,0))</f>
        <v>0</v>
      </c>
    </row>
    <row r="313" spans="1:16">
      <c r="A31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13" s="1" t="str">
        <f>PROPER(TRIM(DadosBrutos[[#This Row],[nome]]))</f>
        <v>Jon Tarth</v>
      </c>
      <c r="C313" s="1" t="str">
        <f>IF(LEN(SUBSTITUTE(SUBSTITUTE(SUBSTITUTE(DadosBrutos[[#This Row],[cpf]],".",""),"-","")," ",""))=11,DadosBrutos[[#This Row],[cpf]],"-")</f>
        <v>000.000.004-00</v>
      </c>
      <c r="D31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26</v>
      </c>
      <c r="E313" s="45">
        <f>IF(DadosBrutos[[#This Row],[data_nascimento]]="","-",DadosBrutos[[#This Row],[data_nascimento]])</f>
        <v>36671</v>
      </c>
      <c r="F313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31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313" s="37">
        <f>IF(DadosBrutos[[#This Row],[renda_mensal]]="","-",IF(ISNUMBER(DadosBrutos[[#This Row],[renda_mensal]]),DadosBrutos[[#This Row],[renda_mensal]],IFERROR(VALUE(SUBSTITUTE(DadosBrutos[[#This Row],[renda_mensal]]," moedas","")),"-")))</f>
        <v>25000</v>
      </c>
      <c r="I313" s="37">
        <f>IF(DadosBrutos[[#This Row],[credito_tomado]]="","-",IF(ISNUMBER(DadosBrutos[[#This Row],[credito_tomado]]),DadosBrutos[[#This Row],[credito_tomado]],IFERROR(VALUE(SUBSTITUTE(DadosBrutos[[#This Row],[credito_tomado]]," moedas","")),"-")))</f>
        <v>1000</v>
      </c>
      <c r="J31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13" s="1">
        <f>IF(DadosBrutos[[#This Row],[qtde_batalhas]]="","-",IF(ISNUMBER(DadosBrutos[[#This Row],[qtde_batalhas]]),DadosBrutos[[#This Row],[qtde_batalhas]],IFERROR(VALUE(SUBSTITUTE(DadosBrutos[[#This Row],[qtde_batalhas]]," batalhas","")),"-")))</f>
        <v>16</v>
      </c>
      <c r="L313" s="1" t="str">
        <f>IF(DadosL[[#This Row],[qtde_batalhas]]="-","-",IF(DadosL[[#This Row],[qtde_batalhas]]&lt;=10,"Baixo",IF(DadosL[[#This Row],[qtde_batalhas]]&lt;=25,"Médio","Alto")))</f>
        <v>Médio</v>
      </c>
      <c r="M31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10500</v>
      </c>
      <c r="N313" s="1" t="str">
        <f>IF(AND(DadosL[[#This Row],[nivel_risco]]="Alto",DadosL[[#This Row],[flag_inadimplente]]="Sim"),"Negado","Aprovado")</f>
        <v>Aprovado</v>
      </c>
      <c r="O313" s="1" t="str">
        <f>IF(AND(ISNUMBER(DadosL[[#This Row],[credito_tomado]]),DadosL[[#This Row],[credito_tomado]]&gt;50000,DadosL[[#This Row],[flag_inadimplente]]="Sim"),"Negado","Aprovado")</f>
        <v>Aprovado</v>
      </c>
      <c r="P313" s="46">
        <f>IF(OR(DadosL[[#This Row],[Analise_Risco]]="Negado",DadosL[[#This Row],[Analise_Credito]]="Negado"),0,IF(DadosL[[#This Row],[status]]="Ativo",DadosL[[#This Row],[valor_solicitado]]*1.08,0))</f>
        <v>11340</v>
      </c>
    </row>
    <row r="314" spans="1:16">
      <c r="A31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14" s="1" t="str">
        <f>PROPER(TRIM(DadosBrutos[[#This Row],[nome]]))</f>
        <v>Renly Stark</v>
      </c>
      <c r="C314" s="1" t="str">
        <f>IF(LEN(SUBSTITUTE(SUBSTITUTE(SUBSTITUTE(DadosBrutos[[#This Row],[cpf]],".",""),"-","")," ",""))=11,DadosBrutos[[#This Row],[cpf]],"-")</f>
        <v>-</v>
      </c>
      <c r="D31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44</v>
      </c>
      <c r="E314" s="45">
        <f>IF(DadosBrutos[[#This Row],[data_nascimento]]="","-",DadosBrutos[[#This Row],[data_nascimento]])</f>
        <v>30081</v>
      </c>
      <c r="F314" s="1" t="str">
        <f>IF(ISNUMBER(SEARCH("|",DadosBrutos[[#This Row],[cidade]])),TRIM(LEFT(DadosBrutos[[#This Row],[cidade]],SEARCH("|",DadosBrutos[[#This Row],[cidade]])-1)),TRIM(DadosBrutos[[#This Row],[cidade]]))</f>
        <v>Braavos</v>
      </c>
      <c r="G31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314" s="37">
        <f>IF(DadosBrutos[[#This Row],[renda_mensal]]="","-",IF(ISNUMBER(DadosBrutos[[#This Row],[renda_mensal]]),DadosBrutos[[#This Row],[renda_mensal]],IFERROR(VALUE(SUBSTITUTE(DadosBrutos[[#This Row],[renda_mensal]]," moedas","")),"-")))</f>
        <v>9600</v>
      </c>
      <c r="I314" s="37">
        <f>IF(DadosBrutos[[#This Row],[credito_tomado]]="","-",IF(ISNUMBER(DadosBrutos[[#This Row],[credito_tomado]]),DadosBrutos[[#This Row],[credito_tomado]],IFERROR(VALUE(SUBSTITUTE(DadosBrutos[[#This Row],[credito_tomado]]," moedas","")),"-")))</f>
        <v>66000</v>
      </c>
      <c r="J31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-</v>
      </c>
      <c r="K314" s="1">
        <f>IF(DadosBrutos[[#This Row],[qtde_batalhas]]="","-",IF(ISNUMBER(DadosBrutos[[#This Row],[qtde_batalhas]]),DadosBrutos[[#This Row],[qtde_batalhas]],IFERROR(VALUE(SUBSTITUTE(DadosBrutos[[#This Row],[qtde_batalhas]]," batalhas","")),"-")))</f>
        <v>11</v>
      </c>
      <c r="L314" s="1" t="str">
        <f>IF(DadosL[[#This Row],[qtde_batalhas]]="-","-",IF(DadosL[[#This Row],[qtde_batalhas]]&lt;=10,"Baixo",IF(DadosL[[#This Row],[qtde_batalhas]]&lt;=25,"Médio","Alto")))</f>
        <v>Médio</v>
      </c>
      <c r="M31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4500</v>
      </c>
      <c r="N314" s="1" t="str">
        <f>IF(AND(DadosL[[#This Row],[nivel_risco]]="Alto",DadosL[[#This Row],[flag_inadimplente]]="Sim"),"Negado","Aprovado")</f>
        <v>Aprovado</v>
      </c>
      <c r="O314" s="1" t="str">
        <f>IF(AND(ISNUMBER(DadosL[[#This Row],[credito_tomado]]),DadosL[[#This Row],[credito_tomado]]&gt;50000,DadosL[[#This Row],[flag_inadimplente]]="Sim"),"Negado","Aprovado")</f>
        <v>Aprovado</v>
      </c>
      <c r="P314" s="46">
        <f>IF(OR(DadosL[[#This Row],[Analise_Risco]]="Negado",DadosL[[#This Row],[Analise_Credito]]="Negado"),0,IF(DadosL[[#This Row],[status]]="Ativo",DadosL[[#This Row],[valor_solicitado]]*1.08,0))</f>
        <v>4860</v>
      </c>
    </row>
    <row r="315" spans="1:16">
      <c r="A31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15" s="1" t="str">
        <f>PROPER(TRIM(DadosBrutos[[#This Row],[nome]]))</f>
        <v>Olenna Hornwood</v>
      </c>
      <c r="C315" s="1" t="str">
        <f>IF(LEN(SUBSTITUTE(SUBSTITUTE(SUBSTITUTE(DadosBrutos[[#This Row],[cpf]],".",""),"-","")," ",""))=11,DadosBrutos[[#This Row],[cpf]],"-")</f>
        <v>-</v>
      </c>
      <c r="D315" s="15" t="str">
        <f ca="1">IF(DadosBrutos[[#This Row],[idade]]="",IF(DadosBrutos[[#This Row],[data_nascimento]]="","-",YEAR(TODAY())-YEAR(DadosBrutos[[#This Row],[data_nascimento]])),IF(ISNUMBER(DadosBrutos[[#This Row],[idade]]),DadosBrutos[[#This Row],[idade]],"-"))</f>
        <v>-</v>
      </c>
      <c r="E315" s="45" t="str">
        <f>IF(DadosBrutos[[#This Row],[data_nascimento]]="","-",DadosBrutos[[#This Row],[data_nascimento]])</f>
        <v>-</v>
      </c>
      <c r="F315" s="1" t="str">
        <f>IF(ISNUMBER(SEARCH("|",DadosBrutos[[#This Row],[cidade]])),TRIM(LEFT(DadosBrutos[[#This Row],[cidade]],SEARCH("|",DadosBrutos[[#This Row],[cidade]])-1)),TRIM(DadosBrutos[[#This Row],[cidade]]))</f>
        <v>Castelo Negro</v>
      </c>
      <c r="G31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315" s="37">
        <f>IF(DadosBrutos[[#This Row],[renda_mensal]]="","-",IF(ISNUMBER(DadosBrutos[[#This Row],[renda_mensal]]),DadosBrutos[[#This Row],[renda_mensal]],IFERROR(VALUE(SUBSTITUTE(DadosBrutos[[#This Row],[renda_mensal]]," moedas","")),"-")))</f>
        <v>21300</v>
      </c>
      <c r="I315" s="37">
        <f>IF(DadosBrutos[[#This Row],[credito_tomado]]="","-",IF(ISNUMBER(DadosBrutos[[#This Row],[credito_tomado]]),DadosBrutos[[#This Row],[credito_tomado]],IFERROR(VALUE(SUBSTITUTE(DadosBrutos[[#This Row],[credito_tomado]]," moedas","")),"-")))</f>
        <v>60500</v>
      </c>
      <c r="J31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-</v>
      </c>
      <c r="K315" s="1">
        <f>IF(DadosBrutos[[#This Row],[qtde_batalhas]]="","-",IF(ISNUMBER(DadosBrutos[[#This Row],[qtde_batalhas]]),DadosBrutos[[#This Row],[qtde_batalhas]],IFERROR(VALUE(SUBSTITUTE(DadosBrutos[[#This Row],[qtde_batalhas]]," batalhas","")),"-")))</f>
        <v>15</v>
      </c>
      <c r="L315" s="1" t="str">
        <f>IF(DadosL[[#This Row],[qtde_batalhas]]="-","-",IF(DadosL[[#This Row],[qtde_batalhas]]&lt;=10,"Baixo",IF(DadosL[[#This Row],[qtde_batalhas]]&lt;=25,"Médio","Alto")))</f>
        <v>Médio</v>
      </c>
      <c r="M31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74500</v>
      </c>
      <c r="N315" s="1" t="str">
        <f>IF(AND(DadosL[[#This Row],[nivel_risco]]="Alto",DadosL[[#This Row],[flag_inadimplente]]="Sim"),"Negado","Aprovado")</f>
        <v>Aprovado</v>
      </c>
      <c r="O315" s="1" t="str">
        <f>IF(AND(ISNUMBER(DadosL[[#This Row],[credito_tomado]]),DadosL[[#This Row],[credito_tomado]]&gt;50000,DadosL[[#This Row],[flag_inadimplente]]="Sim"),"Negado","Aprovado")</f>
        <v>Aprovado</v>
      </c>
      <c r="P315" s="46">
        <f>IF(OR(DadosL[[#This Row],[Analise_Risco]]="Negado",DadosL[[#This Row],[Analise_Credito]]="Negado"),0,IF(DadosL[[#This Row],[status]]="Ativo",DadosL[[#This Row],[valor_solicitado]]*1.08,0))</f>
        <v>80460</v>
      </c>
    </row>
    <row r="316" spans="1:16">
      <c r="A31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16" s="1" t="str">
        <f>PROPER(TRIM(DadosBrutos[[#This Row],[nome]]))</f>
        <v>Aegon Blackwood</v>
      </c>
      <c r="C316" s="1" t="str">
        <f>IF(LEN(SUBSTITUTE(SUBSTITUTE(SUBSTITUTE(DadosBrutos[[#This Row],[cpf]],".",""),"-","")," ",""))=11,DadosBrutos[[#This Row],[cpf]],"-")</f>
        <v>000.000.118-00</v>
      </c>
      <c r="D31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69</v>
      </c>
      <c r="E316" s="45">
        <f>IF(DadosBrutos[[#This Row],[data_nascimento]]="","-",DadosBrutos[[#This Row],[data_nascimento]])</f>
        <v>21054</v>
      </c>
      <c r="F316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31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316" s="37">
        <f>IF(DadosBrutos[[#This Row],[renda_mensal]]="","-",IF(ISNUMBER(DadosBrutos[[#This Row],[renda_mensal]]),DadosBrutos[[#This Row],[renda_mensal]],IFERROR(VALUE(SUBSTITUTE(DadosBrutos[[#This Row],[renda_mensal]]," moedas","")),"-")))</f>
        <v>23800</v>
      </c>
      <c r="I316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31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-</v>
      </c>
      <c r="K316" s="1">
        <f>IF(DadosBrutos[[#This Row],[qtde_batalhas]]="","-",IF(ISNUMBER(DadosBrutos[[#This Row],[qtde_batalhas]]),DadosBrutos[[#This Row],[qtde_batalhas]],IFERROR(VALUE(SUBSTITUTE(DadosBrutos[[#This Row],[qtde_batalhas]]," batalhas","")),"-")))</f>
        <v>26</v>
      </c>
      <c r="L316" s="1" t="str">
        <f>IF(DadosL[[#This Row],[qtde_batalhas]]="-","-",IF(DadosL[[#This Row],[qtde_batalhas]]&lt;=10,"Baixo",IF(DadosL[[#This Row],[qtde_batalhas]]&lt;=25,"Médio","Alto")))</f>
        <v>Alto</v>
      </c>
      <c r="M31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89000</v>
      </c>
      <c r="N316" s="1" t="str">
        <f>IF(AND(DadosL[[#This Row],[nivel_risco]]="Alto",DadosL[[#This Row],[flag_inadimplente]]="Sim"),"Negado","Aprovado")</f>
        <v>Aprovado</v>
      </c>
      <c r="O316" s="1" t="str">
        <f>IF(AND(ISNUMBER(DadosL[[#This Row],[credito_tomado]]),DadosL[[#This Row],[credito_tomado]]&gt;50000,DadosL[[#This Row],[flag_inadimplente]]="Sim"),"Negado","Aprovado")</f>
        <v>Aprovado</v>
      </c>
      <c r="P316" s="46">
        <f>IF(OR(DadosL[[#This Row],[Analise_Risco]]="Negado",DadosL[[#This Row],[Analise_Credito]]="Negado"),0,IF(DadosL[[#This Row],[status]]="Ativo",DadosL[[#This Row],[valor_solicitado]]*1.08,0))</f>
        <v>96120</v>
      </c>
    </row>
    <row r="317" spans="1:16">
      <c r="A31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17" s="1" t="str">
        <f>PROPER(TRIM(DadosBrutos[[#This Row],[nome]]))</f>
        <v>Brienne Glover</v>
      </c>
      <c r="C317" s="1" t="str">
        <f>IF(LEN(SUBSTITUTE(SUBSTITUTE(SUBSTITUTE(DadosBrutos[[#This Row],[cpf]],".",""),"-","")," ",""))=11,DadosBrutos[[#This Row],[cpf]],"-")</f>
        <v>000.000.355-00</v>
      </c>
      <c r="D31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67</v>
      </c>
      <c r="E317" s="45">
        <f>IF(DadosBrutos[[#This Row],[data_nascimento]]="","-",DadosBrutos[[#This Row],[data_nascimento]])</f>
        <v>21522</v>
      </c>
      <c r="F317" s="1" t="str">
        <f>IF(ISNUMBER(SEARCH("|",DadosBrutos[[#This Row],[cidade]])),TRIM(LEFT(DadosBrutos[[#This Row],[cidade]],SEARCH("|",DadosBrutos[[#This Row],[cidade]])-1)),TRIM(DadosBrutos[[#This Row],[cidade]]))</f>
        <v>Solar do Entardecer</v>
      </c>
      <c r="G31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317" s="37">
        <f>IF(DadosBrutos[[#This Row],[renda_mensal]]="","-",IF(ISNUMBER(DadosBrutos[[#This Row],[renda_mensal]]),DadosBrutos[[#This Row],[renda_mensal]],IFERROR(VALUE(SUBSTITUTE(DadosBrutos[[#This Row],[renda_mensal]]," moedas","")),"-")))</f>
        <v>11300</v>
      </c>
      <c r="I317" s="37">
        <f>IF(DadosBrutos[[#This Row],[credito_tomado]]="","-",IF(ISNUMBER(DadosBrutos[[#This Row],[credito_tomado]]),DadosBrutos[[#This Row],[credito_tomado]],IFERROR(VALUE(SUBSTITUTE(DadosBrutos[[#This Row],[credito_tomado]]," moedas","")),"-")))</f>
        <v>49500</v>
      </c>
      <c r="J31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17" s="1">
        <f>IF(DadosBrutos[[#This Row],[qtde_batalhas]]="","-",IF(ISNUMBER(DadosBrutos[[#This Row],[qtde_batalhas]]),DadosBrutos[[#This Row],[qtde_batalhas]],IFERROR(VALUE(SUBSTITUTE(DadosBrutos[[#This Row],[qtde_batalhas]]," batalhas","")),"-")))</f>
        <v>12</v>
      </c>
      <c r="L317" s="1" t="str">
        <f>IF(DadosL[[#This Row],[qtde_batalhas]]="-","-",IF(DadosL[[#This Row],[qtde_batalhas]]&lt;=10,"Baixo",IF(DadosL[[#This Row],[qtde_batalhas]]&lt;=25,"Médio","Alto")))</f>
        <v>Médio</v>
      </c>
      <c r="M31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34500</v>
      </c>
      <c r="N317" s="1" t="str">
        <f>IF(AND(DadosL[[#This Row],[nivel_risco]]="Alto",DadosL[[#This Row],[flag_inadimplente]]="Sim"),"Negado","Aprovado")</f>
        <v>Aprovado</v>
      </c>
      <c r="O317" s="1" t="str">
        <f>IF(AND(ISNUMBER(DadosL[[#This Row],[credito_tomado]]),DadosL[[#This Row],[credito_tomado]]&gt;50000,DadosL[[#This Row],[flag_inadimplente]]="Sim"),"Negado","Aprovado")</f>
        <v>Aprovado</v>
      </c>
      <c r="P317" s="46">
        <f>IF(OR(DadosL[[#This Row],[Analise_Risco]]="Negado",DadosL[[#This Row],[Analise_Credito]]="Negado"),0,IF(DadosL[[#This Row],[status]]="Ativo",DadosL[[#This Row],[valor_solicitado]]*1.08,0))</f>
        <v>37260</v>
      </c>
    </row>
    <row r="318" spans="1:16">
      <c r="A31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18" s="1" t="str">
        <f>PROPER(TRIM(DadosBrutos[[#This Row],[nome]]))</f>
        <v>Ellaria Cerwyn</v>
      </c>
      <c r="C318" s="1" t="str">
        <f>IF(LEN(SUBSTITUTE(SUBSTITUTE(SUBSTITUTE(DadosBrutos[[#This Row],[cpf]],".",""),"-","")," ",""))=11,DadosBrutos[[#This Row],[cpf]],"-")</f>
        <v>000.000.019-00</v>
      </c>
      <c r="D318" s="15" t="str">
        <f ca="1">IF(DadosBrutos[[#This Row],[idade]]="",IF(DadosBrutos[[#This Row],[data_nascimento]]="","-",YEAR(TODAY())-YEAR(DadosBrutos[[#This Row],[data_nascimento]])),IF(ISNUMBER(DadosBrutos[[#This Row],[idade]]),DadosBrutos[[#This Row],[idade]],"-"))</f>
        <v>-</v>
      </c>
      <c r="E318" s="45">
        <f>IF(DadosBrutos[[#This Row],[data_nascimento]]="","-",DadosBrutos[[#This Row],[data_nascimento]])</f>
        <v>27378</v>
      </c>
      <c r="F318" s="1" t="str">
        <f>IF(ISNUMBER(SEARCH("|",DadosBrutos[[#This Row],[cidade]])),TRIM(LEFT(DadosBrutos[[#This Row],[cidade]],SEARCH("|",DadosBrutos[[#This Row],[cidade]])-1)),TRIM(DadosBrutos[[#This Row],[cidade]]))</f>
        <v>Dorne</v>
      </c>
      <c r="G31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318" s="37">
        <f>IF(DadosBrutos[[#This Row],[renda_mensal]]="","-",IF(ISNUMBER(DadosBrutos[[#This Row],[renda_mensal]]),DadosBrutos[[#This Row],[renda_mensal]],IFERROR(VALUE(SUBSTITUTE(DadosBrutos[[#This Row],[renda_mensal]]," moedas","")),"-")))</f>
        <v>11600</v>
      </c>
      <c r="I318" s="37">
        <f>IF(DadosBrutos[[#This Row],[credito_tomado]]="","-",IF(ISNUMBER(DadosBrutos[[#This Row],[credito_tomado]]),DadosBrutos[[#This Row],[credito_tomado]],IFERROR(VALUE(SUBSTITUTE(DadosBrutos[[#This Row],[credito_tomado]]," moedas","")),"-")))</f>
        <v>41000</v>
      </c>
      <c r="J31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18" s="1">
        <f>IF(DadosBrutos[[#This Row],[qtde_batalhas]]="","-",IF(ISNUMBER(DadosBrutos[[#This Row],[qtde_batalhas]]),DadosBrutos[[#This Row],[qtde_batalhas]],IFERROR(VALUE(SUBSTITUTE(DadosBrutos[[#This Row],[qtde_batalhas]]," batalhas","")),"-")))</f>
        <v>7</v>
      </c>
      <c r="L318" s="1" t="str">
        <f>IF(DadosL[[#This Row],[qtde_batalhas]]="-","-",IF(DadosL[[#This Row],[qtde_batalhas]]&lt;=10,"Baixo",IF(DadosL[[#This Row],[qtde_batalhas]]&lt;=25,"Médio","Alto")))</f>
        <v>Baixo</v>
      </c>
      <c r="M31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67000</v>
      </c>
      <c r="N318" s="1" t="str">
        <f>IF(AND(DadosL[[#This Row],[nivel_risco]]="Alto",DadosL[[#This Row],[flag_inadimplente]]="Sim"),"Negado","Aprovado")</f>
        <v>Aprovado</v>
      </c>
      <c r="O318" s="1" t="str">
        <f>IF(AND(ISNUMBER(DadosL[[#This Row],[credito_tomado]]),DadosL[[#This Row],[credito_tomado]]&gt;50000,DadosL[[#This Row],[flag_inadimplente]]="Sim"),"Negado","Aprovado")</f>
        <v>Aprovado</v>
      </c>
      <c r="P318" s="46">
        <f>IF(OR(DadosL[[#This Row],[Analise_Risco]]="Negado",DadosL[[#This Row],[Analise_Credito]]="Negado"),0,IF(DadosL[[#This Row],[status]]="Ativo",DadosL[[#This Row],[valor_solicitado]]*1.08,0))</f>
        <v>72360</v>
      </c>
    </row>
    <row r="319" spans="1:16">
      <c r="A31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19" s="1" t="str">
        <f>PROPER(TRIM(DadosBrutos[[#This Row],[nome]]))</f>
        <v>Loras Lannister</v>
      </c>
      <c r="C319" s="1" t="str">
        <f>IF(LEN(SUBSTITUTE(SUBSTITUTE(SUBSTITUTE(DadosBrutos[[#This Row],[cpf]],".",""),"-","")," ",""))=11,DadosBrutos[[#This Row],[cpf]],"-")</f>
        <v>000.000.302-00</v>
      </c>
      <c r="D31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49</v>
      </c>
      <c r="E319" s="45">
        <f>IF(DadosBrutos[[#This Row],[data_nascimento]]="","-",DadosBrutos[[#This Row],[data_nascimento]])</f>
        <v>28067</v>
      </c>
      <c r="F319" s="1" t="str">
        <f>IF(ISNUMBER(SEARCH("|",DadosBrutos[[#This Row],[cidade]])),TRIM(LEFT(DadosBrutos[[#This Row],[cidade]],SEARCH("|",DadosBrutos[[#This Row],[cidade]])-1)),TRIM(DadosBrutos[[#This Row],[cidade]]))</f>
        <v>Pyke</v>
      </c>
      <c r="G31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319" s="37">
        <f>IF(DadosBrutos[[#This Row],[renda_mensal]]="","-",IF(ISNUMBER(DadosBrutos[[#This Row],[renda_mensal]]),DadosBrutos[[#This Row],[renda_mensal]],IFERROR(VALUE(SUBSTITUTE(DadosBrutos[[#This Row],[renda_mensal]]," moedas","")),"-")))</f>
        <v>29800</v>
      </c>
      <c r="I319" s="37">
        <f>IF(DadosBrutos[[#This Row],[credito_tomado]]="","-",IF(ISNUMBER(DadosBrutos[[#This Row],[credito_tomado]]),DadosBrutos[[#This Row],[credito_tomado]],IFERROR(VALUE(SUBSTITUTE(DadosBrutos[[#This Row],[credito_tomado]]," moedas","")),"-")))</f>
        <v>54500</v>
      </c>
      <c r="J31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19" s="1">
        <f>IF(DadosBrutos[[#This Row],[qtde_batalhas]]="","-",IF(ISNUMBER(DadosBrutos[[#This Row],[qtde_batalhas]]),DadosBrutos[[#This Row],[qtde_batalhas]],IFERROR(VALUE(SUBSTITUTE(DadosBrutos[[#This Row],[qtde_batalhas]]," batalhas","")),"-")))</f>
        <v>34</v>
      </c>
      <c r="L319" s="1" t="str">
        <f>IF(DadosL[[#This Row],[qtde_batalhas]]="-","-",IF(DadosL[[#This Row],[qtde_batalhas]]&lt;=10,"Baixo",IF(DadosL[[#This Row],[qtde_batalhas]]&lt;=25,"Médio","Alto")))</f>
        <v>Alto</v>
      </c>
      <c r="M31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72000</v>
      </c>
      <c r="N319" s="1" t="str">
        <f>IF(AND(DadosL[[#This Row],[nivel_risco]]="Alto",DadosL[[#This Row],[flag_inadimplente]]="Sim"),"Negado","Aprovado")</f>
        <v>Aprovado</v>
      </c>
      <c r="O319" s="1" t="str">
        <f>IF(AND(ISNUMBER(DadosL[[#This Row],[credito_tomado]]),DadosL[[#This Row],[credito_tomado]]&gt;50000,DadosL[[#This Row],[flag_inadimplente]]="Sim"),"Negado","Aprovado")</f>
        <v>Aprovado</v>
      </c>
      <c r="P319" s="46">
        <f>IF(OR(DadosL[[#This Row],[Analise_Risco]]="Negado",DadosL[[#This Row],[Analise_Credito]]="Negado"),0,IF(DadosL[[#This Row],[status]]="Ativo",DadosL[[#This Row],[valor_solicitado]]*1.08,0))</f>
        <v>77760</v>
      </c>
    </row>
    <row r="320" spans="1:16">
      <c r="A32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20" s="1" t="str">
        <f>PROPER(TRIM(DadosBrutos[[#This Row],[nome]]))</f>
        <v>Beric Tyrell</v>
      </c>
      <c r="C320" s="1" t="str">
        <f>IF(LEN(SUBSTITUTE(SUBSTITUTE(SUBSTITUTE(DadosBrutos[[#This Row],[cpf]],".",""),"-","")," ",""))=11,DadosBrutos[[#This Row],[cpf]],"-")</f>
        <v>000.000.103-00</v>
      </c>
      <c r="D32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20</v>
      </c>
      <c r="E320" s="45">
        <f>IF(DadosBrutos[[#This Row],[data_nascimento]]="","-",DadosBrutos[[#This Row],[data_nascimento]])</f>
        <v>38957</v>
      </c>
      <c r="F320" s="1" t="str">
        <f>IF(ISNUMBER(SEARCH("|",DadosBrutos[[#This Row],[cidade]])),TRIM(LEFT(DadosBrutos[[#This Row],[cidade]],SEARCH("|",DadosBrutos[[#This Row],[cidade]])-1)),TRIM(DadosBrutos[[#This Row],[cidade]]))</f>
        <v>Fosso Cailin</v>
      </c>
      <c r="G32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320" s="37">
        <f>IF(DadosBrutos[[#This Row],[renda_mensal]]="","-",IF(ISNUMBER(DadosBrutos[[#This Row],[renda_mensal]]),DadosBrutos[[#This Row],[renda_mensal]],IFERROR(VALUE(SUBSTITUTE(DadosBrutos[[#This Row],[renda_mensal]]," moedas","")),"-")))</f>
        <v>18200</v>
      </c>
      <c r="I320" s="37" t="str">
        <f>IF(DadosBrutos[[#This Row],[credito_tomado]]="","-",IF(ISNUMBER(DadosBrutos[[#This Row],[credito_tomado]]),DadosBrutos[[#This Row],[credito_tomado]],IFERROR(VALUE(SUBSTITUTE(DadosBrutos[[#This Row],[credito_tomado]]," moedas","")),"-")))</f>
        <v>-</v>
      </c>
      <c r="J32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20" s="1">
        <f>IF(DadosBrutos[[#This Row],[qtde_batalhas]]="","-",IF(ISNUMBER(DadosBrutos[[#This Row],[qtde_batalhas]]),DadosBrutos[[#This Row],[qtde_batalhas]],IFERROR(VALUE(SUBSTITUTE(DadosBrutos[[#This Row],[qtde_batalhas]]," batalhas","")),"-")))</f>
        <v>21</v>
      </c>
      <c r="L320" s="1" t="str">
        <f>IF(DadosL[[#This Row],[qtde_batalhas]]="-","-",IF(DadosL[[#This Row],[qtde_batalhas]]&lt;=10,"Baixo",IF(DadosL[[#This Row],[qtde_batalhas]]&lt;=25,"Médio","Alto")))</f>
        <v>Médio</v>
      </c>
      <c r="M32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61500</v>
      </c>
      <c r="N320" s="1" t="str">
        <f>IF(AND(DadosL[[#This Row],[nivel_risco]]="Alto",DadosL[[#This Row],[flag_inadimplente]]="Sim"),"Negado","Aprovado")</f>
        <v>Aprovado</v>
      </c>
      <c r="O320" s="1" t="str">
        <f>IF(AND(ISNUMBER(DadosL[[#This Row],[credito_tomado]]),DadosL[[#This Row],[credito_tomado]]&gt;50000,DadosL[[#This Row],[flag_inadimplente]]="Sim"),"Negado","Aprovado")</f>
        <v>Aprovado</v>
      </c>
      <c r="P320" s="46">
        <f>IF(OR(DadosL[[#This Row],[Analise_Risco]]="Negado",DadosL[[#This Row],[Analise_Credito]]="Negado"),0,IF(DadosL[[#This Row],[status]]="Ativo",DadosL[[#This Row],[valor_solicitado]]*1.08,0))</f>
        <v>66420</v>
      </c>
    </row>
    <row r="321" spans="1:16">
      <c r="A32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21" s="1" t="str">
        <f>PROPER(TRIM(DadosBrutos[[#This Row],[nome]]))</f>
        <v>Thoros Crakehall</v>
      </c>
      <c r="C321" s="1" t="str">
        <f>IF(LEN(SUBSTITUTE(SUBSTITUTE(SUBSTITUTE(DadosBrutos[[#This Row],[cpf]],".",""),"-","")," ",""))=11,DadosBrutos[[#This Row],[cpf]],"-")</f>
        <v>-</v>
      </c>
      <c r="D32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74</v>
      </c>
      <c r="E321" s="45">
        <f>IF(DadosBrutos[[#This Row],[data_nascimento]]="","-",DadosBrutos[[#This Row],[data_nascimento]])</f>
        <v>19131</v>
      </c>
      <c r="F321" s="1" t="str">
        <f>IF(ISNUMBER(SEARCH("|",DadosBrutos[[#This Row],[cidade]])),TRIM(LEFT(DadosBrutos[[#This Row],[cidade]],SEARCH("|",DadosBrutos[[#This Row],[cidade]])-1)),TRIM(DadosBrutos[[#This Row],[cidade]]))</f>
        <v>Porto Real</v>
      </c>
      <c r="G32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321" s="37">
        <f>IF(DadosBrutos[[#This Row],[renda_mensal]]="","-",IF(ISNUMBER(DadosBrutos[[#This Row],[renda_mensal]]),DadosBrutos[[#This Row],[renda_mensal]],IFERROR(VALUE(SUBSTITUTE(DadosBrutos[[#This Row],[renda_mensal]]," moedas","")),"-")))</f>
        <v>20700</v>
      </c>
      <c r="I321" s="37">
        <f>IF(DadosBrutos[[#This Row],[credito_tomado]]="","-",IF(ISNUMBER(DadosBrutos[[#This Row],[credito_tomado]]),DadosBrutos[[#This Row],[credito_tomado]],IFERROR(VALUE(SUBSTITUTE(DadosBrutos[[#This Row],[credito_tomado]]," moedas","")),"-")))</f>
        <v>17500</v>
      </c>
      <c r="J32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21" s="1">
        <f>IF(DadosBrutos[[#This Row],[qtde_batalhas]]="","-",IF(ISNUMBER(DadosBrutos[[#This Row],[qtde_batalhas]]),DadosBrutos[[#This Row],[qtde_batalhas]],IFERROR(VALUE(SUBSTITUTE(DadosBrutos[[#This Row],[qtde_batalhas]]," batalhas","")),"-")))</f>
        <v>35</v>
      </c>
      <c r="L321" s="1" t="str">
        <f>IF(DadosL[[#This Row],[qtde_batalhas]]="-","-",IF(DadosL[[#This Row],[qtde_batalhas]]&lt;=10,"Baixo",IF(DadosL[[#This Row],[qtde_batalhas]]&lt;=25,"Médio","Alto")))</f>
        <v>Alto</v>
      </c>
      <c r="M32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68500</v>
      </c>
      <c r="N321" s="1" t="str">
        <f>IF(AND(DadosL[[#This Row],[nivel_risco]]="Alto",DadosL[[#This Row],[flag_inadimplente]]="Sim"),"Negado","Aprovado")</f>
        <v>Aprovado</v>
      </c>
      <c r="O321" s="1" t="str">
        <f>IF(AND(ISNUMBER(DadosL[[#This Row],[credito_tomado]]),DadosL[[#This Row],[credito_tomado]]&gt;50000,DadosL[[#This Row],[flag_inadimplente]]="Sim"),"Negado","Aprovado")</f>
        <v>Aprovado</v>
      </c>
      <c r="P321" s="46">
        <f>IF(OR(DadosL[[#This Row],[Analise_Risco]]="Negado",DadosL[[#This Row],[Analise_Credito]]="Negado"),0,IF(DadosL[[#This Row],[status]]="Ativo",DadosL[[#This Row],[valor_solicitado]]*1.08,0))</f>
        <v>73980</v>
      </c>
    </row>
    <row r="322" spans="1:16">
      <c r="A32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22" s="1" t="str">
        <f>PROPER(TRIM(DadosBrutos[[#This Row],[nome]]))</f>
        <v>Yara Tallhart</v>
      </c>
      <c r="C322" s="1" t="str">
        <f>IF(LEN(SUBSTITUTE(SUBSTITUTE(SUBSTITUTE(DadosBrutos[[#This Row],[cpf]],".",""),"-","")," ",""))=11,DadosBrutos[[#This Row],[cpf]],"-")</f>
        <v>-</v>
      </c>
      <c r="D32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57</v>
      </c>
      <c r="E322" s="45">
        <f>IF(DadosBrutos[[#This Row],[data_nascimento]]="","-",DadosBrutos[[#This Row],[data_nascimento]])</f>
        <v>25206</v>
      </c>
      <c r="F322" s="1" t="str">
        <f>IF(ISNUMBER(SEARCH("|",DadosBrutos[[#This Row],[cidade]])),TRIM(LEFT(DadosBrutos[[#This Row],[cidade]],SEARCH("|",DadosBrutos[[#This Row],[cidade]])-1)),TRIM(DadosBrutos[[#This Row],[cidade]]))</f>
        <v>Correrrio</v>
      </c>
      <c r="G32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322" s="37">
        <f>IF(DadosBrutos[[#This Row],[renda_mensal]]="","-",IF(ISNUMBER(DadosBrutos[[#This Row],[renda_mensal]]),DadosBrutos[[#This Row],[renda_mensal]],IFERROR(VALUE(SUBSTITUTE(DadosBrutos[[#This Row],[renda_mensal]]," moedas","")),"-")))</f>
        <v>3400</v>
      </c>
      <c r="I322" s="37">
        <f>IF(DadosBrutos[[#This Row],[credito_tomado]]="","-",IF(ISNUMBER(DadosBrutos[[#This Row],[credito_tomado]]),DadosBrutos[[#This Row],[credito_tomado]],IFERROR(VALUE(SUBSTITUTE(DadosBrutos[[#This Row],[credito_tomado]]," moedas","")),"-")))</f>
        <v>23500</v>
      </c>
      <c r="J32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22" s="1">
        <f>IF(DadosBrutos[[#This Row],[qtde_batalhas]]="","-",IF(ISNUMBER(DadosBrutos[[#This Row],[qtde_batalhas]]),DadosBrutos[[#This Row],[qtde_batalhas]],IFERROR(VALUE(SUBSTITUTE(DadosBrutos[[#This Row],[qtde_batalhas]]," batalhas","")),"-")))</f>
        <v>20</v>
      </c>
      <c r="L322" s="1" t="str">
        <f>IF(DadosL[[#This Row],[qtde_batalhas]]="-","-",IF(DadosL[[#This Row],[qtde_batalhas]]&lt;=10,"Baixo",IF(DadosL[[#This Row],[qtde_batalhas]]&lt;=25,"Médio","Alto")))</f>
        <v>Médio</v>
      </c>
      <c r="M32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50500</v>
      </c>
      <c r="N322" s="1" t="str">
        <f>IF(AND(DadosL[[#This Row],[nivel_risco]]="Alto",DadosL[[#This Row],[flag_inadimplente]]="Sim"),"Negado","Aprovado")</f>
        <v>Aprovado</v>
      </c>
      <c r="O322" s="1" t="str">
        <f>IF(AND(ISNUMBER(DadosL[[#This Row],[credito_tomado]]),DadosL[[#This Row],[credito_tomado]]&gt;50000,DadosL[[#This Row],[flag_inadimplente]]="Sim"),"Negado","Aprovado")</f>
        <v>Aprovado</v>
      </c>
      <c r="P322" s="46">
        <f>IF(OR(DadosL[[#This Row],[Analise_Risco]]="Negado",DadosL[[#This Row],[Analise_Credito]]="Negado"),0,IF(DadosL[[#This Row],[status]]="Ativo",DadosL[[#This Row],[valor_solicitado]]*1.08,0))</f>
        <v>0</v>
      </c>
    </row>
    <row r="323" spans="1:16">
      <c r="A32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23" s="1" t="str">
        <f>PROPER(TRIM(DadosBrutos[[#This Row],[nome]]))</f>
        <v>Missandei Florent</v>
      </c>
      <c r="C323" s="1" t="str">
        <f>IF(LEN(SUBSTITUTE(SUBSTITUTE(SUBSTITUTE(DadosBrutos[[#This Row],[cpf]],".",""),"-","")," ",""))=11,DadosBrutos[[#This Row],[cpf]],"-")</f>
        <v>000.000.282-00</v>
      </c>
      <c r="D32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56</v>
      </c>
      <c r="E323" s="45">
        <f>IF(DadosBrutos[[#This Row],[data_nascimento]]="","-",DadosBrutos[[#This Row],[data_nascimento]])</f>
        <v>25671</v>
      </c>
      <c r="F323" s="1" t="str">
        <f>IF(ISNUMBER(SEARCH("|",DadosBrutos[[#This Row],[cidade]])),TRIM(LEFT(DadosBrutos[[#This Row],[cidade]],SEARCH("|",DadosBrutos[[#This Row],[cidade]])-1)),TRIM(DadosBrutos[[#This Row],[cidade]]))</f>
        <v>Harrenhal</v>
      </c>
      <c r="G32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323" s="37">
        <f>IF(DadosBrutos[[#This Row],[renda_mensal]]="","-",IF(ISNUMBER(DadosBrutos[[#This Row],[renda_mensal]]),DadosBrutos[[#This Row],[renda_mensal]],IFERROR(VALUE(SUBSTITUTE(DadosBrutos[[#This Row],[renda_mensal]]," moedas","")),"-")))</f>
        <v>28300</v>
      </c>
      <c r="I323" s="37">
        <f>IF(DadosBrutos[[#This Row],[credito_tomado]]="","-",IF(ISNUMBER(DadosBrutos[[#This Row],[credito_tomado]]),DadosBrutos[[#This Row],[credito_tomado]],IFERROR(VALUE(SUBSTITUTE(DadosBrutos[[#This Row],[credito_tomado]]," moedas","")),"-")))</f>
        <v>56000</v>
      </c>
      <c r="J32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23" s="1">
        <f>IF(DadosBrutos[[#This Row],[qtde_batalhas]]="","-",IF(ISNUMBER(DadosBrutos[[#This Row],[qtde_batalhas]]),DadosBrutos[[#This Row],[qtde_batalhas]],IFERROR(VALUE(SUBSTITUTE(DadosBrutos[[#This Row],[qtde_batalhas]]," batalhas","")),"-")))</f>
        <v>6</v>
      </c>
      <c r="L323" s="1" t="str">
        <f>IF(DadosL[[#This Row],[qtde_batalhas]]="-","-",IF(DadosL[[#This Row],[qtde_batalhas]]&lt;=10,"Baixo",IF(DadosL[[#This Row],[qtde_batalhas]]&lt;=25,"Médio","Alto")))</f>
        <v>Baixo</v>
      </c>
      <c r="M32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84500</v>
      </c>
      <c r="N323" s="1" t="str">
        <f>IF(AND(DadosL[[#This Row],[nivel_risco]]="Alto",DadosL[[#This Row],[flag_inadimplente]]="Sim"),"Negado","Aprovado")</f>
        <v>Aprovado</v>
      </c>
      <c r="O323" s="1" t="str">
        <f>IF(AND(ISNUMBER(DadosL[[#This Row],[credito_tomado]]),DadosL[[#This Row],[credito_tomado]]&gt;50000,DadosL[[#This Row],[flag_inadimplente]]="Sim"),"Negado","Aprovado")</f>
        <v>Aprovado</v>
      </c>
      <c r="P323" s="46">
        <f>IF(OR(DadosL[[#This Row],[Analise_Risco]]="Negado",DadosL[[#This Row],[Analise_Credito]]="Negado"),0,IF(DadosL[[#This Row],[status]]="Ativo",DadosL[[#This Row],[valor_solicitado]]*1.08,0))</f>
        <v>91260</v>
      </c>
    </row>
    <row r="324" spans="1:16">
      <c r="A32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24" s="1" t="str">
        <f>PROPER(TRIM(DadosBrutos[[#This Row],[nome]]))</f>
        <v>Catelyn  Dayne</v>
      </c>
      <c r="C324" s="1" t="str">
        <f>IF(LEN(SUBSTITUTE(SUBSTITUTE(SUBSTITUTE(DadosBrutos[[#This Row],[cpf]],".",""),"-","")," ",""))=11,DadosBrutos[[#This Row],[cpf]],"-")</f>
        <v>000.000.213-00</v>
      </c>
      <c r="D32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68</v>
      </c>
      <c r="E324" s="45">
        <f>IF(DadosBrutos[[#This Row],[data_nascimento]]="","-",DadosBrutos[[#This Row],[data_nascimento]])</f>
        <v>21145</v>
      </c>
      <c r="F324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32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324" s="37">
        <f>IF(DadosBrutos[[#This Row],[renda_mensal]]="","-",IF(ISNUMBER(DadosBrutos[[#This Row],[renda_mensal]]),DadosBrutos[[#This Row],[renda_mensal]],IFERROR(VALUE(SUBSTITUTE(DadosBrutos[[#This Row],[renda_mensal]]," moedas","")),"-")))</f>
        <v>24500</v>
      </c>
      <c r="I324" s="37">
        <f>IF(DadosBrutos[[#This Row],[credito_tomado]]="","-",IF(ISNUMBER(DadosBrutos[[#This Row],[credito_tomado]]),DadosBrutos[[#This Row],[credito_tomado]],IFERROR(VALUE(SUBSTITUTE(DadosBrutos[[#This Row],[credito_tomado]]," moedas","")),"-")))</f>
        <v>16500</v>
      </c>
      <c r="J32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24" s="1">
        <f>IF(DadosBrutos[[#This Row],[qtde_batalhas]]="","-",IF(ISNUMBER(DadosBrutos[[#This Row],[qtde_batalhas]]),DadosBrutos[[#This Row],[qtde_batalhas]],IFERROR(VALUE(SUBSTITUTE(DadosBrutos[[#This Row],[qtde_batalhas]]," batalhas","")),"-")))</f>
        <v>22</v>
      </c>
      <c r="L324" s="1" t="str">
        <f>IF(DadosL[[#This Row],[qtde_batalhas]]="-","-",IF(DadosL[[#This Row],[qtde_batalhas]]&lt;=10,"Baixo",IF(DadosL[[#This Row],[qtde_batalhas]]&lt;=25,"Médio","Alto")))</f>
        <v>Médio</v>
      </c>
      <c r="M32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34500</v>
      </c>
      <c r="N324" s="1" t="str">
        <f>IF(AND(DadosL[[#This Row],[nivel_risco]]="Alto",DadosL[[#This Row],[flag_inadimplente]]="Sim"),"Negado","Aprovado")</f>
        <v>Aprovado</v>
      </c>
      <c r="O324" s="1" t="str">
        <f>IF(AND(ISNUMBER(DadosL[[#This Row],[credito_tomado]]),DadosL[[#This Row],[credito_tomado]]&gt;50000,DadosL[[#This Row],[flag_inadimplente]]="Sim"),"Negado","Aprovado")</f>
        <v>Aprovado</v>
      </c>
      <c r="P324" s="46">
        <f>IF(OR(DadosL[[#This Row],[Analise_Risco]]="Negado",DadosL[[#This Row],[Analise_Credito]]="Negado"),0,IF(DadosL[[#This Row],[status]]="Ativo",DadosL[[#This Row],[valor_solicitado]]*1.08,0))</f>
        <v>37260</v>
      </c>
    </row>
    <row r="325" spans="1:16">
      <c r="A32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25" s="1" t="str">
        <f>PROPER(TRIM(DadosBrutos[[#This Row],[nome]]))</f>
        <v>Lyanna Tarth</v>
      </c>
      <c r="C325" s="1" t="str">
        <f>IF(LEN(SUBSTITUTE(SUBSTITUTE(SUBSTITUTE(DadosBrutos[[#This Row],[cpf]],".",""),"-","")," ",""))=11,DadosBrutos[[#This Row],[cpf]],"-")</f>
        <v>000.000.345-00</v>
      </c>
      <c r="D32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73</v>
      </c>
      <c r="E325" s="45" t="str">
        <f>IF(DadosBrutos[[#This Row],[data_nascimento]]="","-",DadosBrutos[[#This Row],[data_nascimento]])</f>
        <v>-</v>
      </c>
      <c r="F325" s="1" t="str">
        <f>IF(ISNUMBER(SEARCH("|",DadosBrutos[[#This Row],[cidade]])),TRIM(LEFT(DadosBrutos[[#This Row],[cidade]],SEARCH("|",DadosBrutos[[#This Row],[cidade]])-1)),TRIM(DadosBrutos[[#This Row],[cidade]]))</f>
        <v>Castelo Negro</v>
      </c>
      <c r="G32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325" s="37">
        <f>IF(DadosBrutos[[#This Row],[renda_mensal]]="","-",IF(ISNUMBER(DadosBrutos[[#This Row],[renda_mensal]]),DadosBrutos[[#This Row],[renda_mensal]],IFERROR(VALUE(SUBSTITUTE(DadosBrutos[[#This Row],[renda_mensal]]," moedas","")),"-")))</f>
        <v>19900</v>
      </c>
      <c r="I325" s="37">
        <f>IF(DadosBrutos[[#This Row],[credito_tomado]]="","-",IF(ISNUMBER(DadosBrutos[[#This Row],[credito_tomado]]),DadosBrutos[[#This Row],[credito_tomado]],IFERROR(VALUE(SUBSTITUTE(DadosBrutos[[#This Row],[credito_tomado]]," moedas","")),"-")))</f>
        <v>47000</v>
      </c>
      <c r="J32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25" s="1">
        <f>IF(DadosBrutos[[#This Row],[qtde_batalhas]]="","-",IF(ISNUMBER(DadosBrutos[[#This Row],[qtde_batalhas]]),DadosBrutos[[#This Row],[qtde_batalhas]],IFERROR(VALUE(SUBSTITUTE(DadosBrutos[[#This Row],[qtde_batalhas]]," batalhas","")),"-")))</f>
        <v>19</v>
      </c>
      <c r="L325" s="1" t="str">
        <f>IF(DadosL[[#This Row],[qtde_batalhas]]="-","-",IF(DadosL[[#This Row],[qtde_batalhas]]&lt;=10,"Baixo",IF(DadosL[[#This Row],[qtde_batalhas]]&lt;=25,"Médio","Alto")))</f>
        <v>Médio</v>
      </c>
      <c r="M32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20500</v>
      </c>
      <c r="N325" s="1" t="str">
        <f>IF(AND(DadosL[[#This Row],[nivel_risco]]="Alto",DadosL[[#This Row],[flag_inadimplente]]="Sim"),"Negado","Aprovado")</f>
        <v>Aprovado</v>
      </c>
      <c r="O325" s="1" t="str">
        <f>IF(AND(ISNUMBER(DadosL[[#This Row],[credito_tomado]]),DadosL[[#This Row],[credito_tomado]]&gt;50000,DadosL[[#This Row],[flag_inadimplente]]="Sim"),"Negado","Aprovado")</f>
        <v>Aprovado</v>
      </c>
      <c r="P325" s="46">
        <f>IF(OR(DadosL[[#This Row],[Analise_Risco]]="Negado",DadosL[[#This Row],[Analise_Credito]]="Negado"),0,IF(DadosL[[#This Row],[status]]="Ativo",DadosL[[#This Row],[valor_solicitado]]*1.08,0))</f>
        <v>0</v>
      </c>
    </row>
    <row r="326" spans="1:16">
      <c r="A32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26" s="1" t="str">
        <f>PROPER(TRIM(DadosBrutos[[#This Row],[nome]]))</f>
        <v>Varys Lannister</v>
      </c>
      <c r="C326" s="1" t="str">
        <f>IF(LEN(SUBSTITUTE(SUBSTITUTE(SUBSTITUTE(DadosBrutos[[#This Row],[cpf]],".",""),"-","")," ",""))=11,DadosBrutos[[#This Row],[cpf]],"-")</f>
        <v>000.000.367-00</v>
      </c>
      <c r="D32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67</v>
      </c>
      <c r="E326" s="45">
        <f>IF(DadosBrutos[[#This Row],[data_nascimento]]="","-",DadosBrutos[[#This Row],[data_nascimento]])</f>
        <v>21497</v>
      </c>
      <c r="F326" s="1" t="str">
        <f>IF(ISNUMBER(SEARCH("|",DadosBrutos[[#This Row],[cidade]])),TRIM(LEFT(DadosBrutos[[#This Row],[cidade]],SEARCH("|",DadosBrutos[[#This Row],[cidade]])-1)),TRIM(DadosBrutos[[#This Row],[cidade]]))</f>
        <v>Pyke</v>
      </c>
      <c r="G32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326" s="37">
        <f>IF(DadosBrutos[[#This Row],[renda_mensal]]="","-",IF(ISNUMBER(DadosBrutos[[#This Row],[renda_mensal]]),DadosBrutos[[#This Row],[renda_mensal]],IFERROR(VALUE(SUBSTITUTE(DadosBrutos[[#This Row],[renda_mensal]]," moedas","")),"-")))</f>
        <v>21600</v>
      </c>
      <c r="I326" s="37">
        <f>IF(DadosBrutos[[#This Row],[credito_tomado]]="","-",IF(ISNUMBER(DadosBrutos[[#This Row],[credito_tomado]]),DadosBrutos[[#This Row],[credito_tomado]],IFERROR(VALUE(SUBSTITUTE(DadosBrutos[[#This Row],[credito_tomado]]," moedas","")),"-")))</f>
        <v>73500</v>
      </c>
      <c r="J32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26" s="1">
        <f>IF(DadosBrutos[[#This Row],[qtde_batalhas]]="","-",IF(ISNUMBER(DadosBrutos[[#This Row],[qtde_batalhas]]),DadosBrutos[[#This Row],[qtde_batalhas]],IFERROR(VALUE(SUBSTITUTE(DadosBrutos[[#This Row],[qtde_batalhas]]," batalhas","")),"-")))</f>
        <v>7</v>
      </c>
      <c r="L326" s="1" t="str">
        <f>IF(DadosL[[#This Row],[qtde_batalhas]]="-","-",IF(DadosL[[#This Row],[qtde_batalhas]]&lt;=10,"Baixo",IF(DadosL[[#This Row],[qtde_batalhas]]&lt;=25,"Médio","Alto")))</f>
        <v>Baixo</v>
      </c>
      <c r="M32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24500</v>
      </c>
      <c r="N326" s="1" t="str">
        <f>IF(AND(DadosL[[#This Row],[nivel_risco]]="Alto",DadosL[[#This Row],[flag_inadimplente]]="Sim"),"Negado","Aprovado")</f>
        <v>Aprovado</v>
      </c>
      <c r="O326" s="1" t="str">
        <f>IF(AND(ISNUMBER(DadosL[[#This Row],[credito_tomado]]),DadosL[[#This Row],[credito_tomado]]&gt;50000,DadosL[[#This Row],[flag_inadimplente]]="Sim"),"Negado","Aprovado")</f>
        <v>Negado</v>
      </c>
      <c r="P326" s="46">
        <f>IF(OR(DadosL[[#This Row],[Analise_Risco]]="Negado",DadosL[[#This Row],[Analise_Credito]]="Negado"),0,IF(DadosL[[#This Row],[status]]="Ativo",DadosL[[#This Row],[valor_solicitado]]*1.08,0))</f>
        <v>0</v>
      </c>
    </row>
    <row r="327" spans="1:16">
      <c r="A32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27" s="1" t="str">
        <f>PROPER(TRIM(DadosBrutos[[#This Row],[nome]]))</f>
        <v>Ellaria Targaryen</v>
      </c>
      <c r="C327" s="1" t="str">
        <f>IF(LEN(SUBSTITUTE(SUBSTITUTE(SUBSTITUTE(DadosBrutos[[#This Row],[cpf]],".",""),"-","")," ",""))=11,DadosBrutos[[#This Row],[cpf]],"-")</f>
        <v>000.000.149-00</v>
      </c>
      <c r="D32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54</v>
      </c>
      <c r="E327" s="45">
        <f>IF(DadosBrutos[[#This Row],[data_nascimento]]="","-",DadosBrutos[[#This Row],[data_nascimento]])</f>
        <v>26230</v>
      </c>
      <c r="F327" s="1" t="str">
        <f>IF(ISNUMBER(SEARCH("|",DadosBrutos[[#This Row],[cidade]])),TRIM(LEFT(DadosBrutos[[#This Row],[cidade]],SEARCH("|",DadosBrutos[[#This Row],[cidade]])-1)),TRIM(DadosBrutos[[#This Row],[cidade]]))</f>
        <v>Fosso Cailin</v>
      </c>
      <c r="G32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327" s="37">
        <f>IF(DadosBrutos[[#This Row],[renda_mensal]]="","-",IF(ISNUMBER(DadosBrutos[[#This Row],[renda_mensal]]),DadosBrutos[[#This Row],[renda_mensal]],IFERROR(VALUE(SUBSTITUTE(DadosBrutos[[#This Row],[renda_mensal]]," moedas","")),"-")))</f>
        <v>18700</v>
      </c>
      <c r="I327" s="37">
        <f>IF(DadosBrutos[[#This Row],[credito_tomado]]="","-",IF(ISNUMBER(DadosBrutos[[#This Row],[credito_tomado]]),DadosBrutos[[#This Row],[credito_tomado]],IFERROR(VALUE(SUBSTITUTE(DadosBrutos[[#This Row],[credito_tomado]]," moedas","")),"-")))</f>
        <v>46000</v>
      </c>
      <c r="J32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27" s="1">
        <f>IF(DadosBrutos[[#This Row],[qtde_batalhas]]="","-",IF(ISNUMBER(DadosBrutos[[#This Row],[qtde_batalhas]]),DadosBrutos[[#This Row],[qtde_batalhas]],IFERROR(VALUE(SUBSTITUTE(DadosBrutos[[#This Row],[qtde_batalhas]]," batalhas","")),"-")))</f>
        <v>4</v>
      </c>
      <c r="L327" s="1" t="str">
        <f>IF(DadosL[[#This Row],[qtde_batalhas]]="-","-",IF(DadosL[[#This Row],[qtde_batalhas]]&lt;=10,"Baixo",IF(DadosL[[#This Row],[qtde_batalhas]]&lt;=25,"Médio","Alto")))</f>
        <v>Baixo</v>
      </c>
      <c r="M32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27500</v>
      </c>
      <c r="N327" s="1" t="str">
        <f>IF(AND(DadosL[[#This Row],[nivel_risco]]="Alto",DadosL[[#This Row],[flag_inadimplente]]="Sim"),"Negado","Aprovado")</f>
        <v>Aprovado</v>
      </c>
      <c r="O327" s="1" t="str">
        <f>IF(AND(ISNUMBER(DadosL[[#This Row],[credito_tomado]]),DadosL[[#This Row],[credito_tomado]]&gt;50000,DadosL[[#This Row],[flag_inadimplente]]="Sim"),"Negado","Aprovado")</f>
        <v>Aprovado</v>
      </c>
      <c r="P327" s="46">
        <f>IF(OR(DadosL[[#This Row],[Analise_Risco]]="Negado",DadosL[[#This Row],[Analise_Credito]]="Negado"),0,IF(DadosL[[#This Row],[status]]="Ativo",DadosL[[#This Row],[valor_solicitado]]*1.08,0))</f>
        <v>29700.000000000004</v>
      </c>
    </row>
    <row r="328" spans="1:16">
      <c r="A32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28" s="1" t="str">
        <f>PROPER(TRIM(DadosBrutos[[#This Row],[nome]]))</f>
        <v>Bronn Royce</v>
      </c>
      <c r="C328" s="1" t="str">
        <f>IF(LEN(SUBSTITUTE(SUBSTITUTE(SUBSTITUTE(DadosBrutos[[#This Row],[cpf]],".",""),"-","")," ",""))=11,DadosBrutos[[#This Row],[cpf]],"-")</f>
        <v>-</v>
      </c>
      <c r="D32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61</v>
      </c>
      <c r="E328" s="45">
        <f>IF(DadosBrutos[[#This Row],[data_nascimento]]="","-",DadosBrutos[[#This Row],[data_nascimento]])</f>
        <v>23928</v>
      </c>
      <c r="F328" s="1" t="str">
        <f>IF(ISNUMBER(SEARCH("|",DadosBrutos[[#This Row],[cidade]])),TRIM(LEFT(DadosBrutos[[#This Row],[cidade]],SEARCH("|",DadosBrutos[[#This Row],[cidade]])-1)),TRIM(DadosBrutos[[#This Row],[cidade]]))</f>
        <v>Solar do Entardecer</v>
      </c>
      <c r="G32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328" s="37">
        <f>IF(DadosBrutos[[#This Row],[renda_mensal]]="","-",IF(ISNUMBER(DadosBrutos[[#This Row],[renda_mensal]]),DadosBrutos[[#This Row],[renda_mensal]],IFERROR(VALUE(SUBSTITUTE(DadosBrutos[[#This Row],[renda_mensal]]," moedas","")),"-")))</f>
        <v>22900</v>
      </c>
      <c r="I328" s="37">
        <f>IF(DadosBrutos[[#This Row],[credito_tomado]]="","-",IF(ISNUMBER(DadosBrutos[[#This Row],[credito_tomado]]),DadosBrutos[[#This Row],[credito_tomado]],IFERROR(VALUE(SUBSTITUTE(DadosBrutos[[#This Row],[credito_tomado]]," moedas","")),"-")))</f>
        <v>7500</v>
      </c>
      <c r="J32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28" s="1">
        <f>IF(DadosBrutos[[#This Row],[qtde_batalhas]]="","-",IF(ISNUMBER(DadosBrutos[[#This Row],[qtde_batalhas]]),DadosBrutos[[#This Row],[qtde_batalhas]],IFERROR(VALUE(SUBSTITUTE(DadosBrutos[[#This Row],[qtde_batalhas]]," batalhas","")),"-")))</f>
        <v>12</v>
      </c>
      <c r="L328" s="1" t="str">
        <f>IF(DadosL[[#This Row],[qtde_batalhas]]="-","-",IF(DadosL[[#This Row],[qtde_batalhas]]&lt;=10,"Baixo",IF(DadosL[[#This Row],[qtde_batalhas]]&lt;=25,"Médio","Alto")))</f>
        <v>Médio</v>
      </c>
      <c r="M32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33000</v>
      </c>
      <c r="N328" s="1" t="str">
        <f>IF(AND(DadosL[[#This Row],[nivel_risco]]="Alto",DadosL[[#This Row],[flag_inadimplente]]="Sim"),"Negado","Aprovado")</f>
        <v>Aprovado</v>
      </c>
      <c r="O328" s="1" t="str">
        <f>IF(AND(ISNUMBER(DadosL[[#This Row],[credito_tomado]]),DadosL[[#This Row],[credito_tomado]]&gt;50000,DadosL[[#This Row],[flag_inadimplente]]="Sim"),"Negado","Aprovado")</f>
        <v>Aprovado</v>
      </c>
      <c r="P328" s="46">
        <f>IF(OR(DadosL[[#This Row],[Analise_Risco]]="Negado",DadosL[[#This Row],[Analise_Credito]]="Negado"),0,IF(DadosL[[#This Row],[status]]="Ativo",DadosL[[#This Row],[valor_solicitado]]*1.08,0))</f>
        <v>35640</v>
      </c>
    </row>
    <row r="329" spans="1:16">
      <c r="A32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29" s="1" t="str">
        <f>PROPER(TRIM(DadosBrutos[[#This Row],[nome]]))</f>
        <v>Varys Lannister</v>
      </c>
      <c r="C329" s="1" t="str">
        <f>IF(LEN(SUBSTITUTE(SUBSTITUTE(SUBSTITUTE(DadosBrutos[[#This Row],[cpf]],".",""),"-","")," ",""))=11,DadosBrutos[[#This Row],[cpf]],"-")</f>
        <v>000.000.010-00</v>
      </c>
      <c r="D32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60</v>
      </c>
      <c r="E329" s="45">
        <f>IF(DadosBrutos[[#This Row],[data_nascimento]]="","-",DadosBrutos[[#This Row],[data_nascimento]])</f>
        <v>24054</v>
      </c>
      <c r="F329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32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329" s="37">
        <f>IF(DadosBrutos[[#This Row],[renda_mensal]]="","-",IF(ISNUMBER(DadosBrutos[[#This Row],[renda_mensal]]),DadosBrutos[[#This Row],[renda_mensal]],IFERROR(VALUE(SUBSTITUTE(DadosBrutos[[#This Row],[renda_mensal]]," moedas","")),"-")))</f>
        <v>22600</v>
      </c>
      <c r="I329" s="37">
        <f>IF(DadosBrutos[[#This Row],[credito_tomado]]="","-",IF(ISNUMBER(DadosBrutos[[#This Row],[credito_tomado]]),DadosBrutos[[#This Row],[credito_tomado]],IFERROR(VALUE(SUBSTITUTE(DadosBrutos[[#This Row],[credito_tomado]]," moedas","")),"-")))</f>
        <v>80000</v>
      </c>
      <c r="J32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29" s="1">
        <f>IF(DadosBrutos[[#This Row],[qtde_batalhas]]="","-",IF(ISNUMBER(DadosBrutos[[#This Row],[qtde_batalhas]]),DadosBrutos[[#This Row],[qtde_batalhas]],IFERROR(VALUE(SUBSTITUTE(DadosBrutos[[#This Row],[qtde_batalhas]]," batalhas","")),"-")))</f>
        <v>9</v>
      </c>
      <c r="L329" s="1" t="str">
        <f>IF(DadosL[[#This Row],[qtde_batalhas]]="-","-",IF(DadosL[[#This Row],[qtde_batalhas]]&lt;=10,"Baixo",IF(DadosL[[#This Row],[qtde_batalhas]]&lt;=25,"Médio","Alto")))</f>
        <v>Baixo</v>
      </c>
      <c r="M32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58500</v>
      </c>
      <c r="N329" s="1" t="str">
        <f>IF(AND(DadosL[[#This Row],[nivel_risco]]="Alto",DadosL[[#This Row],[flag_inadimplente]]="Sim"),"Negado","Aprovado")</f>
        <v>Aprovado</v>
      </c>
      <c r="O329" s="1" t="str">
        <f>IF(AND(ISNUMBER(DadosL[[#This Row],[credito_tomado]]),DadosL[[#This Row],[credito_tomado]]&gt;50000,DadosL[[#This Row],[flag_inadimplente]]="Sim"),"Negado","Aprovado")</f>
        <v>Aprovado</v>
      </c>
      <c r="P329" s="46">
        <f>IF(OR(DadosL[[#This Row],[Analise_Risco]]="Negado",DadosL[[#This Row],[Analise_Credito]]="Negado"),0,IF(DadosL[[#This Row],[status]]="Ativo",DadosL[[#This Row],[valor_solicitado]]*1.08,0))</f>
        <v>63180.000000000007</v>
      </c>
    </row>
    <row r="330" spans="1:16">
      <c r="A33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30" s="1" t="str">
        <f>PROPER(TRIM(DadosBrutos[[#This Row],[nome]]))</f>
        <v>Rickon Karstark</v>
      </c>
      <c r="C330" s="1" t="str">
        <f>IF(LEN(SUBSTITUTE(SUBSTITUTE(SUBSTITUTE(DadosBrutos[[#This Row],[cpf]],".",""),"-","")," ",""))=11,DadosBrutos[[#This Row],[cpf]],"-")</f>
        <v>-</v>
      </c>
      <c r="D33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26</v>
      </c>
      <c r="E330" s="45">
        <f>IF(DadosBrutos[[#This Row],[data_nascimento]]="","-",DadosBrutos[[#This Row],[data_nascimento]])</f>
        <v>36573</v>
      </c>
      <c r="F330" s="1" t="str">
        <f>IF(ISNUMBER(SEARCH("|",DadosBrutos[[#This Row],[cidade]])),TRIM(LEFT(DadosBrutos[[#This Row],[cidade]],SEARCH("|",DadosBrutos[[#This Row],[cidade]])-1)),TRIM(DadosBrutos[[#This Row],[cidade]]))</f>
        <v>Castelo Negro</v>
      </c>
      <c r="G33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330" s="37">
        <f>IF(DadosBrutos[[#This Row],[renda_mensal]]="","-",IF(ISNUMBER(DadosBrutos[[#This Row],[renda_mensal]]),DadosBrutos[[#This Row],[renda_mensal]],IFERROR(VALUE(SUBSTITUTE(DadosBrutos[[#This Row],[renda_mensal]]," moedas","")),"-")))</f>
        <v>4800</v>
      </c>
      <c r="I330" s="37">
        <f>IF(DadosBrutos[[#This Row],[credito_tomado]]="","-",IF(ISNUMBER(DadosBrutos[[#This Row],[credito_tomado]]),DadosBrutos[[#This Row],[credito_tomado]],IFERROR(VALUE(SUBSTITUTE(DadosBrutos[[#This Row],[credito_tomado]]," moedas","")),"-")))</f>
        <v>48500</v>
      </c>
      <c r="J33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30" s="1">
        <f>IF(DadosBrutos[[#This Row],[qtde_batalhas]]="","-",IF(ISNUMBER(DadosBrutos[[#This Row],[qtde_batalhas]]),DadosBrutos[[#This Row],[qtde_batalhas]],IFERROR(VALUE(SUBSTITUTE(DadosBrutos[[#This Row],[qtde_batalhas]]," batalhas","")),"-")))</f>
        <v>6</v>
      </c>
      <c r="L330" s="1" t="str">
        <f>IF(DadosL[[#This Row],[qtde_batalhas]]="-","-",IF(DadosL[[#This Row],[qtde_batalhas]]&lt;=10,"Baixo",IF(DadosL[[#This Row],[qtde_batalhas]]&lt;=25,"Médio","Alto")))</f>
        <v>Baixo</v>
      </c>
      <c r="M33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56500</v>
      </c>
      <c r="N330" s="1" t="str">
        <f>IF(AND(DadosL[[#This Row],[nivel_risco]]="Alto",DadosL[[#This Row],[flag_inadimplente]]="Sim"),"Negado","Aprovado")</f>
        <v>Aprovado</v>
      </c>
      <c r="O330" s="1" t="str">
        <f>IF(AND(ISNUMBER(DadosL[[#This Row],[credito_tomado]]),DadosL[[#This Row],[credito_tomado]]&gt;50000,DadosL[[#This Row],[flag_inadimplente]]="Sim"),"Negado","Aprovado")</f>
        <v>Aprovado</v>
      </c>
      <c r="P330" s="46">
        <f>IF(OR(DadosL[[#This Row],[Analise_Risco]]="Negado",DadosL[[#This Row],[Analise_Credito]]="Negado"),0,IF(DadosL[[#This Row],[status]]="Ativo",DadosL[[#This Row],[valor_solicitado]]*1.08,0))</f>
        <v>61020.000000000007</v>
      </c>
    </row>
    <row r="331" spans="1:16">
      <c r="A33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31" s="1" t="str">
        <f>PROPER(TRIM(DadosBrutos[[#This Row],[nome]]))</f>
        <v>Bronn Baratheon</v>
      </c>
      <c r="C331" s="1" t="str">
        <f>IF(LEN(SUBSTITUTE(SUBSTITUTE(SUBSTITUTE(DadosBrutos[[#This Row],[cpf]],".",""),"-","")," ",""))=11,DadosBrutos[[#This Row],[cpf]],"-")</f>
        <v>-</v>
      </c>
      <c r="D33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48</v>
      </c>
      <c r="E331" s="45">
        <f>IF(DadosBrutos[[#This Row],[data_nascimento]]="","-",DadosBrutos[[#This Row],[data_nascimento]])</f>
        <v>28446</v>
      </c>
      <c r="F331" s="1" t="str">
        <f>IF(ISNUMBER(SEARCH("|",DadosBrutos[[#This Row],[cidade]])),TRIM(LEFT(DadosBrutos[[#This Row],[cidade]],SEARCH("|",DadosBrutos[[#This Row],[cidade]])-1)),TRIM(DadosBrutos[[#This Row],[cidade]]))</f>
        <v>Pedra do Dragão</v>
      </c>
      <c r="G33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331" s="37">
        <f>IF(DadosBrutos[[#This Row],[renda_mensal]]="","-",IF(ISNUMBER(DadosBrutos[[#This Row],[renda_mensal]]),DadosBrutos[[#This Row],[renda_mensal]],IFERROR(VALUE(SUBSTITUTE(DadosBrutos[[#This Row],[renda_mensal]]," moedas","")),"-")))</f>
        <v>6900</v>
      </c>
      <c r="I331" s="37">
        <f>IF(DadosBrutos[[#This Row],[credito_tomado]]="","-",IF(ISNUMBER(DadosBrutos[[#This Row],[credito_tomado]]),DadosBrutos[[#This Row],[credito_tomado]],IFERROR(VALUE(SUBSTITUTE(DadosBrutos[[#This Row],[credito_tomado]]," moedas","")),"-")))</f>
        <v>52500</v>
      </c>
      <c r="J33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31" s="1">
        <f>IF(DadosBrutos[[#This Row],[qtde_batalhas]]="","-",IF(ISNUMBER(DadosBrutos[[#This Row],[qtde_batalhas]]),DadosBrutos[[#This Row],[qtde_batalhas]],IFERROR(VALUE(SUBSTITUTE(DadosBrutos[[#This Row],[qtde_batalhas]]," batalhas","")),"-")))</f>
        <v>0</v>
      </c>
      <c r="L331" s="1" t="str">
        <f>IF(DadosL[[#This Row],[qtde_batalhas]]="-","-",IF(DadosL[[#This Row],[qtde_batalhas]]&lt;=10,"Baixo",IF(DadosL[[#This Row],[qtde_batalhas]]&lt;=25,"Médio","Alto")))</f>
        <v>Baixo</v>
      </c>
      <c r="M33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66000</v>
      </c>
      <c r="N331" s="1" t="str">
        <f>IF(AND(DadosL[[#This Row],[nivel_risco]]="Alto",DadosL[[#This Row],[flag_inadimplente]]="Sim"),"Negado","Aprovado")</f>
        <v>Aprovado</v>
      </c>
      <c r="O331" s="1" t="str">
        <f>IF(AND(ISNUMBER(DadosL[[#This Row],[credito_tomado]]),DadosL[[#This Row],[credito_tomado]]&gt;50000,DadosL[[#This Row],[flag_inadimplente]]="Sim"),"Negado","Aprovado")</f>
        <v>Negado</v>
      </c>
      <c r="P331" s="46">
        <f>IF(OR(DadosL[[#This Row],[Analise_Risco]]="Negado",DadosL[[#This Row],[Analise_Credito]]="Negado"),0,IF(DadosL[[#This Row],[status]]="Ativo",DadosL[[#This Row],[valor_solicitado]]*1.08,0))</f>
        <v>0</v>
      </c>
    </row>
    <row r="332" spans="1:16">
      <c r="A33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32" s="1" t="str">
        <f>PROPER(TRIM(DadosBrutos[[#This Row],[nome]]))</f>
        <v>Jojen Dayne</v>
      </c>
      <c r="C332" s="1" t="str">
        <f>IF(LEN(SUBSTITUTE(SUBSTITUTE(SUBSTITUTE(DadosBrutos[[#This Row],[cpf]],".",""),"-","")," ",""))=11,DadosBrutos[[#This Row],[cpf]],"-")</f>
        <v>000.000.199-00</v>
      </c>
      <c r="D33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69</v>
      </c>
      <c r="E332" s="45" t="str">
        <f>IF(DadosBrutos[[#This Row],[data_nascimento]]="","-",DadosBrutos[[#This Row],[data_nascimento]])</f>
        <v>-</v>
      </c>
      <c r="F332" s="1" t="str">
        <f>IF(ISNUMBER(SEARCH("|",DadosBrutos[[#This Row],[cidade]])),TRIM(LEFT(DadosBrutos[[#This Row],[cidade]],SEARCH("|",DadosBrutos[[#This Row],[cidade]])-1)),TRIM(DadosBrutos[[#This Row],[cidade]]))</f>
        <v>Solar do Entardecer</v>
      </c>
      <c r="G33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332" s="37">
        <f>IF(DadosBrutos[[#This Row],[renda_mensal]]="","-",IF(ISNUMBER(DadosBrutos[[#This Row],[renda_mensal]]),DadosBrutos[[#This Row],[renda_mensal]],IFERROR(VALUE(SUBSTITUTE(DadosBrutos[[#This Row],[renda_mensal]]," moedas","")),"-")))</f>
        <v>11400</v>
      </c>
      <c r="I332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33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32" s="1">
        <f>IF(DadosBrutos[[#This Row],[qtde_batalhas]]="","-",IF(ISNUMBER(DadosBrutos[[#This Row],[qtde_batalhas]]),DadosBrutos[[#This Row],[qtde_batalhas]],IFERROR(VALUE(SUBSTITUTE(DadosBrutos[[#This Row],[qtde_batalhas]]," batalhas","")),"-")))</f>
        <v>13</v>
      </c>
      <c r="L332" s="1" t="str">
        <f>IF(DadosL[[#This Row],[qtde_batalhas]]="-","-",IF(DadosL[[#This Row],[qtde_batalhas]]&lt;=10,"Baixo",IF(DadosL[[#This Row],[qtde_batalhas]]&lt;=25,"Médio","Alto")))</f>
        <v>Médio</v>
      </c>
      <c r="M33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79000</v>
      </c>
      <c r="N332" s="1" t="str">
        <f>IF(AND(DadosL[[#This Row],[nivel_risco]]="Alto",DadosL[[#This Row],[flag_inadimplente]]="Sim"),"Negado","Aprovado")</f>
        <v>Aprovado</v>
      </c>
      <c r="O332" s="1" t="str">
        <f>IF(AND(ISNUMBER(DadosL[[#This Row],[credito_tomado]]),DadosL[[#This Row],[credito_tomado]]&gt;50000,DadosL[[#This Row],[flag_inadimplente]]="Sim"),"Negado","Aprovado")</f>
        <v>Aprovado</v>
      </c>
      <c r="P332" s="46">
        <f>IF(OR(DadosL[[#This Row],[Analise_Risco]]="Negado",DadosL[[#This Row],[Analise_Credito]]="Negado"),0,IF(DadosL[[#This Row],[status]]="Ativo",DadosL[[#This Row],[valor_solicitado]]*1.08,0))</f>
        <v>85320</v>
      </c>
    </row>
    <row r="333" spans="1:16">
      <c r="A33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33" s="1" t="str">
        <f>PROPER(TRIM(DadosBrutos[[#This Row],[nome]]))</f>
        <v>Podrick Dayne</v>
      </c>
      <c r="C333" s="1" t="str">
        <f>IF(LEN(SUBSTITUTE(SUBSTITUTE(SUBSTITUTE(DadosBrutos[[#This Row],[cpf]],".",""),"-","")," ",""))=11,DadosBrutos[[#This Row],[cpf]],"-")</f>
        <v>-</v>
      </c>
      <c r="D33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25</v>
      </c>
      <c r="E333" s="45">
        <f>IF(DadosBrutos[[#This Row],[data_nascimento]]="","-",DadosBrutos[[#This Row],[data_nascimento]])</f>
        <v>36831</v>
      </c>
      <c r="F333" s="1" t="str">
        <f>IF(ISNUMBER(SEARCH("|",DadosBrutos[[#This Row],[cidade]])),TRIM(LEFT(DadosBrutos[[#This Row],[cidade]],SEARCH("|",DadosBrutos[[#This Row],[cidade]])-1)),TRIM(DadosBrutos[[#This Row],[cidade]]))</f>
        <v>Vilavelha</v>
      </c>
      <c r="G33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333" s="37">
        <f>IF(DadosBrutos[[#This Row],[renda_mensal]]="","-",IF(ISNUMBER(DadosBrutos[[#This Row],[renda_mensal]]),DadosBrutos[[#This Row],[renda_mensal]],IFERROR(VALUE(SUBSTITUTE(DadosBrutos[[#This Row],[renda_mensal]]," moedas","")),"-")))</f>
        <v>9400</v>
      </c>
      <c r="I333" s="37">
        <f>IF(DadosBrutos[[#This Row],[credito_tomado]]="","-",IF(ISNUMBER(DadosBrutos[[#This Row],[credito_tomado]]),DadosBrutos[[#This Row],[credito_tomado]],IFERROR(VALUE(SUBSTITUTE(DadosBrutos[[#This Row],[credito_tomado]]," moedas","")),"-")))</f>
        <v>51500</v>
      </c>
      <c r="J33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33" s="1">
        <f>IF(DadosBrutos[[#This Row],[qtde_batalhas]]="","-",IF(ISNUMBER(DadosBrutos[[#This Row],[qtde_batalhas]]),DadosBrutos[[#This Row],[qtde_batalhas]],IFERROR(VALUE(SUBSTITUTE(DadosBrutos[[#This Row],[qtde_batalhas]]," batalhas","")),"-")))</f>
        <v>14</v>
      </c>
      <c r="L333" s="1" t="str">
        <f>IF(DadosL[[#This Row],[qtde_batalhas]]="-","-",IF(DadosL[[#This Row],[qtde_batalhas]]&lt;=10,"Baixo",IF(DadosL[[#This Row],[qtde_batalhas]]&lt;=25,"Médio","Alto")))</f>
        <v>Médio</v>
      </c>
      <c r="M33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74000</v>
      </c>
      <c r="N333" s="1" t="str">
        <f>IF(AND(DadosL[[#This Row],[nivel_risco]]="Alto",DadosL[[#This Row],[flag_inadimplente]]="Sim"),"Negado","Aprovado")</f>
        <v>Aprovado</v>
      </c>
      <c r="O333" s="1" t="str">
        <f>IF(AND(ISNUMBER(DadosL[[#This Row],[credito_tomado]]),DadosL[[#This Row],[credito_tomado]]&gt;50000,DadosL[[#This Row],[flag_inadimplente]]="Sim"),"Negado","Aprovado")</f>
        <v>Aprovado</v>
      </c>
      <c r="P333" s="46">
        <f>IF(OR(DadosL[[#This Row],[Analise_Risco]]="Negado",DadosL[[#This Row],[Analise_Credito]]="Negado"),0,IF(DadosL[[#This Row],[status]]="Ativo",DadosL[[#This Row],[valor_solicitado]]*1.08,0))</f>
        <v>79920</v>
      </c>
    </row>
    <row r="334" spans="1:16">
      <c r="A33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34" s="1" t="str">
        <f>PROPER(TRIM(DadosBrutos[[#This Row],[nome]]))</f>
        <v>Sandor Clegane</v>
      </c>
      <c r="C334" s="1" t="str">
        <f>IF(LEN(SUBSTITUTE(SUBSTITUTE(SUBSTITUTE(DadosBrutos[[#This Row],[cpf]],".",""),"-","")," ",""))=11,DadosBrutos[[#This Row],[cpf]],"-")</f>
        <v>000.000.164-00</v>
      </c>
      <c r="D33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62</v>
      </c>
      <c r="E334" s="45">
        <f>IF(DadosBrutos[[#This Row],[data_nascimento]]="","-",DadosBrutos[[#This Row],[data_nascimento]])</f>
        <v>23317</v>
      </c>
      <c r="F334" s="1" t="str">
        <f>IF(ISNUMBER(SEARCH("|",DadosBrutos[[#This Row],[cidade]])),TRIM(LEFT(DadosBrutos[[#This Row],[cidade]],SEARCH("|",DadosBrutos[[#This Row],[cidade]])-1)),TRIM(DadosBrutos[[#This Row],[cidade]]))</f>
        <v>Winterfell</v>
      </c>
      <c r="G33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334" s="37">
        <f>IF(DadosBrutos[[#This Row],[renda_mensal]]="","-",IF(ISNUMBER(DadosBrutos[[#This Row],[renda_mensal]]),DadosBrutos[[#This Row],[renda_mensal]],IFERROR(VALUE(SUBSTITUTE(DadosBrutos[[#This Row],[renda_mensal]]," moedas","")),"-")))</f>
        <v>10500</v>
      </c>
      <c r="I334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33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34" s="1">
        <f>IF(DadosBrutos[[#This Row],[qtde_batalhas]]="","-",IF(ISNUMBER(DadosBrutos[[#This Row],[qtde_batalhas]]),DadosBrutos[[#This Row],[qtde_batalhas]],IFERROR(VALUE(SUBSTITUTE(DadosBrutos[[#This Row],[qtde_batalhas]]," batalhas","")),"-")))</f>
        <v>4</v>
      </c>
      <c r="L334" s="1" t="str">
        <f>IF(DadosL[[#This Row],[qtde_batalhas]]="-","-",IF(DadosL[[#This Row],[qtde_batalhas]]&lt;=10,"Baixo",IF(DadosL[[#This Row],[qtde_batalhas]]&lt;=25,"Médio","Alto")))</f>
        <v>Baixo</v>
      </c>
      <c r="M33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54500</v>
      </c>
      <c r="N334" s="1" t="str">
        <f>IF(AND(DadosL[[#This Row],[nivel_risco]]="Alto",DadosL[[#This Row],[flag_inadimplente]]="Sim"),"Negado","Aprovado")</f>
        <v>Aprovado</v>
      </c>
      <c r="O334" s="1" t="str">
        <f>IF(AND(ISNUMBER(DadosL[[#This Row],[credito_tomado]]),DadosL[[#This Row],[credito_tomado]]&gt;50000,DadosL[[#This Row],[flag_inadimplente]]="Sim"),"Negado","Aprovado")</f>
        <v>Aprovado</v>
      </c>
      <c r="P334" s="46">
        <f>IF(OR(DadosL[[#This Row],[Analise_Risco]]="Negado",DadosL[[#This Row],[Analise_Credito]]="Negado"),0,IF(DadosL[[#This Row],[status]]="Ativo",DadosL[[#This Row],[valor_solicitado]]*1.08,0))</f>
        <v>58860.000000000007</v>
      </c>
    </row>
    <row r="335" spans="1:16">
      <c r="A33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35" s="1" t="str">
        <f>PROPER(TRIM(DadosBrutos[[#This Row],[nome]]))</f>
        <v>Thoros Westerling</v>
      </c>
      <c r="C335" s="1" t="str">
        <f>IF(LEN(SUBSTITUTE(SUBSTITUTE(SUBSTITUTE(DadosBrutos[[#This Row],[cpf]],".",""),"-","")," ",""))=11,DadosBrutos[[#This Row],[cpf]],"-")</f>
        <v>-</v>
      </c>
      <c r="D33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27</v>
      </c>
      <c r="E335" s="45">
        <f>IF(DadosBrutos[[#This Row],[data_nascimento]]="","-",DadosBrutos[[#This Row],[data_nascimento]])</f>
        <v>36152</v>
      </c>
      <c r="F335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33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335" s="37">
        <f>IF(DadosBrutos[[#This Row],[renda_mensal]]="","-",IF(ISNUMBER(DadosBrutos[[#This Row],[renda_mensal]]),DadosBrutos[[#This Row],[renda_mensal]],IFERROR(VALUE(SUBSTITUTE(DadosBrutos[[#This Row],[renda_mensal]]," moedas","")),"-")))</f>
        <v>30000</v>
      </c>
      <c r="I335" s="37">
        <f>IF(DadosBrutos[[#This Row],[credito_tomado]]="","-",IF(ISNUMBER(DadosBrutos[[#This Row],[credito_tomado]]),DadosBrutos[[#This Row],[credito_tomado]],IFERROR(VALUE(SUBSTITUTE(DadosBrutos[[#This Row],[credito_tomado]]," moedas","")),"-")))</f>
        <v>27000</v>
      </c>
      <c r="J33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35" s="1">
        <f>IF(DadosBrutos[[#This Row],[qtde_batalhas]]="","-",IF(ISNUMBER(DadosBrutos[[#This Row],[qtde_batalhas]]),DadosBrutos[[#This Row],[qtde_batalhas]],IFERROR(VALUE(SUBSTITUTE(DadosBrutos[[#This Row],[qtde_batalhas]]," batalhas","")),"-")))</f>
        <v>28</v>
      </c>
      <c r="L335" s="1" t="str">
        <f>IF(DadosL[[#This Row],[qtde_batalhas]]="-","-",IF(DadosL[[#This Row],[qtde_batalhas]]&lt;=10,"Baixo",IF(DadosL[[#This Row],[qtde_batalhas]]&lt;=25,"Médio","Alto")))</f>
        <v>Alto</v>
      </c>
      <c r="M33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28500</v>
      </c>
      <c r="N335" s="1" t="str">
        <f>IF(AND(DadosL[[#This Row],[nivel_risco]]="Alto",DadosL[[#This Row],[flag_inadimplente]]="Sim"),"Negado","Aprovado")</f>
        <v>Aprovado</v>
      </c>
      <c r="O335" s="1" t="str">
        <f>IF(AND(ISNUMBER(DadosL[[#This Row],[credito_tomado]]),DadosL[[#This Row],[credito_tomado]]&gt;50000,DadosL[[#This Row],[flag_inadimplente]]="Sim"),"Negado","Aprovado")</f>
        <v>Aprovado</v>
      </c>
      <c r="P335" s="46">
        <f>IF(OR(DadosL[[#This Row],[Analise_Risco]]="Negado",DadosL[[#This Row],[Analise_Credito]]="Negado"),0,IF(DadosL[[#This Row],[status]]="Ativo",DadosL[[#This Row],[valor_solicitado]]*1.08,0))</f>
        <v>30780.000000000004</v>
      </c>
    </row>
    <row r="336" spans="1:16">
      <c r="A33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36" s="1" t="str">
        <f>PROPER(TRIM(DadosBrutos[[#This Row],[nome]]))</f>
        <v>Stannis Westerling</v>
      </c>
      <c r="C336" s="1" t="str">
        <f>IF(LEN(SUBSTITUTE(SUBSTITUTE(SUBSTITUTE(DadosBrutos[[#This Row],[cpf]],".",""),"-","")," ",""))=11,DadosBrutos[[#This Row],[cpf]],"-")</f>
        <v>000.000.071-00</v>
      </c>
      <c r="D33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31</v>
      </c>
      <c r="E336" s="45">
        <f>IF(DadosBrutos[[#This Row],[data_nascimento]]="","-",DadosBrutos[[#This Row],[data_nascimento]])</f>
        <v>34769</v>
      </c>
      <c r="F336" s="1" t="str">
        <f>IF(ISNUMBER(SEARCH("|",DadosBrutos[[#This Row],[cidade]])),TRIM(LEFT(DadosBrutos[[#This Row],[cidade]],SEARCH("|",DadosBrutos[[#This Row],[cidade]])-1)),TRIM(DadosBrutos[[#This Row],[cidade]]))</f>
        <v>Lannisporto</v>
      </c>
      <c r="G33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336" s="37">
        <f>IF(DadosBrutos[[#This Row],[renda_mensal]]="","-",IF(ISNUMBER(DadosBrutos[[#This Row],[renda_mensal]]),DadosBrutos[[#This Row],[renda_mensal]],IFERROR(VALUE(SUBSTITUTE(DadosBrutos[[#This Row],[renda_mensal]]," moedas","")),"-")))</f>
        <v>9000</v>
      </c>
      <c r="I336" s="37">
        <f>IF(DadosBrutos[[#This Row],[credito_tomado]]="","-",IF(ISNUMBER(DadosBrutos[[#This Row],[credito_tomado]]),DadosBrutos[[#This Row],[credito_tomado]],IFERROR(VALUE(SUBSTITUTE(DadosBrutos[[#This Row],[credito_tomado]]," moedas","")),"-")))</f>
        <v>66000</v>
      </c>
      <c r="J33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36" s="1">
        <f>IF(DadosBrutos[[#This Row],[qtde_batalhas]]="","-",IF(ISNUMBER(DadosBrutos[[#This Row],[qtde_batalhas]]),DadosBrutos[[#This Row],[qtde_batalhas]],IFERROR(VALUE(SUBSTITUTE(DadosBrutos[[#This Row],[qtde_batalhas]]," batalhas","")),"-")))</f>
        <v>24</v>
      </c>
      <c r="L336" s="1" t="str">
        <f>IF(DadosL[[#This Row],[qtde_batalhas]]="-","-",IF(DadosL[[#This Row],[qtde_batalhas]]&lt;=10,"Baixo",IF(DadosL[[#This Row],[qtde_batalhas]]&lt;=25,"Médio","Alto")))</f>
        <v>Médio</v>
      </c>
      <c r="M33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72000</v>
      </c>
      <c r="N336" s="1" t="str">
        <f>IF(AND(DadosL[[#This Row],[nivel_risco]]="Alto",DadosL[[#This Row],[flag_inadimplente]]="Sim"),"Negado","Aprovado")</f>
        <v>Aprovado</v>
      </c>
      <c r="O336" s="1" t="str">
        <f>IF(AND(ISNUMBER(DadosL[[#This Row],[credito_tomado]]),DadosL[[#This Row],[credito_tomado]]&gt;50000,DadosL[[#This Row],[flag_inadimplente]]="Sim"),"Negado","Aprovado")</f>
        <v>Aprovado</v>
      </c>
      <c r="P336" s="46">
        <f>IF(OR(DadosL[[#This Row],[Analise_Risco]]="Negado",DadosL[[#This Row],[Analise_Credito]]="Negado"),0,IF(DadosL[[#This Row],[status]]="Ativo",DadosL[[#This Row],[valor_solicitado]]*1.08,0))</f>
        <v>77760</v>
      </c>
    </row>
    <row r="337" spans="1:16">
      <c r="A33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37" s="1" t="str">
        <f>PROPER(TRIM(DadosBrutos[[#This Row],[nome]]))</f>
        <v>Davos Tyrell</v>
      </c>
      <c r="C337" s="1" t="str">
        <f>IF(LEN(SUBSTITUTE(SUBSTITUTE(SUBSTITUTE(DadosBrutos[[#This Row],[cpf]],".",""),"-","")," ",""))=11,DadosBrutos[[#This Row],[cpf]],"-")</f>
        <v>000.000.079-00</v>
      </c>
      <c r="D33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65</v>
      </c>
      <c r="E337" s="45">
        <f>IF(DadosBrutos[[#This Row],[data_nascimento]]="","-",DadosBrutos[[#This Row],[data_nascimento]])</f>
        <v>22275</v>
      </c>
      <c r="F337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33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337" s="37">
        <f>IF(DadosBrutos[[#This Row],[renda_mensal]]="","-",IF(ISNUMBER(DadosBrutos[[#This Row],[renda_mensal]]),DadosBrutos[[#This Row],[renda_mensal]],IFERROR(VALUE(SUBSTITUTE(DadosBrutos[[#This Row],[renda_mensal]]," moedas","")),"-")))</f>
        <v>3300</v>
      </c>
      <c r="I337" s="37">
        <f>IF(DadosBrutos[[#This Row],[credito_tomado]]="","-",IF(ISNUMBER(DadosBrutos[[#This Row],[credito_tomado]]),DadosBrutos[[#This Row],[credito_tomado]],IFERROR(VALUE(SUBSTITUTE(DadosBrutos[[#This Row],[credito_tomado]]," moedas","")),"-")))</f>
        <v>43500</v>
      </c>
      <c r="J33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37" s="1">
        <f>IF(DadosBrutos[[#This Row],[qtde_batalhas]]="","-",IF(ISNUMBER(DadosBrutos[[#This Row],[qtde_batalhas]]),DadosBrutos[[#This Row],[qtde_batalhas]],IFERROR(VALUE(SUBSTITUTE(DadosBrutos[[#This Row],[qtde_batalhas]]," batalhas","")),"-")))</f>
        <v>27</v>
      </c>
      <c r="L337" s="1" t="str">
        <f>IF(DadosL[[#This Row],[qtde_batalhas]]="-","-",IF(DadosL[[#This Row],[qtde_batalhas]]&lt;=10,"Baixo",IF(DadosL[[#This Row],[qtde_batalhas]]&lt;=25,"Médio","Alto")))</f>
        <v>Alto</v>
      </c>
      <c r="M33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23500</v>
      </c>
      <c r="N337" s="1" t="str">
        <f>IF(AND(DadosL[[#This Row],[nivel_risco]]="Alto",DadosL[[#This Row],[flag_inadimplente]]="Sim"),"Negado","Aprovado")</f>
        <v>Aprovado</v>
      </c>
      <c r="O337" s="1" t="str">
        <f>IF(AND(ISNUMBER(DadosL[[#This Row],[credito_tomado]]),DadosL[[#This Row],[credito_tomado]]&gt;50000,DadosL[[#This Row],[flag_inadimplente]]="Sim"),"Negado","Aprovado")</f>
        <v>Aprovado</v>
      </c>
      <c r="P337" s="46">
        <f>IF(OR(DadosL[[#This Row],[Analise_Risco]]="Negado",DadosL[[#This Row],[Analise_Credito]]="Negado"),0,IF(DadosL[[#This Row],[status]]="Ativo",DadosL[[#This Row],[valor_solicitado]]*1.08,0))</f>
        <v>0</v>
      </c>
    </row>
    <row r="338" spans="1:16">
      <c r="A33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38" s="1" t="str">
        <f>PROPER(TRIM(DadosBrutos[[#This Row],[nome]]))</f>
        <v>Melisandre Cerwyn</v>
      </c>
      <c r="C338" s="1" t="str">
        <f>IF(LEN(SUBSTITUTE(SUBSTITUTE(SUBSTITUTE(DadosBrutos[[#This Row],[cpf]],".",""),"-","")," ",""))=11,DadosBrutos[[#This Row],[cpf]],"-")</f>
        <v>000.000.120-00</v>
      </c>
      <c r="D33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29</v>
      </c>
      <c r="E338" s="45">
        <f>IF(DadosBrutos[[#This Row],[data_nascimento]]="","-",DadosBrutos[[#This Row],[data_nascimento]])</f>
        <v>35392</v>
      </c>
      <c r="F338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33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338" s="37">
        <f>IF(DadosBrutos[[#This Row],[renda_mensal]]="","-",IF(ISNUMBER(DadosBrutos[[#This Row],[renda_mensal]]),DadosBrutos[[#This Row],[renda_mensal]],IFERROR(VALUE(SUBSTITUTE(DadosBrutos[[#This Row],[renda_mensal]]," moedas","")),"-")))</f>
        <v>6400</v>
      </c>
      <c r="I338" s="37">
        <f>IF(DadosBrutos[[#This Row],[credito_tomado]]="","-",IF(ISNUMBER(DadosBrutos[[#This Row],[credito_tomado]]),DadosBrutos[[#This Row],[credito_tomado]],IFERROR(VALUE(SUBSTITUTE(DadosBrutos[[#This Row],[credito_tomado]]," moedas","")),"-")))</f>
        <v>19500</v>
      </c>
      <c r="J33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38" s="1">
        <f>IF(DadosBrutos[[#This Row],[qtde_batalhas]]="","-",IF(ISNUMBER(DadosBrutos[[#This Row],[qtde_batalhas]]),DadosBrutos[[#This Row],[qtde_batalhas]],IFERROR(VALUE(SUBSTITUTE(DadosBrutos[[#This Row],[qtde_batalhas]]," batalhas","")),"-")))</f>
        <v>30</v>
      </c>
      <c r="L338" s="1" t="str">
        <f>IF(DadosL[[#This Row],[qtde_batalhas]]="-","-",IF(DadosL[[#This Row],[qtde_batalhas]]&lt;=10,"Baixo",IF(DadosL[[#This Row],[qtde_batalhas]]&lt;=25,"Médio","Alto")))</f>
        <v>Alto</v>
      </c>
      <c r="M33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51000</v>
      </c>
      <c r="N338" s="1" t="str">
        <f>IF(AND(DadosL[[#This Row],[nivel_risco]]="Alto",DadosL[[#This Row],[flag_inadimplente]]="Sim"),"Negado","Aprovado")</f>
        <v>Aprovado</v>
      </c>
      <c r="O338" s="1" t="str">
        <f>IF(AND(ISNUMBER(DadosL[[#This Row],[credito_tomado]]),DadosL[[#This Row],[credito_tomado]]&gt;50000,DadosL[[#This Row],[flag_inadimplente]]="Sim"),"Negado","Aprovado")</f>
        <v>Aprovado</v>
      </c>
      <c r="P338" s="46">
        <f>IF(OR(DadosL[[#This Row],[Analise_Risco]]="Negado",DadosL[[#This Row],[Analise_Credito]]="Negado"),0,IF(DadosL[[#This Row],[status]]="Ativo",DadosL[[#This Row],[valor_solicitado]]*1.08,0))</f>
        <v>55080</v>
      </c>
    </row>
    <row r="339" spans="1:16">
      <c r="A33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39" s="1" t="str">
        <f>PROPER(TRIM(DadosBrutos[[#This Row],[nome]]))</f>
        <v>Thoros  Frey</v>
      </c>
      <c r="C339" s="1" t="str">
        <f>IF(LEN(SUBSTITUTE(SUBSTITUTE(SUBSTITUTE(DadosBrutos[[#This Row],[cpf]],".",""),"-","")," ",""))=11,DadosBrutos[[#This Row],[cpf]],"-")</f>
        <v>000.000.113-00</v>
      </c>
      <c r="D33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55</v>
      </c>
      <c r="E339" s="45">
        <f>IF(DadosBrutos[[#This Row],[data_nascimento]]="","-",DadosBrutos[[#This Row],[data_nascimento]])</f>
        <v>25844</v>
      </c>
      <c r="F339" s="1" t="str">
        <f>IF(ISNUMBER(SEARCH("|",DadosBrutos[[#This Row],[cidade]])),TRIM(LEFT(DadosBrutos[[#This Row],[cidade]],SEARCH("|",DadosBrutos[[#This Row],[cidade]])-1)),TRIM(DadosBrutos[[#This Row],[cidade]]))</f>
        <v>Jardim de Cima</v>
      </c>
      <c r="G33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339" s="37">
        <f>IF(DadosBrutos[[#This Row],[renda_mensal]]="","-",IF(ISNUMBER(DadosBrutos[[#This Row],[renda_mensal]]),DadosBrutos[[#This Row],[renda_mensal]],IFERROR(VALUE(SUBSTITUTE(DadosBrutos[[#This Row],[renda_mensal]]," moedas","")),"-")))</f>
        <v>17400</v>
      </c>
      <c r="I339" s="37">
        <f>IF(DadosBrutos[[#This Row],[credito_tomado]]="","-",IF(ISNUMBER(DadosBrutos[[#This Row],[credito_tomado]]),DadosBrutos[[#This Row],[credito_tomado]],IFERROR(VALUE(SUBSTITUTE(DadosBrutos[[#This Row],[credito_tomado]]," moedas","")),"-")))</f>
        <v>75500</v>
      </c>
      <c r="J33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39" s="1">
        <f>IF(DadosBrutos[[#This Row],[qtde_batalhas]]="","-",IF(ISNUMBER(DadosBrutos[[#This Row],[qtde_batalhas]]),DadosBrutos[[#This Row],[qtde_batalhas]],IFERROR(VALUE(SUBSTITUTE(DadosBrutos[[#This Row],[qtde_batalhas]]," batalhas","")),"-")))</f>
        <v>9</v>
      </c>
      <c r="L339" s="1" t="str">
        <f>IF(DadosL[[#This Row],[qtde_batalhas]]="-","-",IF(DadosL[[#This Row],[qtde_batalhas]]&lt;=10,"Baixo",IF(DadosL[[#This Row],[qtde_batalhas]]&lt;=25,"Médio","Alto")))</f>
        <v>Baixo</v>
      </c>
      <c r="M33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52000</v>
      </c>
      <c r="N339" s="1" t="str">
        <f>IF(AND(DadosL[[#This Row],[nivel_risco]]="Alto",DadosL[[#This Row],[flag_inadimplente]]="Sim"),"Negado","Aprovado")</f>
        <v>Aprovado</v>
      </c>
      <c r="O339" s="1" t="str">
        <f>IF(AND(ISNUMBER(DadosL[[#This Row],[credito_tomado]]),DadosL[[#This Row],[credito_tomado]]&gt;50000,DadosL[[#This Row],[flag_inadimplente]]="Sim"),"Negado","Aprovado")</f>
        <v>Aprovado</v>
      </c>
      <c r="P339" s="46">
        <f>IF(OR(DadosL[[#This Row],[Analise_Risco]]="Negado",DadosL[[#This Row],[Analise_Credito]]="Negado"),0,IF(DadosL[[#This Row],[status]]="Ativo",DadosL[[#This Row],[valor_solicitado]]*1.08,0))</f>
        <v>56160.000000000007</v>
      </c>
    </row>
    <row r="340" spans="1:16">
      <c r="A34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40" s="1" t="str">
        <f>PROPER(TRIM(DadosBrutos[[#This Row],[nome]]))</f>
        <v>Missandei Glover</v>
      </c>
      <c r="C340" s="1" t="str">
        <f>IF(LEN(SUBSTITUTE(SUBSTITUTE(SUBSTITUTE(DadosBrutos[[#This Row],[cpf]],".",""),"-","")," ",""))=11,DadosBrutos[[#This Row],[cpf]],"-")</f>
        <v>-</v>
      </c>
      <c r="D34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38</v>
      </c>
      <c r="E340" s="45">
        <f>IF(DadosBrutos[[#This Row],[data_nascimento]]="","-",DadosBrutos[[#This Row],[data_nascimento]])</f>
        <v>32118</v>
      </c>
      <c r="F340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34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340" s="37">
        <f>IF(DadosBrutos[[#This Row],[renda_mensal]]="","-",IF(ISNUMBER(DadosBrutos[[#This Row],[renda_mensal]]),DadosBrutos[[#This Row],[renda_mensal]],IFERROR(VALUE(SUBSTITUTE(DadosBrutos[[#This Row],[renda_mensal]]," moedas","")),"-")))</f>
        <v>15800</v>
      </c>
      <c r="I340" s="37">
        <f>IF(DadosBrutos[[#This Row],[credito_tomado]]="","-",IF(ISNUMBER(DadosBrutos[[#This Row],[credito_tomado]]),DadosBrutos[[#This Row],[credito_tomado]],IFERROR(VALUE(SUBSTITUTE(DadosBrutos[[#This Row],[credito_tomado]]," moedas","")),"-")))</f>
        <v>14500</v>
      </c>
      <c r="J34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40" s="1">
        <f>IF(DadosBrutos[[#This Row],[qtde_batalhas]]="","-",IF(ISNUMBER(DadosBrutos[[#This Row],[qtde_batalhas]]),DadosBrutos[[#This Row],[qtde_batalhas]],IFERROR(VALUE(SUBSTITUTE(DadosBrutos[[#This Row],[qtde_batalhas]]," batalhas","")),"-")))</f>
        <v>4</v>
      </c>
      <c r="L340" s="1" t="str">
        <f>IF(DadosL[[#This Row],[qtde_batalhas]]="-","-",IF(DadosL[[#This Row],[qtde_batalhas]]&lt;=10,"Baixo",IF(DadosL[[#This Row],[qtde_batalhas]]&lt;=25,"Médio","Alto")))</f>
        <v>Baixo</v>
      </c>
      <c r="M34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21000</v>
      </c>
      <c r="N340" s="1" t="str">
        <f>IF(AND(DadosL[[#This Row],[nivel_risco]]="Alto",DadosL[[#This Row],[flag_inadimplente]]="Sim"),"Negado","Aprovado")</f>
        <v>Aprovado</v>
      </c>
      <c r="O340" s="1" t="str">
        <f>IF(AND(ISNUMBER(DadosL[[#This Row],[credito_tomado]]),DadosL[[#This Row],[credito_tomado]]&gt;50000,DadosL[[#This Row],[flag_inadimplente]]="Sim"),"Negado","Aprovado")</f>
        <v>Aprovado</v>
      </c>
      <c r="P340" s="46">
        <f>IF(OR(DadosL[[#This Row],[Analise_Risco]]="Negado",DadosL[[#This Row],[Analise_Credito]]="Negado"),0,IF(DadosL[[#This Row],[status]]="Ativo",DadosL[[#This Row],[valor_solicitado]]*1.08,0))</f>
        <v>0</v>
      </c>
    </row>
    <row r="341" spans="1:16">
      <c r="A34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41" s="1" t="str">
        <f>PROPER(TRIM(DadosBrutos[[#This Row],[nome]]))</f>
        <v>Gilly Glover</v>
      </c>
      <c r="C341" s="1" t="str">
        <f>IF(LEN(SUBSTITUTE(SUBSTITUTE(SUBSTITUTE(DadosBrutos[[#This Row],[cpf]],".",""),"-","")," ",""))=11,DadosBrutos[[#This Row],[cpf]],"-")</f>
        <v>-</v>
      </c>
      <c r="D34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58</v>
      </c>
      <c r="E341" s="45">
        <f>IF(DadosBrutos[[#This Row],[data_nascimento]]="","-",DadosBrutos[[#This Row],[data_nascimento]])</f>
        <v>24840</v>
      </c>
      <c r="F341" s="1" t="str">
        <f>IF(ISNUMBER(SEARCH("|",DadosBrutos[[#This Row],[cidade]])),TRIM(LEFT(DadosBrutos[[#This Row],[cidade]],SEARCH("|",DadosBrutos[[#This Row],[cidade]])-1)),TRIM(DadosBrutos[[#This Row],[cidade]]))</f>
        <v>Atalaia da Água Cinzenta</v>
      </c>
      <c r="G34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341" s="37">
        <f>IF(DadosBrutos[[#This Row],[renda_mensal]]="","-",IF(ISNUMBER(DadosBrutos[[#This Row],[renda_mensal]]),DadosBrutos[[#This Row],[renda_mensal]],IFERROR(VALUE(SUBSTITUTE(DadosBrutos[[#This Row],[renda_mensal]]," moedas","")),"-")))</f>
        <v>2800</v>
      </c>
      <c r="I341" s="37">
        <f>IF(DadosBrutos[[#This Row],[credito_tomado]]="","-",IF(ISNUMBER(DadosBrutos[[#This Row],[credito_tomado]]),DadosBrutos[[#This Row],[credito_tomado]],IFERROR(VALUE(SUBSTITUTE(DadosBrutos[[#This Row],[credito_tomado]]," moedas","")),"-")))</f>
        <v>35000</v>
      </c>
      <c r="J34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41" s="1">
        <f>IF(DadosBrutos[[#This Row],[qtde_batalhas]]="","-",IF(ISNUMBER(DadosBrutos[[#This Row],[qtde_batalhas]]),DadosBrutos[[#This Row],[qtde_batalhas]],IFERROR(VALUE(SUBSTITUTE(DadosBrutos[[#This Row],[qtde_batalhas]]," batalhas","")),"-")))</f>
        <v>36</v>
      </c>
      <c r="L341" s="1" t="str">
        <f>IF(DadosL[[#This Row],[qtde_batalhas]]="-","-",IF(DadosL[[#This Row],[qtde_batalhas]]&lt;=10,"Baixo",IF(DadosL[[#This Row],[qtde_batalhas]]&lt;=25,"Médio","Alto")))</f>
        <v>Alto</v>
      </c>
      <c r="M34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9000</v>
      </c>
      <c r="N341" s="1" t="str">
        <f>IF(AND(DadosL[[#This Row],[nivel_risco]]="Alto",DadosL[[#This Row],[flag_inadimplente]]="Sim"),"Negado","Aprovado")</f>
        <v>Aprovado</v>
      </c>
      <c r="O341" s="1" t="str">
        <f>IF(AND(ISNUMBER(DadosL[[#This Row],[credito_tomado]]),DadosL[[#This Row],[credito_tomado]]&gt;50000,DadosL[[#This Row],[flag_inadimplente]]="Sim"),"Negado","Aprovado")</f>
        <v>Aprovado</v>
      </c>
      <c r="P341" s="46">
        <f>IF(OR(DadosL[[#This Row],[Analise_Risco]]="Negado",DadosL[[#This Row],[Analise_Credito]]="Negado"),0,IF(DadosL[[#This Row],[status]]="Ativo",DadosL[[#This Row],[valor_solicitado]]*1.08,0))</f>
        <v>9720</v>
      </c>
    </row>
    <row r="342" spans="1:16">
      <c r="A34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42" s="1" t="str">
        <f>PROPER(TRIM(DadosBrutos[[#This Row],[nome]]))</f>
        <v>Robb Reed</v>
      </c>
      <c r="C342" s="1" t="str">
        <f>IF(LEN(SUBSTITUTE(SUBSTITUTE(SUBSTITUTE(DadosBrutos[[#This Row],[cpf]],".",""),"-","")," ",""))=11,DadosBrutos[[#This Row],[cpf]],"-")</f>
        <v>000.000.246-00</v>
      </c>
      <c r="D34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29</v>
      </c>
      <c r="E342" s="45">
        <f>IF(DadosBrutos[[#This Row],[data_nascimento]]="","-",DadosBrutos[[#This Row],[data_nascimento]])</f>
        <v>35600</v>
      </c>
      <c r="F342" s="1" t="str">
        <f>IF(ISNUMBER(SEARCH("|",DadosBrutos[[#This Row],[cidade]])),TRIM(LEFT(DadosBrutos[[#This Row],[cidade]],SEARCH("|",DadosBrutos[[#This Row],[cidade]])-1)),TRIM(DadosBrutos[[#This Row],[cidade]]))</f>
        <v>Harrenhal</v>
      </c>
      <c r="G34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342" s="37">
        <f>IF(DadosBrutos[[#This Row],[renda_mensal]]="","-",IF(ISNUMBER(DadosBrutos[[#This Row],[renda_mensal]]),DadosBrutos[[#This Row],[renda_mensal]],IFERROR(VALUE(SUBSTITUTE(DadosBrutos[[#This Row],[renda_mensal]]," moedas","")),"-")))</f>
        <v>9600</v>
      </c>
      <c r="I342" s="37">
        <f>IF(DadosBrutos[[#This Row],[credito_tomado]]="","-",IF(ISNUMBER(DadosBrutos[[#This Row],[credito_tomado]]),DadosBrutos[[#This Row],[credito_tomado]],IFERROR(VALUE(SUBSTITUTE(DadosBrutos[[#This Row],[credito_tomado]]," moedas","")),"-")))</f>
        <v>41000</v>
      </c>
      <c r="J34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42" s="1">
        <f>IF(DadosBrutos[[#This Row],[qtde_batalhas]]="","-",IF(ISNUMBER(DadosBrutos[[#This Row],[qtde_batalhas]]),DadosBrutos[[#This Row],[qtde_batalhas]],IFERROR(VALUE(SUBSTITUTE(DadosBrutos[[#This Row],[qtde_batalhas]]," batalhas","")),"-")))</f>
        <v>27</v>
      </c>
      <c r="L342" s="1" t="str">
        <f>IF(DadosL[[#This Row],[qtde_batalhas]]="-","-",IF(DadosL[[#This Row],[qtde_batalhas]]&lt;=10,"Baixo",IF(DadosL[[#This Row],[qtde_batalhas]]&lt;=25,"Médio","Alto")))</f>
        <v>Alto</v>
      </c>
      <c r="M34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25000</v>
      </c>
      <c r="N342" s="1" t="str">
        <f>IF(AND(DadosL[[#This Row],[nivel_risco]]="Alto",DadosL[[#This Row],[flag_inadimplente]]="Sim"),"Negado","Aprovado")</f>
        <v>Aprovado</v>
      </c>
      <c r="O342" s="1" t="str">
        <f>IF(AND(ISNUMBER(DadosL[[#This Row],[credito_tomado]]),DadosL[[#This Row],[credito_tomado]]&gt;50000,DadosL[[#This Row],[flag_inadimplente]]="Sim"),"Negado","Aprovado")</f>
        <v>Aprovado</v>
      </c>
      <c r="P342" s="46">
        <f>IF(OR(DadosL[[#This Row],[Analise_Risco]]="Negado",DadosL[[#This Row],[Analise_Credito]]="Negado"),0,IF(DadosL[[#This Row],[status]]="Ativo",DadosL[[#This Row],[valor_solicitado]]*1.08,0))</f>
        <v>27000</v>
      </c>
    </row>
    <row r="343" spans="1:16">
      <c r="A34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43" s="1" t="str">
        <f>PROPER(TRIM(DadosBrutos[[#This Row],[nome]]))</f>
        <v>Petyr Mallister</v>
      </c>
      <c r="C343" s="1" t="str">
        <f>IF(LEN(SUBSTITUTE(SUBSTITUTE(SUBSTITUTE(DadosBrutos[[#This Row],[cpf]],".",""),"-","")," ",""))=11,DadosBrutos[[#This Row],[cpf]],"-")</f>
        <v>-</v>
      </c>
      <c r="D34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36</v>
      </c>
      <c r="E343" s="45">
        <f>IF(DadosBrutos[[#This Row],[data_nascimento]]="","-",DadosBrutos[[#This Row],[data_nascimento]])</f>
        <v>32890</v>
      </c>
      <c r="F343" s="1" t="str">
        <f>IF(ISNUMBER(SEARCH("|",DadosBrutos[[#This Row],[cidade]])),TRIM(LEFT(DadosBrutos[[#This Row],[cidade]],SEARCH("|",DadosBrutos[[#This Row],[cidade]])-1)),TRIM(DadosBrutos[[#This Row],[cidade]]))</f>
        <v>Correrrio</v>
      </c>
      <c r="G34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343" s="37">
        <f>IF(DadosBrutos[[#This Row],[renda_mensal]]="","-",IF(ISNUMBER(DadosBrutos[[#This Row],[renda_mensal]]),DadosBrutos[[#This Row],[renda_mensal]],IFERROR(VALUE(SUBSTITUTE(DadosBrutos[[#This Row],[renda_mensal]]," moedas","")),"-")))</f>
        <v>28100</v>
      </c>
      <c r="I343" s="37">
        <f>IF(DadosBrutos[[#This Row],[credito_tomado]]="","-",IF(ISNUMBER(DadosBrutos[[#This Row],[credito_tomado]]),DadosBrutos[[#This Row],[credito_tomado]],IFERROR(VALUE(SUBSTITUTE(DadosBrutos[[#This Row],[credito_tomado]]," moedas","")),"-")))</f>
        <v>36500</v>
      </c>
      <c r="J34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43" s="1">
        <f>IF(DadosBrutos[[#This Row],[qtde_batalhas]]="","-",IF(ISNUMBER(DadosBrutos[[#This Row],[qtde_batalhas]]),DadosBrutos[[#This Row],[qtde_batalhas]],IFERROR(VALUE(SUBSTITUTE(DadosBrutos[[#This Row],[qtde_batalhas]]," batalhas","")),"-")))</f>
        <v>13</v>
      </c>
      <c r="L343" s="1" t="str">
        <f>IF(DadosL[[#This Row],[qtde_batalhas]]="-","-",IF(DadosL[[#This Row],[qtde_batalhas]]&lt;=10,"Baixo",IF(DadosL[[#This Row],[qtde_batalhas]]&lt;=25,"Médio","Alto")))</f>
        <v>Médio</v>
      </c>
      <c r="M34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5000</v>
      </c>
      <c r="N343" s="1" t="str">
        <f>IF(AND(DadosL[[#This Row],[nivel_risco]]="Alto",DadosL[[#This Row],[flag_inadimplente]]="Sim"),"Negado","Aprovado")</f>
        <v>Aprovado</v>
      </c>
      <c r="O343" s="1" t="str">
        <f>IF(AND(ISNUMBER(DadosL[[#This Row],[credito_tomado]]),DadosL[[#This Row],[credito_tomado]]&gt;50000,DadosL[[#This Row],[flag_inadimplente]]="Sim"),"Negado","Aprovado")</f>
        <v>Aprovado</v>
      </c>
      <c r="P343" s="46">
        <f>IF(OR(DadosL[[#This Row],[Analise_Risco]]="Negado",DadosL[[#This Row],[Analise_Credito]]="Negado"),0,IF(DadosL[[#This Row],[status]]="Ativo",DadosL[[#This Row],[valor_solicitado]]*1.08,0))</f>
        <v>0</v>
      </c>
    </row>
    <row r="344" spans="1:16">
      <c r="A34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44" s="1" t="str">
        <f>PROPER(TRIM(DadosBrutos[[#This Row],[nome]]))</f>
        <v>Cersei Tarth</v>
      </c>
      <c r="C344" s="1" t="str">
        <f>IF(LEN(SUBSTITUTE(SUBSTITUTE(SUBSTITUTE(DadosBrutos[[#This Row],[cpf]],".",""),"-","")," ",""))=11,DadosBrutos[[#This Row],[cpf]],"-")</f>
        <v>-</v>
      </c>
      <c r="D34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46</v>
      </c>
      <c r="E344" s="45">
        <f>IF(DadosBrutos[[#This Row],[data_nascimento]]="","-",DadosBrutos[[#This Row],[data_nascimento]])</f>
        <v>29427</v>
      </c>
      <c r="F344" s="1" t="str">
        <f>IF(ISNUMBER(SEARCH("|",DadosBrutos[[#This Row],[cidade]])),TRIM(LEFT(DadosBrutos[[#This Row],[cidade]],SEARCH("|",DadosBrutos[[#This Row],[cidade]])-1)),TRIM(DadosBrutos[[#This Row],[cidade]]))</f>
        <v>Harrenhal</v>
      </c>
      <c r="G34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344" s="37" t="str">
        <f>IF(DadosBrutos[[#This Row],[renda_mensal]]="","-",IF(ISNUMBER(DadosBrutos[[#This Row],[renda_mensal]]),DadosBrutos[[#This Row],[renda_mensal]],IFERROR(VALUE(SUBSTITUTE(DadosBrutos[[#This Row],[renda_mensal]]," moedas","")),"-")))</f>
        <v>-</v>
      </c>
      <c r="I344" s="37">
        <f>IF(DadosBrutos[[#This Row],[credito_tomado]]="","-",IF(ISNUMBER(DadosBrutos[[#This Row],[credito_tomado]]),DadosBrutos[[#This Row],[credito_tomado]],IFERROR(VALUE(SUBSTITUTE(DadosBrutos[[#This Row],[credito_tomado]]," moedas","")),"-")))</f>
        <v>37500</v>
      </c>
      <c r="J34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44" s="1" t="str">
        <f>IF(DadosBrutos[[#This Row],[qtde_batalhas]]="","-",IF(ISNUMBER(DadosBrutos[[#This Row],[qtde_batalhas]]),DadosBrutos[[#This Row],[qtde_batalhas]],IFERROR(VALUE(SUBSTITUTE(DadosBrutos[[#This Row],[qtde_batalhas]]," batalhas","")),"-")))</f>
        <v>-</v>
      </c>
      <c r="L344" s="1" t="str">
        <f>IF(DadosL[[#This Row],[qtde_batalhas]]="-","-",IF(DadosL[[#This Row],[qtde_batalhas]]&lt;=10,"Baixo",IF(DadosL[[#This Row],[qtde_batalhas]]&lt;=25,"Médio","Alto")))</f>
        <v>-</v>
      </c>
      <c r="M34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77000</v>
      </c>
      <c r="N344" s="1" t="str">
        <f>IF(AND(DadosL[[#This Row],[nivel_risco]]="Alto",DadosL[[#This Row],[flag_inadimplente]]="Sim"),"Negado","Aprovado")</f>
        <v>Aprovado</v>
      </c>
      <c r="O344" s="1" t="str">
        <f>IF(AND(ISNUMBER(DadosL[[#This Row],[credito_tomado]]),DadosL[[#This Row],[credito_tomado]]&gt;50000,DadosL[[#This Row],[flag_inadimplente]]="Sim"),"Negado","Aprovado")</f>
        <v>Aprovado</v>
      </c>
      <c r="P344" s="46">
        <f>IF(OR(DadosL[[#This Row],[Analise_Risco]]="Negado",DadosL[[#This Row],[Analise_Credito]]="Negado"),0,IF(DadosL[[#This Row],[status]]="Ativo",DadosL[[#This Row],[valor_solicitado]]*1.08,0))</f>
        <v>0</v>
      </c>
    </row>
    <row r="345" spans="1:16">
      <c r="A34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45" s="1" t="str">
        <f>PROPER(TRIM(DadosBrutos[[#This Row],[nome]]))</f>
        <v>Loras Payne</v>
      </c>
      <c r="C345" s="1" t="str">
        <f>IF(LEN(SUBSTITUTE(SUBSTITUTE(SUBSTITUTE(DadosBrutos[[#This Row],[cpf]],".",""),"-","")," ",""))=11,DadosBrutos[[#This Row],[cpf]],"-")</f>
        <v>000.000.027-00</v>
      </c>
      <c r="D34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30</v>
      </c>
      <c r="E345" s="45">
        <f>IF(DadosBrutos[[#This Row],[data_nascimento]]="","-",DadosBrutos[[#This Row],[data_nascimento]])</f>
        <v>35200</v>
      </c>
      <c r="F345" s="1" t="str">
        <f>IF(ISNUMBER(SEARCH("|",DadosBrutos[[#This Row],[cidade]])),TRIM(LEFT(DadosBrutos[[#This Row],[cidade]],SEARCH("|",DadosBrutos[[#This Row],[cidade]])-1)),TRIM(DadosBrutos[[#This Row],[cidade]]))</f>
        <v>Braavos</v>
      </c>
      <c r="G34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345" s="37">
        <f>IF(DadosBrutos[[#This Row],[renda_mensal]]="","-",IF(ISNUMBER(DadosBrutos[[#This Row],[renda_mensal]]),DadosBrutos[[#This Row],[renda_mensal]],IFERROR(VALUE(SUBSTITUTE(DadosBrutos[[#This Row],[renda_mensal]]," moedas","")),"-")))</f>
        <v>26500</v>
      </c>
      <c r="I345" s="37">
        <f>IF(DadosBrutos[[#This Row],[credito_tomado]]="","-",IF(ISNUMBER(DadosBrutos[[#This Row],[credito_tomado]]),DadosBrutos[[#This Row],[credito_tomado]],IFERROR(VALUE(SUBSTITUTE(DadosBrutos[[#This Row],[credito_tomado]]," moedas","")),"-")))</f>
        <v>14500</v>
      </c>
      <c r="J34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45" s="1">
        <f>IF(DadosBrutos[[#This Row],[qtde_batalhas]]="","-",IF(ISNUMBER(DadosBrutos[[#This Row],[qtde_batalhas]]),DadosBrutos[[#This Row],[qtde_batalhas]],IFERROR(VALUE(SUBSTITUTE(DadosBrutos[[#This Row],[qtde_batalhas]]," batalhas","")),"-")))</f>
        <v>15</v>
      </c>
      <c r="L345" s="1" t="str">
        <f>IF(DadosL[[#This Row],[qtde_batalhas]]="-","-",IF(DadosL[[#This Row],[qtde_batalhas]]&lt;=10,"Baixo",IF(DadosL[[#This Row],[qtde_batalhas]]&lt;=25,"Médio","Alto")))</f>
        <v>Médio</v>
      </c>
      <c r="M34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39000</v>
      </c>
      <c r="N345" s="1" t="str">
        <f>IF(AND(DadosL[[#This Row],[nivel_risco]]="Alto",DadosL[[#This Row],[flag_inadimplente]]="Sim"),"Negado","Aprovado")</f>
        <v>Aprovado</v>
      </c>
      <c r="O345" s="1" t="str">
        <f>IF(AND(ISNUMBER(DadosL[[#This Row],[credito_tomado]]),DadosL[[#This Row],[credito_tomado]]&gt;50000,DadosL[[#This Row],[flag_inadimplente]]="Sim"),"Negado","Aprovado")</f>
        <v>Aprovado</v>
      </c>
      <c r="P345" s="46">
        <f>IF(OR(DadosL[[#This Row],[Analise_Risco]]="Negado",DadosL[[#This Row],[Analise_Credito]]="Negado"),0,IF(DadosL[[#This Row],[status]]="Ativo",DadosL[[#This Row],[valor_solicitado]]*1.08,0))</f>
        <v>0</v>
      </c>
    </row>
    <row r="346" spans="1:16">
      <c r="A34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46" s="1" t="str">
        <f>PROPER(TRIM(DadosBrutos[[#This Row],[nome]]))</f>
        <v>Rickon Frey</v>
      </c>
      <c r="C346" s="1" t="str">
        <f>IF(LEN(SUBSTITUTE(SUBSTITUTE(SUBSTITUTE(DadosBrutos[[#This Row],[cpf]],".",""),"-","")," ",""))=11,DadosBrutos[[#This Row],[cpf]],"-")</f>
        <v>000.000.013-00</v>
      </c>
      <c r="D34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60</v>
      </c>
      <c r="E346" s="45">
        <f>IF(DadosBrutos[[#This Row],[data_nascimento]]="","-",DadosBrutos[[#This Row],[data_nascimento]])</f>
        <v>24202</v>
      </c>
      <c r="F346" s="1" t="str">
        <f>IF(ISNUMBER(SEARCH("|",DadosBrutos[[#This Row],[cidade]])),TRIM(LEFT(DadosBrutos[[#This Row],[cidade]],SEARCH("|",DadosBrutos[[#This Row],[cidade]])-1)),TRIM(DadosBrutos[[#This Row],[cidade]]))</f>
        <v>Solar do Entardecer</v>
      </c>
      <c r="G34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346" s="37">
        <f>IF(DadosBrutos[[#This Row],[renda_mensal]]="","-",IF(ISNUMBER(DadosBrutos[[#This Row],[renda_mensal]]),DadosBrutos[[#This Row],[renda_mensal]],IFERROR(VALUE(SUBSTITUTE(DadosBrutos[[#This Row],[renda_mensal]]," moedas","")),"-")))</f>
        <v>5500</v>
      </c>
      <c r="I346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34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46" s="1">
        <f>IF(DadosBrutos[[#This Row],[qtde_batalhas]]="","-",IF(ISNUMBER(DadosBrutos[[#This Row],[qtde_batalhas]]),DadosBrutos[[#This Row],[qtde_batalhas]],IFERROR(VALUE(SUBSTITUTE(DadosBrutos[[#This Row],[qtde_batalhas]]," batalhas","")),"-")))</f>
        <v>26</v>
      </c>
      <c r="L346" s="1" t="str">
        <f>IF(DadosL[[#This Row],[qtde_batalhas]]="-","-",IF(DadosL[[#This Row],[qtde_batalhas]]&lt;=10,"Baixo",IF(DadosL[[#This Row],[qtde_batalhas]]&lt;=25,"Médio","Alto")))</f>
        <v>Alto</v>
      </c>
      <c r="M34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52500</v>
      </c>
      <c r="N346" s="1" t="str">
        <f>IF(AND(DadosL[[#This Row],[nivel_risco]]="Alto",DadosL[[#This Row],[flag_inadimplente]]="Sim"),"Negado","Aprovado")</f>
        <v>Aprovado</v>
      </c>
      <c r="O346" s="1" t="str">
        <f>IF(AND(ISNUMBER(DadosL[[#This Row],[credito_tomado]]),DadosL[[#This Row],[credito_tomado]]&gt;50000,DadosL[[#This Row],[flag_inadimplente]]="Sim"),"Negado","Aprovado")</f>
        <v>Aprovado</v>
      </c>
      <c r="P346" s="46">
        <f>IF(OR(DadosL[[#This Row],[Analise_Risco]]="Negado",DadosL[[#This Row],[Analise_Credito]]="Negado"),0,IF(DadosL[[#This Row],[status]]="Ativo",DadosL[[#This Row],[valor_solicitado]]*1.08,0))</f>
        <v>56700.000000000007</v>
      </c>
    </row>
    <row r="347" spans="1:16">
      <c r="A34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47" s="1" t="str">
        <f>PROPER(TRIM(DadosBrutos[[#This Row],[nome]]))</f>
        <v>Loras  Tarth</v>
      </c>
      <c r="C347" s="1" t="str">
        <f>IF(LEN(SUBSTITUTE(SUBSTITUTE(SUBSTITUTE(DadosBrutos[[#This Row],[cpf]],".",""),"-","")," ",""))=11,DadosBrutos[[#This Row],[cpf]],"-")</f>
        <v>000.000.286-00</v>
      </c>
      <c r="D34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43</v>
      </c>
      <c r="E347" s="45">
        <f>IF(DadosBrutos[[#This Row],[data_nascimento]]="","-",DadosBrutos[[#This Row],[data_nascimento]])</f>
        <v>30437</v>
      </c>
      <c r="F347" s="1" t="str">
        <f>IF(ISNUMBER(SEARCH("|",DadosBrutos[[#This Row],[cidade]])),TRIM(LEFT(DadosBrutos[[#This Row],[cidade]],SEARCH("|",DadosBrutos[[#This Row],[cidade]])-1)),TRIM(DadosBrutos[[#This Row],[cidade]]))</f>
        <v>Porto Real</v>
      </c>
      <c r="G34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Coroa</v>
      </c>
      <c r="H347" s="37">
        <f>IF(DadosBrutos[[#This Row],[renda_mensal]]="","-",IF(ISNUMBER(DadosBrutos[[#This Row],[renda_mensal]]),DadosBrutos[[#This Row],[renda_mensal]],IFERROR(VALUE(SUBSTITUTE(DadosBrutos[[#This Row],[renda_mensal]]," moedas","")),"-")))</f>
        <v>14600</v>
      </c>
      <c r="I347" s="37">
        <f>IF(DadosBrutos[[#This Row],[credito_tomado]]="","-",IF(ISNUMBER(DadosBrutos[[#This Row],[credito_tomado]]),DadosBrutos[[#This Row],[credito_tomado]],IFERROR(VALUE(SUBSTITUTE(DadosBrutos[[#This Row],[credito_tomado]]," moedas","")),"-")))</f>
        <v>18500</v>
      </c>
      <c r="J34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47" s="1">
        <f>IF(DadosBrutos[[#This Row],[qtde_batalhas]]="","-",IF(ISNUMBER(DadosBrutos[[#This Row],[qtde_batalhas]]),DadosBrutos[[#This Row],[qtde_batalhas]],IFERROR(VALUE(SUBSTITUTE(DadosBrutos[[#This Row],[qtde_batalhas]]," batalhas","")),"-")))</f>
        <v>22</v>
      </c>
      <c r="L347" s="1" t="str">
        <f>IF(DadosL[[#This Row],[qtde_batalhas]]="-","-",IF(DadosL[[#This Row],[qtde_batalhas]]&lt;=10,"Baixo",IF(DadosL[[#This Row],[qtde_batalhas]]&lt;=25,"Médio","Alto")))</f>
        <v>Médio</v>
      </c>
      <c r="M34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16500</v>
      </c>
      <c r="N347" s="1" t="str">
        <f>IF(AND(DadosL[[#This Row],[nivel_risco]]="Alto",DadosL[[#This Row],[flag_inadimplente]]="Sim"),"Negado","Aprovado")</f>
        <v>Aprovado</v>
      </c>
      <c r="O347" s="1" t="str">
        <f>IF(AND(ISNUMBER(DadosL[[#This Row],[credito_tomado]]),DadosL[[#This Row],[credito_tomado]]&gt;50000,DadosL[[#This Row],[flag_inadimplente]]="Sim"),"Negado","Aprovado")</f>
        <v>Aprovado</v>
      </c>
      <c r="P347" s="46">
        <f>IF(OR(DadosL[[#This Row],[Analise_Risco]]="Negado",DadosL[[#This Row],[Analise_Credito]]="Negado"),0,IF(DadosL[[#This Row],[status]]="Ativo",DadosL[[#This Row],[valor_solicitado]]*1.08,0))</f>
        <v>17820</v>
      </c>
    </row>
    <row r="348" spans="1:16">
      <c r="A34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-</v>
      </c>
      <c r="B348" s="1" t="str">
        <f>PROPER(TRIM(DadosBrutos[[#This Row],[nome]]))</f>
        <v>Jon Hornwood</v>
      </c>
      <c r="C348" s="1" t="str">
        <f>IF(LEN(SUBSTITUTE(SUBSTITUTE(SUBSTITUTE(DadosBrutos[[#This Row],[cpf]],".",""),"-","")," ",""))=11,DadosBrutos[[#This Row],[cpf]],"-")</f>
        <v>-</v>
      </c>
      <c r="D34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26</v>
      </c>
      <c r="E348" s="45">
        <f>IF(DadosBrutos[[#This Row],[data_nascimento]]="","-",DadosBrutos[[#This Row],[data_nascimento]])</f>
        <v>36759</v>
      </c>
      <c r="F348" s="1" t="str">
        <f>IF(ISNUMBER(SEARCH("|",DadosBrutos[[#This Row],[cidade]])),TRIM(LEFT(DadosBrutos[[#This Row],[cidade]],SEARCH("|",DadosBrutos[[#This Row],[cidade]])-1)),TRIM(DadosBrutos[[#This Row],[cidade]]))</f>
        <v>Dorne</v>
      </c>
      <c r="G34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348" s="37">
        <f>IF(DadosBrutos[[#This Row],[renda_mensal]]="","-",IF(ISNUMBER(DadosBrutos[[#This Row],[renda_mensal]]),DadosBrutos[[#This Row],[renda_mensal]],IFERROR(VALUE(SUBSTITUTE(DadosBrutos[[#This Row],[renda_mensal]]," moedas","")),"-")))</f>
        <v>23200</v>
      </c>
      <c r="I348" s="37">
        <f>IF(DadosBrutos[[#This Row],[credito_tomado]]="","-",IF(ISNUMBER(DadosBrutos[[#This Row],[credito_tomado]]),DadosBrutos[[#This Row],[credito_tomado]],IFERROR(VALUE(SUBSTITUTE(DadosBrutos[[#This Row],[credito_tomado]]," moedas","")),"-")))</f>
        <v>54500</v>
      </c>
      <c r="J34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48" s="1">
        <f>IF(DadosBrutos[[#This Row],[qtde_batalhas]]="","-",IF(ISNUMBER(DadosBrutos[[#This Row],[qtde_batalhas]]),DadosBrutos[[#This Row],[qtde_batalhas]],IFERROR(VALUE(SUBSTITUTE(DadosBrutos[[#This Row],[qtde_batalhas]]," batalhas","")),"-")))</f>
        <v>26</v>
      </c>
      <c r="L348" s="1" t="str">
        <f>IF(DadosL[[#This Row],[qtde_batalhas]]="-","-",IF(DadosL[[#This Row],[qtde_batalhas]]&lt;=10,"Baixo",IF(DadosL[[#This Row],[qtde_batalhas]]&lt;=25,"Médio","Alto")))</f>
        <v>Alto</v>
      </c>
      <c r="M34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39500</v>
      </c>
      <c r="N348" s="1" t="str">
        <f>IF(AND(DadosL[[#This Row],[nivel_risco]]="Alto",DadosL[[#This Row],[flag_inadimplente]]="Sim"),"Negado","Aprovado")</f>
        <v>Negado</v>
      </c>
      <c r="O348" s="1" t="str">
        <f>IF(AND(ISNUMBER(DadosL[[#This Row],[credito_tomado]]),DadosL[[#This Row],[credito_tomado]]&gt;50000,DadosL[[#This Row],[flag_inadimplente]]="Sim"),"Negado","Aprovado")</f>
        <v>Negado</v>
      </c>
      <c r="P348" s="46">
        <f>IF(OR(DadosL[[#This Row],[Analise_Risco]]="Negado",DadosL[[#This Row],[Analise_Credito]]="Negado"),0,IF(DadosL[[#This Row],[status]]="Ativo",DadosL[[#This Row],[valor_solicitado]]*1.08,0))</f>
        <v>0</v>
      </c>
    </row>
    <row r="349" spans="1:16">
      <c r="A34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49" s="1" t="str">
        <f>PROPER(TRIM(DadosBrutos[[#This Row],[nome]]))</f>
        <v>Meera Reed</v>
      </c>
      <c r="C349" s="1" t="str">
        <f>IF(LEN(SUBSTITUTE(SUBSTITUTE(SUBSTITUTE(DadosBrutos[[#This Row],[cpf]],".",""),"-","")," ",""))=11,DadosBrutos[[#This Row],[cpf]],"-")</f>
        <v>000.000.314-00</v>
      </c>
      <c r="D34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53</v>
      </c>
      <c r="E349" s="45">
        <f>IF(DadosBrutos[[#This Row],[data_nascimento]]="","-",DadosBrutos[[#This Row],[data_nascimento]])</f>
        <v>26584</v>
      </c>
      <c r="F349" s="1" t="str">
        <f>IF(ISNUMBER(SEARCH("|",DadosBrutos[[#This Row],[cidade]])),TRIM(LEFT(DadosBrutos[[#This Row],[cidade]],SEARCH("|",DadosBrutos[[#This Row],[cidade]])-1)),TRIM(DadosBrutos[[#This Row],[cidade]]))</f>
        <v>Fosso Cailin</v>
      </c>
      <c r="G34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349" s="37">
        <f>IF(DadosBrutos[[#This Row],[renda_mensal]]="","-",IF(ISNUMBER(DadosBrutos[[#This Row],[renda_mensal]]),DadosBrutos[[#This Row],[renda_mensal]],IFERROR(VALUE(SUBSTITUTE(DadosBrutos[[#This Row],[renda_mensal]]," moedas","")),"-")))</f>
        <v>12200</v>
      </c>
      <c r="I349" s="37">
        <f>IF(DadosBrutos[[#This Row],[credito_tomado]]="","-",IF(ISNUMBER(DadosBrutos[[#This Row],[credito_tomado]]),DadosBrutos[[#This Row],[credito_tomado]],IFERROR(VALUE(SUBSTITUTE(DadosBrutos[[#This Row],[credito_tomado]]," moedas","")),"-")))</f>
        <v>79500</v>
      </c>
      <c r="J34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49" s="1">
        <f>IF(DadosBrutos[[#This Row],[qtde_batalhas]]="","-",IF(ISNUMBER(DadosBrutos[[#This Row],[qtde_batalhas]]),DadosBrutos[[#This Row],[qtde_batalhas]],IFERROR(VALUE(SUBSTITUTE(DadosBrutos[[#This Row],[qtde_batalhas]]," batalhas","")),"-")))</f>
        <v>45</v>
      </c>
      <c r="L349" s="1" t="str">
        <f>IF(DadosL[[#This Row],[qtde_batalhas]]="-","-",IF(DadosL[[#This Row],[qtde_batalhas]]&lt;=10,"Baixo",IF(DadosL[[#This Row],[qtde_batalhas]]&lt;=25,"Médio","Alto")))</f>
        <v>Alto</v>
      </c>
      <c r="M34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62000</v>
      </c>
      <c r="N349" s="1" t="str">
        <f>IF(AND(DadosL[[#This Row],[nivel_risco]]="Alto",DadosL[[#This Row],[flag_inadimplente]]="Sim"),"Negado","Aprovado")</f>
        <v>Aprovado</v>
      </c>
      <c r="O349" s="1" t="str">
        <f>IF(AND(ISNUMBER(DadosL[[#This Row],[credito_tomado]]),DadosL[[#This Row],[credito_tomado]]&gt;50000,DadosL[[#This Row],[flag_inadimplente]]="Sim"),"Negado","Aprovado")</f>
        <v>Aprovado</v>
      </c>
      <c r="P349" s="46">
        <f>IF(OR(DadosL[[#This Row],[Analise_Risco]]="Negado",DadosL[[#This Row],[Analise_Credito]]="Negado"),0,IF(DadosL[[#This Row],[status]]="Ativo",DadosL[[#This Row],[valor_solicitado]]*1.08,0))</f>
        <v>66960</v>
      </c>
    </row>
    <row r="350" spans="1:16">
      <c r="A35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-</v>
      </c>
      <c r="B350" s="1" t="str">
        <f>PROPER(TRIM(DadosBrutos[[#This Row],[nome]]))</f>
        <v>Theon Frey</v>
      </c>
      <c r="C350" s="1" t="str">
        <f>IF(LEN(SUBSTITUTE(SUBSTITUTE(SUBSTITUTE(DadosBrutos[[#This Row],[cpf]],".",""),"-","")," ",""))=11,DadosBrutos[[#This Row],[cpf]],"-")</f>
        <v>000.000.123-00</v>
      </c>
      <c r="D35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19</v>
      </c>
      <c r="E350" s="45">
        <f>IF(DadosBrutos[[#This Row],[data_nascimento]]="","-",DadosBrutos[[#This Row],[data_nascimento]])</f>
        <v>39209</v>
      </c>
      <c r="F350" s="1" t="str">
        <f>IF(ISNUMBER(SEARCH("|",DadosBrutos[[#This Row],[cidade]])),TRIM(LEFT(DadosBrutos[[#This Row],[cidade]],SEARCH("|",DadosBrutos[[#This Row],[cidade]])-1)),TRIM(DadosBrutos[[#This Row],[cidade]]))</f>
        <v>Monte Chifre</v>
      </c>
      <c r="G35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350" s="37">
        <f>IF(DadosBrutos[[#This Row],[renda_mensal]]="","-",IF(ISNUMBER(DadosBrutos[[#This Row],[renda_mensal]]),DadosBrutos[[#This Row],[renda_mensal]],IFERROR(VALUE(SUBSTITUTE(DadosBrutos[[#This Row],[renda_mensal]]," moedas","")),"-")))</f>
        <v>7200</v>
      </c>
      <c r="I350" s="37">
        <f>IF(DadosBrutos[[#This Row],[credito_tomado]]="","-",IF(ISNUMBER(DadosBrutos[[#This Row],[credito_tomado]]),DadosBrutos[[#This Row],[credito_tomado]],IFERROR(VALUE(SUBSTITUTE(DadosBrutos[[#This Row],[credito_tomado]]," moedas","")),"-")))</f>
        <v>16000</v>
      </c>
      <c r="J35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50" s="1">
        <f>IF(DadosBrutos[[#This Row],[qtde_batalhas]]="","-",IF(ISNUMBER(DadosBrutos[[#This Row],[qtde_batalhas]]),DadosBrutos[[#This Row],[qtde_batalhas]],IFERROR(VALUE(SUBSTITUTE(DadosBrutos[[#This Row],[qtde_batalhas]]," batalhas","")),"-")))</f>
        <v>5</v>
      </c>
      <c r="L350" s="1" t="str">
        <f>IF(DadosL[[#This Row],[qtde_batalhas]]="-","-",IF(DadosL[[#This Row],[qtde_batalhas]]&lt;=10,"Baixo",IF(DadosL[[#This Row],[qtde_batalhas]]&lt;=25,"Médio","Alto")))</f>
        <v>Baixo</v>
      </c>
      <c r="M35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52000</v>
      </c>
      <c r="N350" s="1" t="str">
        <f>IF(AND(DadosL[[#This Row],[nivel_risco]]="Alto",DadosL[[#This Row],[flag_inadimplente]]="Sim"),"Negado","Aprovado")</f>
        <v>Aprovado</v>
      </c>
      <c r="O350" s="1" t="str">
        <f>IF(AND(ISNUMBER(DadosL[[#This Row],[credito_tomado]]),DadosL[[#This Row],[credito_tomado]]&gt;50000,DadosL[[#This Row],[flag_inadimplente]]="Sim"),"Negado","Aprovado")</f>
        <v>Aprovado</v>
      </c>
      <c r="P350" s="46">
        <f>IF(OR(DadosL[[#This Row],[Analise_Risco]]="Negado",DadosL[[#This Row],[Analise_Credito]]="Negado"),0,IF(DadosL[[#This Row],[status]]="Ativo",DadosL[[#This Row],[valor_solicitado]]*1.08,0))</f>
        <v>0</v>
      </c>
    </row>
    <row r="351" spans="1:16">
      <c r="A35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51" s="1" t="str">
        <f>PROPER(TRIM(DadosBrutos[[#This Row],[nome]]))</f>
        <v>Renly Tallhart</v>
      </c>
      <c r="C351" s="1" t="str">
        <f>IF(LEN(SUBSTITUTE(SUBSTITUTE(SUBSTITUTE(DadosBrutos[[#This Row],[cpf]],".",""),"-","")," ",""))=11,DadosBrutos[[#This Row],[cpf]],"-")</f>
        <v>-</v>
      </c>
      <c r="D35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27</v>
      </c>
      <c r="E351" s="45">
        <f>IF(DadosBrutos[[#This Row],[data_nascimento]]="","-",DadosBrutos[[#This Row],[data_nascimento]])</f>
        <v>36151</v>
      </c>
      <c r="F351" s="1" t="str">
        <f>IF(ISNUMBER(SEARCH("|",DadosBrutos[[#This Row],[cidade]])),TRIM(LEFT(DadosBrutos[[#This Row],[cidade]],SEARCH("|",DadosBrutos[[#This Row],[cidade]])-1)),TRIM(DadosBrutos[[#This Row],[cidade]]))</f>
        <v>Winterfell</v>
      </c>
      <c r="G35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351" s="37">
        <f>IF(DadosBrutos[[#This Row],[renda_mensal]]="","-",IF(ISNUMBER(DadosBrutos[[#This Row],[renda_mensal]]),DadosBrutos[[#This Row],[renda_mensal]],IFERROR(VALUE(SUBSTITUTE(DadosBrutos[[#This Row],[renda_mensal]]," moedas","")),"-")))</f>
        <v>25900</v>
      </c>
      <c r="I351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35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51" s="1">
        <f>IF(DadosBrutos[[#This Row],[qtde_batalhas]]="","-",IF(ISNUMBER(DadosBrutos[[#This Row],[qtde_batalhas]]),DadosBrutos[[#This Row],[qtde_batalhas]],IFERROR(VALUE(SUBSTITUTE(DadosBrutos[[#This Row],[qtde_batalhas]]," batalhas","")),"-")))</f>
        <v>10</v>
      </c>
      <c r="L351" s="1" t="str">
        <f>IF(DadosL[[#This Row],[qtde_batalhas]]="-","-",IF(DadosL[[#This Row],[qtde_batalhas]]&lt;=10,"Baixo",IF(DadosL[[#This Row],[qtde_batalhas]]&lt;=25,"Médio","Alto")))</f>
        <v>Baixo</v>
      </c>
      <c r="M35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5000</v>
      </c>
      <c r="N351" s="1" t="str">
        <f>IF(AND(DadosL[[#This Row],[nivel_risco]]="Alto",DadosL[[#This Row],[flag_inadimplente]]="Sim"),"Negado","Aprovado")</f>
        <v>Aprovado</v>
      </c>
      <c r="O351" s="1" t="str">
        <f>IF(AND(ISNUMBER(DadosL[[#This Row],[credito_tomado]]),DadosL[[#This Row],[credito_tomado]]&gt;50000,DadosL[[#This Row],[flag_inadimplente]]="Sim"),"Negado","Aprovado")</f>
        <v>Aprovado</v>
      </c>
      <c r="P351" s="46">
        <f>IF(OR(DadosL[[#This Row],[Analise_Risco]]="Negado",DadosL[[#This Row],[Analise_Credito]]="Negado"),0,IF(DadosL[[#This Row],[status]]="Ativo",DadosL[[#This Row],[valor_solicitado]]*1.08,0))</f>
        <v>0</v>
      </c>
    </row>
    <row r="352" spans="1:16">
      <c r="A35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52" s="1" t="str">
        <f>PROPER(TRIM(DadosBrutos[[#This Row],[nome]]))</f>
        <v>Yara Mallister</v>
      </c>
      <c r="C352" s="1" t="str">
        <f>IF(LEN(SUBSTITUTE(SUBSTITUTE(SUBSTITUTE(DadosBrutos[[#This Row],[cpf]],".",""),"-","")," ",""))=11,DadosBrutos[[#This Row],[cpf]],"-")</f>
        <v>000.000.134-00</v>
      </c>
      <c r="D35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44</v>
      </c>
      <c r="E352" s="45">
        <f>IF(DadosBrutos[[#This Row],[data_nascimento]]="","-",DadosBrutos[[#This Row],[data_nascimento]])</f>
        <v>29892</v>
      </c>
      <c r="F352" s="1" t="str">
        <f>IF(ISNUMBER(SEARCH("|",DadosBrutos[[#This Row],[cidade]])),TRIM(LEFT(DadosBrutos[[#This Row],[cidade]],SEARCH("|",DadosBrutos[[#This Row],[cidade]])-1)),TRIM(DadosBrutos[[#This Row],[cidade]]))</f>
        <v>Lannisporto</v>
      </c>
      <c r="G35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Oeste</v>
      </c>
      <c r="H352" s="37">
        <f>IF(DadosBrutos[[#This Row],[renda_mensal]]="","-",IF(ISNUMBER(DadosBrutos[[#This Row],[renda_mensal]]),DadosBrutos[[#This Row],[renda_mensal]],IFERROR(VALUE(SUBSTITUTE(DadosBrutos[[#This Row],[renda_mensal]]," moedas","")),"-")))</f>
        <v>20600</v>
      </c>
      <c r="I352" s="37">
        <f>IF(DadosBrutos[[#This Row],[credito_tomado]]="","-",IF(ISNUMBER(DadosBrutos[[#This Row],[credito_tomado]]),DadosBrutos[[#This Row],[credito_tomado]],IFERROR(VALUE(SUBSTITUTE(DadosBrutos[[#This Row],[credito_tomado]]," moedas","")),"-")))</f>
        <v>8000</v>
      </c>
      <c r="J35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52" s="1">
        <f>IF(DadosBrutos[[#This Row],[qtde_batalhas]]="","-",IF(ISNUMBER(DadosBrutos[[#This Row],[qtde_batalhas]]),DadosBrutos[[#This Row],[qtde_batalhas]],IFERROR(VALUE(SUBSTITUTE(DadosBrutos[[#This Row],[qtde_batalhas]]," batalhas","")),"-")))</f>
        <v>39</v>
      </c>
      <c r="L352" s="1" t="str">
        <f>IF(DadosL[[#This Row],[qtde_batalhas]]="-","-",IF(DadosL[[#This Row],[qtde_batalhas]]&lt;=10,"Baixo",IF(DadosL[[#This Row],[qtde_batalhas]]&lt;=25,"Médio","Alto")))</f>
        <v>Alto</v>
      </c>
      <c r="M35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36000</v>
      </c>
      <c r="N352" s="1" t="str">
        <f>IF(AND(DadosL[[#This Row],[nivel_risco]]="Alto",DadosL[[#This Row],[flag_inadimplente]]="Sim"),"Negado","Aprovado")</f>
        <v>Aprovado</v>
      </c>
      <c r="O352" s="1" t="str">
        <f>IF(AND(ISNUMBER(DadosL[[#This Row],[credito_tomado]]),DadosL[[#This Row],[credito_tomado]]&gt;50000,DadosL[[#This Row],[flag_inadimplente]]="Sim"),"Negado","Aprovado")</f>
        <v>Aprovado</v>
      </c>
      <c r="P352" s="46">
        <f>IF(OR(DadosL[[#This Row],[Analise_Risco]]="Negado",DadosL[[#This Row],[Analise_Credito]]="Negado"),0,IF(DadosL[[#This Row],[status]]="Ativo",DadosL[[#This Row],[valor_solicitado]]*1.08,0))</f>
        <v>38880</v>
      </c>
    </row>
    <row r="353" spans="1:16">
      <c r="A35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53" s="1" t="str">
        <f>PROPER(TRIM(DadosBrutos[[#This Row],[nome]]))</f>
        <v>Grey Worm Targaryen</v>
      </c>
      <c r="C353" s="1" t="str">
        <f>IF(LEN(SUBSTITUTE(SUBSTITUTE(SUBSTITUTE(DadosBrutos[[#This Row],[cpf]],".",""),"-","")," ",""))=11,DadosBrutos[[#This Row],[cpf]],"-")</f>
        <v>000.000.060-00</v>
      </c>
      <c r="D35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48</v>
      </c>
      <c r="E353" s="45">
        <f>IF(DadosBrutos[[#This Row],[data_nascimento]]="","-",DadosBrutos[[#This Row],[data_nascimento]])</f>
        <v>28689</v>
      </c>
      <c r="F353" s="1" t="str">
        <f>IF(ISNUMBER(SEARCH("|",DadosBrutos[[#This Row],[cidade]])),TRIM(LEFT(DadosBrutos[[#This Row],[cidade]],SEARCH("|",DadosBrutos[[#This Row],[cidade]])-1)),TRIM(DadosBrutos[[#This Row],[cidade]]))</f>
        <v>Ponta Tempestade</v>
      </c>
      <c r="G35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353" s="37">
        <f>IF(DadosBrutos[[#This Row],[renda_mensal]]="","-",IF(ISNUMBER(DadosBrutos[[#This Row],[renda_mensal]]),DadosBrutos[[#This Row],[renda_mensal]],IFERROR(VALUE(SUBSTITUTE(DadosBrutos[[#This Row],[renda_mensal]]," moedas","")),"-")))</f>
        <v>18700</v>
      </c>
      <c r="I353" s="37">
        <f>IF(DadosBrutos[[#This Row],[credito_tomado]]="","-",IF(ISNUMBER(DadosBrutos[[#This Row],[credito_tomado]]),DadosBrutos[[#This Row],[credito_tomado]],IFERROR(VALUE(SUBSTITUTE(DadosBrutos[[#This Row],[credito_tomado]]," moedas","")),"-")))</f>
        <v>11000</v>
      </c>
      <c r="J35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53" s="1">
        <f>IF(DadosBrutos[[#This Row],[qtde_batalhas]]="","-",IF(ISNUMBER(DadosBrutos[[#This Row],[qtde_batalhas]]),DadosBrutos[[#This Row],[qtde_batalhas]],IFERROR(VALUE(SUBSTITUTE(DadosBrutos[[#This Row],[qtde_batalhas]]," batalhas","")),"-")))</f>
        <v>28</v>
      </c>
      <c r="L353" s="1" t="str">
        <f>IF(DadosL[[#This Row],[qtde_batalhas]]="-","-",IF(DadosL[[#This Row],[qtde_batalhas]]&lt;=10,"Baixo",IF(DadosL[[#This Row],[qtde_batalhas]]&lt;=25,"Médio","Alto")))</f>
        <v>Alto</v>
      </c>
      <c r="M35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18000</v>
      </c>
      <c r="N353" s="1" t="str">
        <f>IF(AND(DadosL[[#This Row],[nivel_risco]]="Alto",DadosL[[#This Row],[flag_inadimplente]]="Sim"),"Negado","Aprovado")</f>
        <v>Aprovado</v>
      </c>
      <c r="O353" s="1" t="str">
        <f>IF(AND(ISNUMBER(DadosL[[#This Row],[credito_tomado]]),DadosL[[#This Row],[credito_tomado]]&gt;50000,DadosL[[#This Row],[flag_inadimplente]]="Sim"),"Negado","Aprovado")</f>
        <v>Aprovado</v>
      </c>
      <c r="P353" s="46">
        <f>IF(OR(DadosL[[#This Row],[Analise_Risco]]="Negado",DadosL[[#This Row],[Analise_Credito]]="Negado"),0,IF(DadosL[[#This Row],[status]]="Ativo",DadosL[[#This Row],[valor_solicitado]]*1.08,0))</f>
        <v>19440</v>
      </c>
    </row>
    <row r="354" spans="1:16">
      <c r="A35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54" s="1" t="str">
        <f>PROPER(TRIM(DadosBrutos[[#This Row],[nome]]))</f>
        <v>Sandor Dondarrion</v>
      </c>
      <c r="C354" s="1" t="str">
        <f>IF(LEN(SUBSTITUTE(SUBSTITUTE(SUBSTITUTE(DadosBrutos[[#This Row],[cpf]],".",""),"-","")," ",""))=11,DadosBrutos[[#This Row],[cpf]],"-")</f>
        <v>-</v>
      </c>
      <c r="D35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20</v>
      </c>
      <c r="E354" s="45">
        <f>IF(DadosBrutos[[#This Row],[data_nascimento]]="","-",DadosBrutos[[#This Row],[data_nascimento]])</f>
        <v>38894</v>
      </c>
      <c r="F354" s="1" t="str">
        <f>IF(ISNUMBER(SEARCH("|",DadosBrutos[[#This Row],[cidade]])),TRIM(LEFT(DadosBrutos[[#This Row],[cidade]],SEARCH("|",DadosBrutos[[#This Row],[cidade]])-1)),TRIM(DadosBrutos[[#This Row],[cidade]]))</f>
        <v>Ilha dos Ursos</v>
      </c>
      <c r="G35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354" s="37">
        <f>IF(DadosBrutos[[#This Row],[renda_mensal]]="","-",IF(ISNUMBER(DadosBrutos[[#This Row],[renda_mensal]]),DadosBrutos[[#This Row],[renda_mensal]],IFERROR(VALUE(SUBSTITUTE(DadosBrutos[[#This Row],[renda_mensal]]," moedas","")),"-")))</f>
        <v>24900</v>
      </c>
      <c r="I354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35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54" s="1">
        <f>IF(DadosBrutos[[#This Row],[qtde_batalhas]]="","-",IF(ISNUMBER(DadosBrutos[[#This Row],[qtde_batalhas]]),DadosBrutos[[#This Row],[qtde_batalhas]],IFERROR(VALUE(SUBSTITUTE(DadosBrutos[[#This Row],[qtde_batalhas]]," batalhas","")),"-")))</f>
        <v>14</v>
      </c>
      <c r="L354" s="1" t="str">
        <f>IF(DadosL[[#This Row],[qtde_batalhas]]="-","-",IF(DadosL[[#This Row],[qtde_batalhas]]&lt;=10,"Baixo",IF(DadosL[[#This Row],[qtde_batalhas]]&lt;=25,"Médio","Alto")))</f>
        <v>Médio</v>
      </c>
      <c r="M35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49500</v>
      </c>
      <c r="N354" s="1" t="str">
        <f>IF(AND(DadosL[[#This Row],[nivel_risco]]="Alto",DadosL[[#This Row],[flag_inadimplente]]="Sim"),"Negado","Aprovado")</f>
        <v>Aprovado</v>
      </c>
      <c r="O354" s="1" t="str">
        <f>IF(AND(ISNUMBER(DadosL[[#This Row],[credito_tomado]]),DadosL[[#This Row],[credito_tomado]]&gt;50000,DadosL[[#This Row],[flag_inadimplente]]="Sim"),"Negado","Aprovado")</f>
        <v>Aprovado</v>
      </c>
      <c r="P354" s="46">
        <f>IF(OR(DadosL[[#This Row],[Analise_Risco]]="Negado",DadosL[[#This Row],[Analise_Credito]]="Negado"),0,IF(DadosL[[#This Row],[status]]="Ativo",DadosL[[#This Row],[valor_solicitado]]*1.08,0))</f>
        <v>53460</v>
      </c>
    </row>
    <row r="355" spans="1:16">
      <c r="A35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55" s="1" t="str">
        <f>PROPER(TRIM(DadosBrutos[[#This Row],[nome]]))</f>
        <v>Robert Manderly</v>
      </c>
      <c r="C355" s="1" t="str">
        <f>IF(LEN(SUBSTITUTE(SUBSTITUTE(SUBSTITUTE(DadosBrutos[[#This Row],[cpf]],".",""),"-","")," ",""))=11,DadosBrutos[[#This Row],[cpf]],"-")</f>
        <v>-</v>
      </c>
      <c r="D35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53</v>
      </c>
      <c r="E355" s="45">
        <f>IF(DadosBrutos[[#This Row],[data_nascimento]]="","-",DadosBrutos[[#This Row],[data_nascimento]])</f>
        <v>26744</v>
      </c>
      <c r="F355" s="1" t="str">
        <f>IF(ISNUMBER(SEARCH("|",DadosBrutos[[#This Row],[cidade]])),TRIM(LEFT(DadosBrutos[[#This Row],[cidade]],SEARCH("|",DadosBrutos[[#This Row],[cidade]])-1)),TRIM(DadosBrutos[[#This Row],[cidade]]))</f>
        <v>Pyke</v>
      </c>
      <c r="G35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Ilhas de Ferro</v>
      </c>
      <c r="H355" s="37">
        <f>IF(DadosBrutos[[#This Row],[renda_mensal]]="","-",IF(ISNUMBER(DadosBrutos[[#This Row],[renda_mensal]]),DadosBrutos[[#This Row],[renda_mensal]],IFERROR(VALUE(SUBSTITUTE(DadosBrutos[[#This Row],[renda_mensal]]," moedas","")),"-")))</f>
        <v>26400</v>
      </c>
      <c r="I355" s="37">
        <f>IF(DadosBrutos[[#This Row],[credito_tomado]]="","-",IF(ISNUMBER(DadosBrutos[[#This Row],[credito_tomado]]),DadosBrutos[[#This Row],[credito_tomado]],IFERROR(VALUE(SUBSTITUTE(DadosBrutos[[#This Row],[credito_tomado]]," moedas","")),"-")))</f>
        <v>9500</v>
      </c>
      <c r="J35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55" s="1">
        <f>IF(DadosBrutos[[#This Row],[qtde_batalhas]]="","-",IF(ISNUMBER(DadosBrutos[[#This Row],[qtde_batalhas]]),DadosBrutos[[#This Row],[qtde_batalhas]],IFERROR(VALUE(SUBSTITUTE(DadosBrutos[[#This Row],[qtde_batalhas]]," batalhas","")),"-")))</f>
        <v>21</v>
      </c>
      <c r="L355" s="1" t="str">
        <f>IF(DadosL[[#This Row],[qtde_batalhas]]="-","-",IF(DadosL[[#This Row],[qtde_batalhas]]&lt;=10,"Baixo",IF(DadosL[[#This Row],[qtde_batalhas]]&lt;=25,"Médio","Alto")))</f>
        <v>Médio</v>
      </c>
      <c r="M35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16000</v>
      </c>
      <c r="N355" s="1" t="str">
        <f>IF(AND(DadosL[[#This Row],[nivel_risco]]="Alto",DadosL[[#This Row],[flag_inadimplente]]="Sim"),"Negado","Aprovado")</f>
        <v>Aprovado</v>
      </c>
      <c r="O355" s="1" t="str">
        <f>IF(AND(ISNUMBER(DadosL[[#This Row],[credito_tomado]]),DadosL[[#This Row],[credito_tomado]]&gt;50000,DadosL[[#This Row],[flag_inadimplente]]="Sim"),"Negado","Aprovado")</f>
        <v>Aprovado</v>
      </c>
      <c r="P355" s="46">
        <f>IF(OR(DadosL[[#This Row],[Analise_Risco]]="Negado",DadosL[[#This Row],[Analise_Credito]]="Negado"),0,IF(DadosL[[#This Row],[status]]="Ativo",DadosL[[#This Row],[valor_solicitado]]*1.08,0))</f>
        <v>0</v>
      </c>
    </row>
    <row r="356" spans="1:16">
      <c r="A35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56" s="1" t="str">
        <f>PROPER(TRIM(DadosBrutos[[#This Row],[nome]]))</f>
        <v>Margaery Tyrell</v>
      </c>
      <c r="C356" s="1" t="str">
        <f>IF(LEN(SUBSTITUTE(SUBSTITUTE(SUBSTITUTE(DadosBrutos[[#This Row],[cpf]],".",""),"-","")," ",""))=11,DadosBrutos[[#This Row],[cpf]],"-")</f>
        <v>000.000.107-00</v>
      </c>
      <c r="D35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31</v>
      </c>
      <c r="E356" s="45">
        <f>IF(DadosBrutos[[#This Row],[data_nascimento]]="","-",DadosBrutos[[#This Row],[data_nascimento]])</f>
        <v>34824</v>
      </c>
      <c r="F356" s="1" t="str">
        <f>IF(ISNUMBER(SEARCH("|",DadosBrutos[[#This Row],[cidade]])),TRIM(LEFT(DadosBrutos[[#This Row],[cidade]],SEARCH("|",DadosBrutos[[#This Row],[cidade]])-1)),TRIM(DadosBrutos[[#This Row],[cidade]]))</f>
        <v>Solar do Entardecer</v>
      </c>
      <c r="G35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da Tempestade</v>
      </c>
      <c r="H356" s="37">
        <f>IF(DadosBrutos[[#This Row],[renda_mensal]]="","-",IF(ISNUMBER(DadosBrutos[[#This Row],[renda_mensal]]),DadosBrutos[[#This Row],[renda_mensal]],IFERROR(VALUE(SUBSTITUTE(DadosBrutos[[#This Row],[renda_mensal]]," moedas","")),"-")))</f>
        <v>29500</v>
      </c>
      <c r="I356" s="37">
        <f>IF(DadosBrutos[[#This Row],[credito_tomado]]="","-",IF(ISNUMBER(DadosBrutos[[#This Row],[credito_tomado]]),DadosBrutos[[#This Row],[credito_tomado]],IFERROR(VALUE(SUBSTITUTE(DadosBrutos[[#This Row],[credito_tomado]]," moedas","")),"-")))</f>
        <v>5000</v>
      </c>
      <c r="J35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56" s="1">
        <f>IF(DadosBrutos[[#This Row],[qtde_batalhas]]="","-",IF(ISNUMBER(DadosBrutos[[#This Row],[qtde_batalhas]]),DadosBrutos[[#This Row],[qtde_batalhas]],IFERROR(VALUE(SUBSTITUTE(DadosBrutos[[#This Row],[qtde_batalhas]]," batalhas","")),"-")))</f>
        <v>22</v>
      </c>
      <c r="L356" s="1" t="str">
        <f>IF(DadosL[[#This Row],[qtde_batalhas]]="-","-",IF(DadosL[[#This Row],[qtde_batalhas]]&lt;=10,"Baixo",IF(DadosL[[#This Row],[qtde_batalhas]]&lt;=25,"Médio","Alto")))</f>
        <v>Médio</v>
      </c>
      <c r="M35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18000</v>
      </c>
      <c r="N356" s="1" t="str">
        <f>IF(AND(DadosL[[#This Row],[nivel_risco]]="Alto",DadosL[[#This Row],[flag_inadimplente]]="Sim"),"Negado","Aprovado")</f>
        <v>Aprovado</v>
      </c>
      <c r="O356" s="1" t="str">
        <f>IF(AND(ISNUMBER(DadosL[[#This Row],[credito_tomado]]),DadosL[[#This Row],[credito_tomado]]&gt;50000,DadosL[[#This Row],[flag_inadimplente]]="Sim"),"Negado","Aprovado")</f>
        <v>Aprovado</v>
      </c>
      <c r="P356" s="46">
        <f>IF(OR(DadosL[[#This Row],[Analise_Risco]]="Negado",DadosL[[#This Row],[Analise_Credito]]="Negado"),0,IF(DadosL[[#This Row],[status]]="Ativo",DadosL[[#This Row],[valor_solicitado]]*1.08,0))</f>
        <v>0</v>
      </c>
    </row>
    <row r="357" spans="1:16">
      <c r="A35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57" s="1" t="str">
        <f>PROPER(TRIM(DadosBrutos[[#This Row],[nome]]))</f>
        <v>Daario Tarly</v>
      </c>
      <c r="C357" s="1" t="str">
        <f>IF(LEN(SUBSTITUTE(SUBSTITUTE(SUBSTITUTE(DadosBrutos[[#This Row],[cpf]],".",""),"-","")," ",""))=11,DadosBrutos[[#This Row],[cpf]],"-")</f>
        <v>000.000.046-00</v>
      </c>
      <c r="D35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32</v>
      </c>
      <c r="E357" s="45">
        <f>IF(DadosBrutos[[#This Row],[data_nascimento]]="","-",DadosBrutos[[#This Row],[data_nascimento]])</f>
        <v>34508</v>
      </c>
      <c r="F357" s="1" t="str">
        <f>IF(ISNUMBER(SEARCH("|",DadosBrutos[[#This Row],[cidade]])),TRIM(LEFT(DadosBrutos[[#This Row],[cidade]],SEARCH("|",DadosBrutos[[#This Row],[cidade]])-1)),TRIM(DadosBrutos[[#This Row],[cidade]]))</f>
        <v>Dorne</v>
      </c>
      <c r="G35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Dorne</v>
      </c>
      <c r="H357" s="37">
        <f>IF(DadosBrutos[[#This Row],[renda_mensal]]="","-",IF(ISNUMBER(DadosBrutos[[#This Row],[renda_mensal]]),DadosBrutos[[#This Row],[renda_mensal]],IFERROR(VALUE(SUBSTITUTE(DadosBrutos[[#This Row],[renda_mensal]]," moedas","")),"-")))</f>
        <v>9800</v>
      </c>
      <c r="I357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35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57" s="1">
        <f>IF(DadosBrutos[[#This Row],[qtde_batalhas]]="","-",IF(ISNUMBER(DadosBrutos[[#This Row],[qtde_batalhas]]),DadosBrutos[[#This Row],[qtde_batalhas]],IFERROR(VALUE(SUBSTITUTE(DadosBrutos[[#This Row],[qtde_batalhas]]," batalhas","")),"-")))</f>
        <v>23</v>
      </c>
      <c r="L357" s="1" t="str">
        <f>IF(DadosL[[#This Row],[qtde_batalhas]]="-","-",IF(DadosL[[#This Row],[qtde_batalhas]]&lt;=10,"Baixo",IF(DadosL[[#This Row],[qtde_batalhas]]&lt;=25,"Médio","Alto")))</f>
        <v>Médio</v>
      </c>
      <c r="M35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68000</v>
      </c>
      <c r="N357" s="1" t="str">
        <f>IF(AND(DadosL[[#This Row],[nivel_risco]]="Alto",DadosL[[#This Row],[flag_inadimplente]]="Sim"),"Negado","Aprovado")</f>
        <v>Aprovado</v>
      </c>
      <c r="O357" s="1" t="str">
        <f>IF(AND(ISNUMBER(DadosL[[#This Row],[credito_tomado]]),DadosL[[#This Row],[credito_tomado]]&gt;50000,DadosL[[#This Row],[flag_inadimplente]]="Sim"),"Negado","Aprovado")</f>
        <v>Aprovado</v>
      </c>
      <c r="P357" s="46">
        <f>IF(OR(DadosL[[#This Row],[Analise_Risco]]="Negado",DadosL[[#This Row],[Analise_Credito]]="Negado"),0,IF(DadosL[[#This Row],[status]]="Ativo",DadosL[[#This Row],[valor_solicitado]]*1.08,0))</f>
        <v>73440</v>
      </c>
    </row>
    <row r="358" spans="1:16">
      <c r="A35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58" s="1" t="str">
        <f>PROPER(TRIM(DadosBrutos[[#This Row],[nome]]))</f>
        <v>Tyrion Clegane</v>
      </c>
      <c r="C358" s="1" t="str">
        <f>IF(LEN(SUBSTITUTE(SUBSTITUTE(SUBSTITUTE(DadosBrutos[[#This Row],[cpf]],".",""),"-","")," ",""))=11,DadosBrutos[[#This Row],[cpf]],"-")</f>
        <v>000.000.281-00</v>
      </c>
      <c r="D35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51</v>
      </c>
      <c r="E358" s="45">
        <f>IF(DadosBrutos[[#This Row],[data_nascimento]]="","-",DadosBrutos[[#This Row],[data_nascimento]])</f>
        <v>27590</v>
      </c>
      <c r="F358" s="1" t="str">
        <f>IF(ISNUMBER(SEARCH("|",DadosBrutos[[#This Row],[cidade]])),TRIM(LEFT(DadosBrutos[[#This Row],[cidade]],SEARCH("|",DadosBrutos[[#This Row],[cidade]])-1)),TRIM(DadosBrutos[[#This Row],[cidade]]))</f>
        <v>Monte Chifre</v>
      </c>
      <c r="G35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358" s="37">
        <f>IF(DadosBrutos[[#This Row],[renda_mensal]]="","-",IF(ISNUMBER(DadosBrutos[[#This Row],[renda_mensal]]),DadosBrutos[[#This Row],[renda_mensal]],IFERROR(VALUE(SUBSTITUTE(DadosBrutos[[#This Row],[renda_mensal]]," moedas","")),"-")))</f>
        <v>11400</v>
      </c>
      <c r="I358" s="37">
        <f>IF(DadosBrutos[[#This Row],[credito_tomado]]="","-",IF(ISNUMBER(DadosBrutos[[#This Row],[credito_tomado]]),DadosBrutos[[#This Row],[credito_tomado]],IFERROR(VALUE(SUBSTITUTE(DadosBrutos[[#This Row],[credito_tomado]]," moedas","")),"-")))</f>
        <v>0</v>
      </c>
      <c r="J35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58" s="1">
        <f>IF(DadosBrutos[[#This Row],[qtde_batalhas]]="","-",IF(ISNUMBER(DadosBrutos[[#This Row],[qtde_batalhas]]),DadosBrutos[[#This Row],[qtde_batalhas]],IFERROR(VALUE(SUBSTITUTE(DadosBrutos[[#This Row],[qtde_batalhas]]," batalhas","")),"-")))</f>
        <v>17</v>
      </c>
      <c r="L358" s="1" t="str">
        <f>IF(DadosL[[#This Row],[qtde_batalhas]]="-","-",IF(DadosL[[#This Row],[qtde_batalhas]]&lt;=10,"Baixo",IF(DadosL[[#This Row],[qtde_batalhas]]&lt;=25,"Médio","Alto")))</f>
        <v>Médio</v>
      </c>
      <c r="M35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55500</v>
      </c>
      <c r="N358" s="1" t="str">
        <f>IF(AND(DadosL[[#This Row],[nivel_risco]]="Alto",DadosL[[#This Row],[flag_inadimplente]]="Sim"),"Negado","Aprovado")</f>
        <v>Aprovado</v>
      </c>
      <c r="O358" s="1" t="str">
        <f>IF(AND(ISNUMBER(DadosL[[#This Row],[credito_tomado]]),DadosL[[#This Row],[credito_tomado]]&gt;50000,DadosL[[#This Row],[flag_inadimplente]]="Sim"),"Negado","Aprovado")</f>
        <v>Aprovado</v>
      </c>
      <c r="P358" s="46">
        <f>IF(OR(DadosL[[#This Row],[Analise_Risco]]="Negado",DadosL[[#This Row],[Analise_Credito]]="Negado"),0,IF(DadosL[[#This Row],[status]]="Ativo",DadosL[[#This Row],[valor_solicitado]]*1.08,0))</f>
        <v>0</v>
      </c>
    </row>
    <row r="359" spans="1:16">
      <c r="A359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-</v>
      </c>
      <c r="B359" s="1" t="str">
        <f>PROPER(TRIM(DadosBrutos[[#This Row],[nome]]))</f>
        <v>Viserys Hightower</v>
      </c>
      <c r="C359" s="1" t="str">
        <f>IF(LEN(SUBSTITUTE(SUBSTITUTE(SUBSTITUTE(DadosBrutos[[#This Row],[cpf]],".",""),"-","")," ",""))=11,DadosBrutos[[#This Row],[cpf]],"-")</f>
        <v>000.000.080-00</v>
      </c>
      <c r="D359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54</v>
      </c>
      <c r="E359" s="45">
        <f>IF(DadosBrutos[[#This Row],[data_nascimento]]="","-",DadosBrutos[[#This Row],[data_nascimento]])</f>
        <v>26403</v>
      </c>
      <c r="F359" s="1" t="str">
        <f>IF(ISNUMBER(SEARCH("|",DadosBrutos[[#This Row],[cidade]])),TRIM(LEFT(DadosBrutos[[#This Row],[cidade]],SEARCH("|",DadosBrutos[[#This Row],[cidade]])-1)),TRIM(DadosBrutos[[#This Row],[cidade]]))</f>
        <v>Monte Chifre</v>
      </c>
      <c r="G359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359" s="37">
        <f>IF(DadosBrutos[[#This Row],[renda_mensal]]="","-",IF(ISNUMBER(DadosBrutos[[#This Row],[renda_mensal]]),DadosBrutos[[#This Row],[renda_mensal]],IFERROR(VALUE(SUBSTITUTE(DadosBrutos[[#This Row],[renda_mensal]]," moedas","")),"-")))</f>
        <v>20800</v>
      </c>
      <c r="I359" s="37">
        <f>IF(DadosBrutos[[#This Row],[credito_tomado]]="","-",IF(ISNUMBER(DadosBrutos[[#This Row],[credito_tomado]]),DadosBrutos[[#This Row],[credito_tomado]],IFERROR(VALUE(SUBSTITUTE(DadosBrutos[[#This Row],[credito_tomado]]," moedas","")),"-")))</f>
        <v>16000</v>
      </c>
      <c r="J359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59" s="1">
        <f>IF(DadosBrutos[[#This Row],[qtde_batalhas]]="","-",IF(ISNUMBER(DadosBrutos[[#This Row],[qtde_batalhas]]),DadosBrutos[[#This Row],[qtde_batalhas]],IFERROR(VALUE(SUBSTITUTE(DadosBrutos[[#This Row],[qtde_batalhas]]," batalhas","")),"-")))</f>
        <v>32</v>
      </c>
      <c r="L359" s="1" t="str">
        <f>IF(DadosL[[#This Row],[qtde_batalhas]]="-","-",IF(DadosL[[#This Row],[qtde_batalhas]]&lt;=10,"Baixo",IF(DadosL[[#This Row],[qtde_batalhas]]&lt;=25,"Médio","Alto")))</f>
        <v>Alto</v>
      </c>
      <c r="M359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31500</v>
      </c>
      <c r="N359" s="1" t="str">
        <f>IF(AND(DadosL[[#This Row],[nivel_risco]]="Alto",DadosL[[#This Row],[flag_inadimplente]]="Sim"),"Negado","Aprovado")</f>
        <v>Aprovado</v>
      </c>
      <c r="O359" s="1" t="str">
        <f>IF(AND(ISNUMBER(DadosL[[#This Row],[credito_tomado]]),DadosL[[#This Row],[credito_tomado]]&gt;50000,DadosL[[#This Row],[flag_inadimplente]]="Sim"),"Negado","Aprovado")</f>
        <v>Aprovado</v>
      </c>
      <c r="P359" s="46">
        <f>IF(OR(DadosL[[#This Row],[Analise_Risco]]="Negado",DadosL[[#This Row],[Analise_Credito]]="Negado"),0,IF(DadosL[[#This Row],[status]]="Ativo",DadosL[[#This Row],[valor_solicitado]]*1.08,0))</f>
        <v>0</v>
      </c>
    </row>
    <row r="360" spans="1:16">
      <c r="A360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60" s="1" t="str">
        <f>PROPER(TRIM(DadosBrutos[[#This Row],[nome]]))</f>
        <v>Aegon Umber</v>
      </c>
      <c r="C360" s="1" t="str">
        <f>IF(LEN(SUBSTITUTE(SUBSTITUTE(SUBSTITUTE(DadosBrutos[[#This Row],[cpf]],".",""),"-","")," ",""))=11,DadosBrutos[[#This Row],[cpf]],"-")</f>
        <v>000.000.356-00</v>
      </c>
      <c r="D360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66</v>
      </c>
      <c r="E360" s="45">
        <f>IF(DadosBrutos[[#This Row],[data_nascimento]]="","-",DadosBrutos[[#This Row],[data_nascimento]])</f>
        <v>22101</v>
      </c>
      <c r="F360" s="1" t="str">
        <f>IF(ISNUMBER(SEARCH("|",DadosBrutos[[#This Row],[cidade]])),TRIM(LEFT(DadosBrutos[[#This Row],[cidade]],SEARCH("|",DadosBrutos[[#This Row],[cidade]])-1)),TRIM(DadosBrutos[[#This Row],[cidade]]))</f>
        <v>Meereen</v>
      </c>
      <c r="G360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360" s="37">
        <f>IF(DadosBrutos[[#This Row],[renda_mensal]]="","-",IF(ISNUMBER(DadosBrutos[[#This Row],[renda_mensal]]),DadosBrutos[[#This Row],[renda_mensal]],IFERROR(VALUE(SUBSTITUTE(DadosBrutos[[#This Row],[renda_mensal]]," moedas","")),"-")))</f>
        <v>16800</v>
      </c>
      <c r="I360" s="37">
        <f>IF(DadosBrutos[[#This Row],[credito_tomado]]="","-",IF(ISNUMBER(DadosBrutos[[#This Row],[credito_tomado]]),DadosBrutos[[#This Row],[credito_tomado]],IFERROR(VALUE(SUBSTITUTE(DadosBrutos[[#This Row],[credito_tomado]]," moedas","")),"-")))</f>
        <v>79500</v>
      </c>
      <c r="J360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60" s="1">
        <f>IF(DadosBrutos[[#This Row],[qtde_batalhas]]="","-",IF(ISNUMBER(DadosBrutos[[#This Row],[qtde_batalhas]]),DadosBrutos[[#This Row],[qtde_batalhas]],IFERROR(VALUE(SUBSTITUTE(DadosBrutos[[#This Row],[qtde_batalhas]]," batalhas","")),"-")))</f>
        <v>36</v>
      </c>
      <c r="L360" s="1" t="str">
        <f>IF(DadosL[[#This Row],[qtde_batalhas]]="-","-",IF(DadosL[[#This Row],[qtde_batalhas]]&lt;=10,"Baixo",IF(DadosL[[#This Row],[qtde_batalhas]]&lt;=25,"Médio","Alto")))</f>
        <v>Alto</v>
      </c>
      <c r="M360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1500</v>
      </c>
      <c r="N360" s="1" t="str">
        <f>IF(AND(DadosL[[#This Row],[nivel_risco]]="Alto",DadosL[[#This Row],[flag_inadimplente]]="Sim"),"Negado","Aprovado")</f>
        <v>Aprovado</v>
      </c>
      <c r="O360" s="1" t="str">
        <f>IF(AND(ISNUMBER(DadosL[[#This Row],[credito_tomado]]),DadosL[[#This Row],[credito_tomado]]&gt;50000,DadosL[[#This Row],[flag_inadimplente]]="Sim"),"Negado","Aprovado")</f>
        <v>Aprovado</v>
      </c>
      <c r="P360" s="46">
        <f>IF(OR(DadosL[[#This Row],[Analise_Risco]]="Negado",DadosL[[#This Row],[Analise_Credito]]="Negado"),0,IF(DadosL[[#This Row],[status]]="Ativo",DadosL[[#This Row],[valor_solicitado]]*1.08,0))</f>
        <v>0</v>
      </c>
    </row>
    <row r="361" spans="1:16">
      <c r="A361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61" s="1" t="str">
        <f>PROPER(TRIM(DadosBrutos[[#This Row],[nome]]))</f>
        <v>Cersei Tarth</v>
      </c>
      <c r="C361" s="1" t="str">
        <f>IF(LEN(SUBSTITUTE(SUBSTITUTE(SUBSTITUTE(DadosBrutos[[#This Row],[cpf]],".",""),"-","")," ",""))=11,DadosBrutos[[#This Row],[cpf]],"-")</f>
        <v>-</v>
      </c>
      <c r="D361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46</v>
      </c>
      <c r="E361" s="45">
        <f>IF(DadosBrutos[[#This Row],[data_nascimento]]="","-",DadosBrutos[[#This Row],[data_nascimento]])</f>
        <v>29427</v>
      </c>
      <c r="F361" s="1" t="str">
        <f>IF(ISNUMBER(SEARCH("|",DadosBrutos[[#This Row],[cidade]])),TRIM(LEFT(DadosBrutos[[#This Row],[cidade]],SEARCH("|",DadosBrutos[[#This Row],[cidade]])-1)),TRIM(DadosBrutos[[#This Row],[cidade]]))</f>
        <v>Harrenhal</v>
      </c>
      <c r="G361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Terras Fluviais</v>
      </c>
      <c r="H361" s="37" t="str">
        <f>IF(DadosBrutos[[#This Row],[renda_mensal]]="","-",IF(ISNUMBER(DadosBrutos[[#This Row],[renda_mensal]]),DadosBrutos[[#This Row],[renda_mensal]],IFERROR(VALUE(SUBSTITUTE(DadosBrutos[[#This Row],[renda_mensal]]," moedas","")),"-")))</f>
        <v>-</v>
      </c>
      <c r="I361" s="37">
        <f>IF(DadosBrutos[[#This Row],[credito_tomado]]="","-",IF(ISNUMBER(DadosBrutos[[#This Row],[credito_tomado]]),DadosBrutos[[#This Row],[credito_tomado]],IFERROR(VALUE(SUBSTITUTE(DadosBrutos[[#This Row],[credito_tomado]]," moedas","")),"-")))</f>
        <v>37500</v>
      </c>
      <c r="J361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61" s="1" t="str">
        <f>IF(DadosBrutos[[#This Row],[qtde_batalhas]]="","-",IF(ISNUMBER(DadosBrutos[[#This Row],[qtde_batalhas]]),DadosBrutos[[#This Row],[qtde_batalhas]],IFERROR(VALUE(SUBSTITUTE(DadosBrutos[[#This Row],[qtde_batalhas]]," batalhas","")),"-")))</f>
        <v>-</v>
      </c>
      <c r="L361" s="1" t="str">
        <f>IF(DadosL[[#This Row],[qtde_batalhas]]="-","-",IF(DadosL[[#This Row],[qtde_batalhas]]&lt;=10,"Baixo",IF(DadosL[[#This Row],[qtde_batalhas]]&lt;=25,"Médio","Alto")))</f>
        <v>-</v>
      </c>
      <c r="M361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21500</v>
      </c>
      <c r="N361" s="1" t="str">
        <f>IF(AND(DadosL[[#This Row],[nivel_risco]]="Alto",DadosL[[#This Row],[flag_inadimplente]]="Sim"),"Negado","Aprovado")</f>
        <v>Aprovado</v>
      </c>
      <c r="O361" s="1" t="str">
        <f>IF(AND(ISNUMBER(DadosL[[#This Row],[credito_tomado]]),DadosL[[#This Row],[credito_tomado]]&gt;50000,DadosL[[#This Row],[flag_inadimplente]]="Sim"),"Negado","Aprovado")</f>
        <v>Aprovado</v>
      </c>
      <c r="P361" s="46">
        <f>IF(OR(DadosL[[#This Row],[Analise_Risco]]="Negado",DadosL[[#This Row],[Analise_Credito]]="Negado"),0,IF(DadosL[[#This Row],[status]]="Ativo",DadosL[[#This Row],[valor_solicitado]]*1.08,0))</f>
        <v>0</v>
      </c>
    </row>
    <row r="362" spans="1:16">
      <c r="A362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62" s="1" t="str">
        <f>PROPER(TRIM(DadosBrutos[[#This Row],[nome]]))</f>
        <v>Melisandre Glover</v>
      </c>
      <c r="C362" s="1" t="str">
        <f>IF(LEN(SUBSTITUTE(SUBSTITUTE(SUBSTITUTE(DadosBrutos[[#This Row],[cpf]],".",""),"-","")," ",""))=11,DadosBrutos[[#This Row],[cpf]],"-")</f>
        <v>000.000.329-00</v>
      </c>
      <c r="D362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22</v>
      </c>
      <c r="E362" s="45">
        <f>IF(DadosBrutos[[#This Row],[data_nascimento]]="","-",DadosBrutos[[#This Row],[data_nascimento]])</f>
        <v>38204</v>
      </c>
      <c r="F362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362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362" s="37">
        <f>IF(DadosBrutos[[#This Row],[renda_mensal]]="","-",IF(ISNUMBER(DadosBrutos[[#This Row],[renda_mensal]]),DadosBrutos[[#This Row],[renda_mensal]],IFERROR(VALUE(SUBSTITUTE(DadosBrutos[[#This Row],[renda_mensal]]," moedas","")),"-")))</f>
        <v>10500</v>
      </c>
      <c r="I362" s="37">
        <f>IF(DadosBrutos[[#This Row],[credito_tomado]]="","-",IF(ISNUMBER(DadosBrutos[[#This Row],[credito_tomado]]),DadosBrutos[[#This Row],[credito_tomado]],IFERROR(VALUE(SUBSTITUTE(DadosBrutos[[#This Row],[credito_tomado]]," moedas","")),"-")))</f>
        <v>50500</v>
      </c>
      <c r="J362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62" s="1">
        <f>IF(DadosBrutos[[#This Row],[qtde_batalhas]]="","-",IF(ISNUMBER(DadosBrutos[[#This Row],[qtde_batalhas]]),DadosBrutos[[#This Row],[qtde_batalhas]],IFERROR(VALUE(SUBSTITUTE(DadosBrutos[[#This Row],[qtde_batalhas]]," batalhas","")),"-")))</f>
        <v>16</v>
      </c>
      <c r="L362" s="1" t="str">
        <f>IF(DadosL[[#This Row],[qtde_batalhas]]="-","-",IF(DadosL[[#This Row],[qtde_batalhas]]&lt;=10,"Baixo",IF(DadosL[[#This Row],[qtde_batalhas]]&lt;=25,"Médio","Alto")))</f>
        <v>Médio</v>
      </c>
      <c r="M362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41500</v>
      </c>
      <c r="N362" s="1" t="str">
        <f>IF(AND(DadosL[[#This Row],[nivel_risco]]="Alto",DadosL[[#This Row],[flag_inadimplente]]="Sim"),"Negado","Aprovado")</f>
        <v>Aprovado</v>
      </c>
      <c r="O362" s="1" t="str">
        <f>IF(AND(ISNUMBER(DadosL[[#This Row],[credito_tomado]]),DadosL[[#This Row],[credito_tomado]]&gt;50000,DadosL[[#This Row],[flag_inadimplente]]="Sim"),"Negado","Aprovado")</f>
        <v>Aprovado</v>
      </c>
      <c r="P362" s="46">
        <f>IF(OR(DadosL[[#This Row],[Analise_Risco]]="Negado",DadosL[[#This Row],[Analise_Credito]]="Negado"),0,IF(DadosL[[#This Row],[status]]="Ativo",DadosL[[#This Row],[valor_solicitado]]*1.08,0))</f>
        <v>44820</v>
      </c>
    </row>
    <row r="363" spans="1:16">
      <c r="A363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63" s="1" t="str">
        <f>PROPER(TRIM(DadosBrutos[[#This Row],[nome]]))</f>
        <v>Jon Baelish</v>
      </c>
      <c r="C363" s="1" t="str">
        <f>IF(LEN(SUBSTITUTE(SUBSTITUTE(SUBSTITUTE(DadosBrutos[[#This Row],[cpf]],".",""),"-","")," ",""))=11,DadosBrutos[[#This Row],[cpf]],"-")</f>
        <v>-</v>
      </c>
      <c r="D363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67</v>
      </c>
      <c r="E363" s="45">
        <f>IF(DadosBrutos[[#This Row],[data_nascimento]]="","-",DadosBrutos[[#This Row],[data_nascimento]])</f>
        <v>21689</v>
      </c>
      <c r="F363" s="1" t="str">
        <f>IF(ISNUMBER(SEARCH("|",DadosBrutos[[#This Row],[cidade]])),TRIM(LEFT(DadosBrutos[[#This Row],[cidade]],SEARCH("|",DadosBrutos[[#This Row],[cidade]])-1)),TRIM(DadosBrutos[[#This Row],[cidade]]))</f>
        <v>Meereen</v>
      </c>
      <c r="G363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363" s="37">
        <f>IF(DadosBrutos[[#This Row],[renda_mensal]]="","-",IF(ISNUMBER(DadosBrutos[[#This Row],[renda_mensal]]),DadosBrutos[[#This Row],[renda_mensal]],IFERROR(VALUE(SUBSTITUTE(DadosBrutos[[#This Row],[renda_mensal]]," moedas","")),"-")))</f>
        <v>10700</v>
      </c>
      <c r="I363" s="37">
        <f>IF(DadosBrutos[[#This Row],[credito_tomado]]="","-",IF(ISNUMBER(DadosBrutos[[#This Row],[credito_tomado]]),DadosBrutos[[#This Row],[credito_tomado]],IFERROR(VALUE(SUBSTITUTE(DadosBrutos[[#This Row],[credito_tomado]]," moedas","")),"-")))</f>
        <v>9000</v>
      </c>
      <c r="J363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63" s="1">
        <f>IF(DadosBrutos[[#This Row],[qtde_batalhas]]="","-",IF(ISNUMBER(DadosBrutos[[#This Row],[qtde_batalhas]]),DadosBrutos[[#This Row],[qtde_batalhas]],IFERROR(VALUE(SUBSTITUTE(DadosBrutos[[#This Row],[qtde_batalhas]]," batalhas","")),"-")))</f>
        <v>37</v>
      </c>
      <c r="L363" s="1" t="str">
        <f>IF(DadosL[[#This Row],[qtde_batalhas]]="-","-",IF(DadosL[[#This Row],[qtde_batalhas]]&lt;=10,"Baixo",IF(DadosL[[#This Row],[qtde_batalhas]]&lt;=25,"Médio","Alto")))</f>
        <v>Alto</v>
      </c>
      <c r="M363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53000</v>
      </c>
      <c r="N363" s="1" t="str">
        <f>IF(AND(DadosL[[#This Row],[nivel_risco]]="Alto",DadosL[[#This Row],[flag_inadimplente]]="Sim"),"Negado","Aprovado")</f>
        <v>Aprovado</v>
      </c>
      <c r="O363" s="1" t="str">
        <f>IF(AND(ISNUMBER(DadosL[[#This Row],[credito_tomado]]),DadosL[[#This Row],[credito_tomado]]&gt;50000,DadosL[[#This Row],[flag_inadimplente]]="Sim"),"Negado","Aprovado")</f>
        <v>Aprovado</v>
      </c>
      <c r="P363" s="46">
        <f>IF(OR(DadosL[[#This Row],[Analise_Risco]]="Negado",DadosL[[#This Row],[Analise_Credito]]="Negado"),0,IF(DadosL[[#This Row],[status]]="Ativo",DadosL[[#This Row],[valor_solicitado]]*1.08,0))</f>
        <v>57240.000000000007</v>
      </c>
    </row>
    <row r="364" spans="1:16">
      <c r="A364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64" s="1" t="str">
        <f>PROPER(TRIM(DadosBrutos[[#This Row],[nome]]))</f>
        <v>Bran Tarly</v>
      </c>
      <c r="C364" s="1" t="str">
        <f>IF(LEN(SUBSTITUTE(SUBSTITUTE(SUBSTITUTE(DadosBrutos[[#This Row],[cpf]],".",""),"-","")," ",""))=11,DadosBrutos[[#This Row],[cpf]],"-")</f>
        <v>000.000.269-00</v>
      </c>
      <c r="D364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53</v>
      </c>
      <c r="E364" s="45">
        <f>IF(DadosBrutos[[#This Row],[data_nascimento]]="","-",DadosBrutos[[#This Row],[data_nascimento]])</f>
        <v>26790</v>
      </c>
      <c r="F364" s="1" t="str">
        <f>IF(ISNUMBER(SEARCH("|",DadosBrutos[[#This Row],[cidade]])),TRIM(LEFT(DadosBrutos[[#This Row],[cidade]],SEARCH("|",DadosBrutos[[#This Row],[cidade]])-1)),TRIM(DadosBrutos[[#This Row],[cidade]]))</f>
        <v>Braavos</v>
      </c>
      <c r="G364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364" s="37" t="str">
        <f>IF(DadosBrutos[[#This Row],[renda_mensal]]="","-",IF(ISNUMBER(DadosBrutos[[#This Row],[renda_mensal]]),DadosBrutos[[#This Row],[renda_mensal]],IFERROR(VALUE(SUBSTITUTE(DadosBrutos[[#This Row],[renda_mensal]]," moedas","")),"-")))</f>
        <v>-</v>
      </c>
      <c r="I364" s="37">
        <f>IF(DadosBrutos[[#This Row],[credito_tomado]]="","-",IF(ISNUMBER(DadosBrutos[[#This Row],[credito_tomado]]),DadosBrutos[[#This Row],[credito_tomado]],IFERROR(VALUE(SUBSTITUTE(DadosBrutos[[#This Row],[credito_tomado]]," moedas","")),"-")))</f>
        <v>21500</v>
      </c>
      <c r="J364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Sim</v>
      </c>
      <c r="K364" s="1">
        <f>IF(DadosBrutos[[#This Row],[qtde_batalhas]]="","-",IF(ISNUMBER(DadosBrutos[[#This Row],[qtde_batalhas]]),DadosBrutos[[#This Row],[qtde_batalhas]],IFERROR(VALUE(SUBSTITUTE(DadosBrutos[[#This Row],[qtde_batalhas]]," batalhas","")),"-")))</f>
        <v>44</v>
      </c>
      <c r="L364" s="1" t="str">
        <f>IF(DadosL[[#This Row],[qtde_batalhas]]="-","-",IF(DadosL[[#This Row],[qtde_batalhas]]&lt;=10,"Baixo",IF(DadosL[[#This Row],[qtde_batalhas]]&lt;=25,"Médio","Alto")))</f>
        <v>Alto</v>
      </c>
      <c r="M364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3500</v>
      </c>
      <c r="N364" s="1" t="str">
        <f>IF(AND(DadosL[[#This Row],[nivel_risco]]="Alto",DadosL[[#This Row],[flag_inadimplente]]="Sim"),"Negado","Aprovado")</f>
        <v>Negado</v>
      </c>
      <c r="O364" s="1" t="str">
        <f>IF(AND(ISNUMBER(DadosL[[#This Row],[credito_tomado]]),DadosL[[#This Row],[credito_tomado]]&gt;50000,DadosL[[#This Row],[flag_inadimplente]]="Sim"),"Negado","Aprovado")</f>
        <v>Aprovado</v>
      </c>
      <c r="P364" s="46">
        <f>IF(OR(DadosL[[#This Row],[Analise_Risco]]="Negado",DadosL[[#This Row],[Analise_Credito]]="Negado"),0,IF(DadosL[[#This Row],[status]]="Ativo",DadosL[[#This Row],[valor_solicitado]]*1.08,0))</f>
        <v>0</v>
      </c>
    </row>
    <row r="365" spans="1:16">
      <c r="A365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65" s="1" t="str">
        <f>PROPER(TRIM(DadosBrutos[[#This Row],[nome]]))</f>
        <v>Eddard Dayne</v>
      </c>
      <c r="C365" s="1" t="str">
        <f>IF(LEN(SUBSTITUTE(SUBSTITUTE(SUBSTITUTE(DadosBrutos[[#This Row],[cpf]],".",""),"-","")," ",""))=11,DadosBrutos[[#This Row],[cpf]],"-")</f>
        <v>-</v>
      </c>
      <c r="D365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31</v>
      </c>
      <c r="E365" s="45">
        <f>IF(DadosBrutos[[#This Row],[data_nascimento]]="","-",DadosBrutos[[#This Row],[data_nascimento]])</f>
        <v>34746</v>
      </c>
      <c r="F365" s="1" t="str">
        <f>IF(ISNUMBER(SEARCH("|",DadosBrutos[[#This Row],[cidade]])),TRIM(LEFT(DadosBrutos[[#This Row],[cidade]],SEARCH("|",DadosBrutos[[#This Row],[cidade]])-1)),TRIM(DadosBrutos[[#This Row],[cidade]]))</f>
        <v>Braavos</v>
      </c>
      <c r="G365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Essos</v>
      </c>
      <c r="H365" s="37">
        <f>IF(DadosBrutos[[#This Row],[renda_mensal]]="","-",IF(ISNUMBER(DadosBrutos[[#This Row],[renda_mensal]]),DadosBrutos[[#This Row],[renda_mensal]],IFERROR(VALUE(SUBSTITUTE(DadosBrutos[[#This Row],[renda_mensal]]," moedas","")),"-")))</f>
        <v>18200</v>
      </c>
      <c r="I365" s="37">
        <f>IF(DadosBrutos[[#This Row],[credito_tomado]]="","-",IF(ISNUMBER(DadosBrutos[[#This Row],[credito_tomado]]),DadosBrutos[[#This Row],[credito_tomado]],IFERROR(VALUE(SUBSTITUTE(DadosBrutos[[#This Row],[credito_tomado]]," moedas","")),"-")))</f>
        <v>78500</v>
      </c>
      <c r="J365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65" s="1">
        <f>IF(DadosBrutos[[#This Row],[qtde_batalhas]]="","-",IF(ISNUMBER(DadosBrutos[[#This Row],[qtde_batalhas]]),DadosBrutos[[#This Row],[qtde_batalhas]],IFERROR(VALUE(SUBSTITUTE(DadosBrutos[[#This Row],[qtde_batalhas]]," batalhas","")),"-")))</f>
        <v>9</v>
      </c>
      <c r="L365" s="1" t="str">
        <f>IF(DadosL[[#This Row],[qtde_batalhas]]="-","-",IF(DadosL[[#This Row],[qtde_batalhas]]&lt;=10,"Baixo",IF(DadosL[[#This Row],[qtde_batalhas]]&lt;=25,"Médio","Alto")))</f>
        <v>Baixo</v>
      </c>
      <c r="M365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73000</v>
      </c>
      <c r="N365" s="1" t="str">
        <f>IF(AND(DadosL[[#This Row],[nivel_risco]]="Alto",DadosL[[#This Row],[flag_inadimplente]]="Sim"),"Negado","Aprovado")</f>
        <v>Aprovado</v>
      </c>
      <c r="O365" s="1" t="str">
        <f>IF(AND(ISNUMBER(DadosL[[#This Row],[credito_tomado]]),DadosL[[#This Row],[credito_tomado]]&gt;50000,DadosL[[#This Row],[flag_inadimplente]]="Sim"),"Negado","Aprovado")</f>
        <v>Aprovado</v>
      </c>
      <c r="P365" s="46">
        <f>IF(OR(DadosL[[#This Row],[Analise_Risco]]="Negado",DadosL[[#This Row],[Analise_Credito]]="Negado"),0,IF(DadosL[[#This Row],[status]]="Ativo",DadosL[[#This Row],[valor_solicitado]]*1.08,0))</f>
        <v>0</v>
      </c>
    </row>
    <row r="366" spans="1:16">
      <c r="A366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66" s="1" t="str">
        <f>PROPER(TRIM(DadosBrutos[[#This Row],[nome]]))</f>
        <v>Thoros Tarth</v>
      </c>
      <c r="C366" s="1" t="str">
        <f>IF(LEN(SUBSTITUTE(SUBSTITUTE(SUBSTITUTE(DadosBrutos[[#This Row],[cpf]],".",""),"-","")," ",""))=11,DadosBrutos[[#This Row],[cpf]],"-")</f>
        <v>000.000.280-00</v>
      </c>
      <c r="D366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41</v>
      </c>
      <c r="E366" s="45">
        <f>IF(DadosBrutos[[#This Row],[data_nascimento]]="","-",DadosBrutos[[#This Row],[data_nascimento]])</f>
        <v>31156</v>
      </c>
      <c r="F366" s="1" t="str">
        <f>IF(ISNUMBER(SEARCH("|",DadosBrutos[[#This Row],[cidade]])),TRIM(LEFT(DadosBrutos[[#This Row],[cidade]],SEARCH("|",DadosBrutos[[#This Row],[cidade]])-1)),TRIM(DadosBrutos[[#This Row],[cidade]]))</f>
        <v>Fosso Cailin</v>
      </c>
      <c r="G366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Norte</v>
      </c>
      <c r="H366" s="37">
        <f>IF(DadosBrutos[[#This Row],[renda_mensal]]="","-",IF(ISNUMBER(DadosBrutos[[#This Row],[renda_mensal]]),DadosBrutos[[#This Row],[renda_mensal]],IFERROR(VALUE(SUBSTITUTE(DadosBrutos[[#This Row],[renda_mensal]]," moedas","")),"-")))</f>
        <v>26500</v>
      </c>
      <c r="I366" s="37">
        <f>IF(DadosBrutos[[#This Row],[credito_tomado]]="","-",IF(ISNUMBER(DadosBrutos[[#This Row],[credito_tomado]]),DadosBrutos[[#This Row],[credito_tomado]],IFERROR(VALUE(SUBSTITUTE(DadosBrutos[[#This Row],[credito_tomado]]," moedas","")),"-")))</f>
        <v>29500</v>
      </c>
      <c r="J366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66" s="1">
        <f>IF(DadosBrutos[[#This Row],[qtde_batalhas]]="","-",IF(ISNUMBER(DadosBrutos[[#This Row],[qtde_batalhas]]),DadosBrutos[[#This Row],[qtde_batalhas]],IFERROR(VALUE(SUBSTITUTE(DadosBrutos[[#This Row],[qtde_batalhas]]," batalhas","")),"-")))</f>
        <v>5</v>
      </c>
      <c r="L366" s="1" t="str">
        <f>IF(DadosL[[#This Row],[qtde_batalhas]]="-","-",IF(DadosL[[#This Row],[qtde_batalhas]]&lt;=10,"Baixo",IF(DadosL[[#This Row],[qtde_batalhas]]&lt;=25,"Médio","Alto")))</f>
        <v>Baixo</v>
      </c>
      <c r="M366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75000</v>
      </c>
      <c r="N366" s="1" t="str">
        <f>IF(AND(DadosL[[#This Row],[nivel_risco]]="Alto",DadosL[[#This Row],[flag_inadimplente]]="Sim"),"Negado","Aprovado")</f>
        <v>Aprovado</v>
      </c>
      <c r="O366" s="1" t="str">
        <f>IF(AND(ISNUMBER(DadosL[[#This Row],[credito_tomado]]),DadosL[[#This Row],[credito_tomado]]&gt;50000,DadosL[[#This Row],[flag_inadimplente]]="Sim"),"Negado","Aprovado")</f>
        <v>Aprovado</v>
      </c>
      <c r="P366" s="46">
        <f>IF(OR(DadosL[[#This Row],[Analise_Risco]]="Negado",DadosL[[#This Row],[Analise_Credito]]="Negado"),0,IF(DadosL[[#This Row],[status]]="Ativo",DadosL[[#This Row],[valor_solicitado]]*1.08,0))</f>
        <v>81000</v>
      </c>
    </row>
    <row r="367" spans="1:16">
      <c r="A367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Inativo</v>
      </c>
      <c r="B367" s="1" t="str">
        <f>PROPER(TRIM(DadosBrutos[[#This Row],[nome]]))</f>
        <v>Renly Bolton</v>
      </c>
      <c r="C367" s="1" t="str">
        <f>IF(LEN(SUBSTITUTE(SUBSTITUTE(SUBSTITUTE(DadosBrutos[[#This Row],[cpf]],".",""),"-","")," ",""))=11,DadosBrutos[[#This Row],[cpf]],"-")</f>
        <v>-</v>
      </c>
      <c r="D367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55</v>
      </c>
      <c r="E367" s="45">
        <f>IF(DadosBrutos[[#This Row],[data_nascimento]]="","-",DadosBrutos[[#This Row],[data_nascimento]])</f>
        <v>26075</v>
      </c>
      <c r="F367" s="1" t="str">
        <f>IF(ISNUMBER(SEARCH("|",DadosBrutos[[#This Row],[cidade]])),TRIM(LEFT(DadosBrutos[[#This Row],[cidade]],SEARCH("|",DadosBrutos[[#This Row],[cidade]])-1)),TRIM(DadosBrutos[[#This Row],[cidade]]))</f>
        <v>Ninho da Águia</v>
      </c>
      <c r="G367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Vale</v>
      </c>
      <c r="H367" s="37">
        <f>IF(DadosBrutos[[#This Row],[renda_mensal]]="","-",IF(ISNUMBER(DadosBrutos[[#This Row],[renda_mensal]]),DadosBrutos[[#This Row],[renda_mensal]],IFERROR(VALUE(SUBSTITUTE(DadosBrutos[[#This Row],[renda_mensal]]," moedas","")),"-")))</f>
        <v>21100</v>
      </c>
      <c r="I367" s="37">
        <f>IF(DadosBrutos[[#This Row],[credito_tomado]]="","-",IF(ISNUMBER(DadosBrutos[[#This Row],[credito_tomado]]),DadosBrutos[[#This Row],[credito_tomado]],IFERROR(VALUE(SUBSTITUTE(DadosBrutos[[#This Row],[credito_tomado]]," moedas","")),"-")))</f>
        <v>67500</v>
      </c>
      <c r="J367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67" s="1">
        <f>IF(DadosBrutos[[#This Row],[qtde_batalhas]]="","-",IF(ISNUMBER(DadosBrutos[[#This Row],[qtde_batalhas]]),DadosBrutos[[#This Row],[qtde_batalhas]],IFERROR(VALUE(SUBSTITUTE(DadosBrutos[[#This Row],[qtde_batalhas]]," batalhas","")),"-")))</f>
        <v>15</v>
      </c>
      <c r="L367" s="1" t="str">
        <f>IF(DadosL[[#This Row],[qtde_batalhas]]="-","-",IF(DadosL[[#This Row],[qtde_batalhas]]&lt;=10,"Baixo",IF(DadosL[[#This Row],[qtde_batalhas]]&lt;=25,"Médio","Alto")))</f>
        <v>Médio</v>
      </c>
      <c r="M367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20000</v>
      </c>
      <c r="N367" s="1" t="str">
        <f>IF(AND(DadosL[[#This Row],[nivel_risco]]="Alto",DadosL[[#This Row],[flag_inadimplente]]="Sim"),"Negado","Aprovado")</f>
        <v>Aprovado</v>
      </c>
      <c r="O367" s="1" t="str">
        <f>IF(AND(ISNUMBER(DadosL[[#This Row],[credito_tomado]]),DadosL[[#This Row],[credito_tomado]]&gt;50000,DadosL[[#This Row],[flag_inadimplente]]="Sim"),"Negado","Aprovado")</f>
        <v>Aprovado</v>
      </c>
      <c r="P367" s="46">
        <f>IF(OR(DadosL[[#This Row],[Analise_Risco]]="Negado",DadosL[[#This Row],[Analise_Credito]]="Negado"),0,IF(DadosL[[#This Row],[status]]="Ativo",DadosL[[#This Row],[valor_solicitado]]*1.08,0))</f>
        <v>0</v>
      </c>
    </row>
    <row r="368" spans="1:16">
      <c r="A368" s="1" t="str">
        <f>IF(UPPER(TRIM(DadosBrutos[[#This Row],[status]]&amp;""))="ATIVO","Ativo",IF(UPPER(TRIM(DadosBrutos[[#This Row],[status]]&amp;""))="INATIVO","Inativo",IF(OR(UPPER(TRIM(DadosBrutos[[#This Row],[status]]&amp;""))="BLOQUEADO",UPPER(TRIM(DadosBrutos[[#This Row],[status]]&amp;""))="LOQUEADO"),"Bloqueado","-")))</f>
        <v>Ativo</v>
      </c>
      <c r="B368" s="1" t="str">
        <f>PROPER(TRIM(DadosBrutos[[#This Row],[nome]]))</f>
        <v>Rhaegar Payne</v>
      </c>
      <c r="C368" s="1" t="str">
        <f>IF(LEN(SUBSTITUTE(SUBSTITUTE(SUBSTITUTE(DadosBrutos[[#This Row],[cpf]],".",""),"-","")," ",""))=11,DadosBrutos[[#This Row],[cpf]],"-")</f>
        <v>000.000.253-00</v>
      </c>
      <c r="D368" s="15">
        <f ca="1">IF(DadosBrutos[[#This Row],[idade]]="",IF(DadosBrutos[[#This Row],[data_nascimento]]="","-",YEAR(TODAY())-YEAR(DadosBrutos[[#This Row],[data_nascimento]])),IF(ISNUMBER(DadosBrutos[[#This Row],[idade]]),DadosBrutos[[#This Row],[idade]],"-"))</f>
        <v>60</v>
      </c>
      <c r="E368" s="45">
        <f>IF(DadosBrutos[[#This Row],[data_nascimento]]="","-",DadosBrutos[[#This Row],[data_nascimento]])</f>
        <v>24272</v>
      </c>
      <c r="F368" s="1" t="str">
        <f>IF(ISNUMBER(SEARCH("|",DadosBrutos[[#This Row],[cidade]])),TRIM(LEFT(DadosBrutos[[#This Row],[cidade]],SEARCH("|",DadosBrutos[[#This Row],[cidade]])-1)),TRIM(DadosBrutos[[#This Row],[cidade]]))</f>
        <v>Monte Chifre</v>
      </c>
      <c r="G368" s="1" t="str">
        <f>IF(DadosL[[#This Row],[cidade]]="Lannisporto","Oeste",
IF(DadosL[[#This Row],[cidade]]="Ninho da Águia","Vale",
IF(DadosL[[#This Row],[cidade]]="Ponta Tempestade","Terras da Tempestade",
IF(DadosL[[#This Row],[cidade]]="Pedra do Dragão","Terras da Coroa",
IF(DadosL[[#This Row],[cidade]]="Pyke","Ilhas de Ferro",
IF(DadosL[[#This Row],[cidade]]="Meereen","Essos",
IF(DadosL[[#This Row],[cidade]]="Braavos","Essos",
IF(DadosL[[#This Row],[cidade]]="Correrrio","Terras Fluviais",
IF(DadosL[[#This Row],[cidade]]="Castelo Negro","Norte",
IF(DadosL[[#This Row],[cidade]]="Vilavelha","Campina",
IF(DadosL[[#This Row],[cidade]]="Ilha dos Ursos","Norte",
IF(DadosL[[#This Row],[cidade]]="Fosso Cailin","Norte",
IF(DadosL[[#This Row],[cidade]]="Harrenhal","Terras Fluviais",
IF(DadosL[[#This Row],[cidade]]="Winterfell","Norte",
IF(DadosL[[#This Row],[cidade]]="Jardim de Cima","Campina",
IF(DadosL[[#This Row],[cidade]]="Dorne","Dorne",
IF(DadosL[[#This Row],[cidade]]="Monte Chifre","Campina",
IF(DadosL[[#This Row],[cidade]]="Atalaia da Água Cinzenta","Oeste",
IF(DadosL[[#This Row],[cidade]]="Porto Real","Terras da Coroa",
IF(DadosL[[#This Row],[cidade]]="Solar do Entardecer","Terras da Tempestade",
""))))))))))))))))))))</f>
        <v>Campina</v>
      </c>
      <c r="H368" s="37">
        <f>IF(DadosBrutos[[#This Row],[renda_mensal]]="","-",IF(ISNUMBER(DadosBrutos[[#This Row],[renda_mensal]]),DadosBrutos[[#This Row],[renda_mensal]],IFERROR(VALUE(SUBSTITUTE(DadosBrutos[[#This Row],[renda_mensal]]," moedas","")),"-")))</f>
        <v>17300</v>
      </c>
      <c r="I368" s="37">
        <f>IF(DadosBrutos[[#This Row],[credito_tomado]]="","-",IF(ISNUMBER(DadosBrutos[[#This Row],[credito_tomado]]),DadosBrutos[[#This Row],[credito_tomado]],IFERROR(VALUE(SUBSTITUTE(DadosBrutos[[#This Row],[credito_tomado]]," moedas","")),"-")))</f>
        <v>15000</v>
      </c>
      <c r="J368" s="1" t="str">
        <f>IF(TRIM(DadosBrutos[[#This Row],[flag_inadimplente]]&amp;"")="","-",IF(OR(UPPER(TRIM(DadosBrutos[[#This Row],[flag_inadimplente]]&amp;""))="SIM",TRIM(DadosBrutos[[#This Row],[flag_inadimplente]]&amp;"")="1"),"Sim",IF(OR(UPPER(TRIM(DadosBrutos[[#This Row],[flag_inadimplente]]&amp;""))="NÃO",UPPER(TRIM(DadosBrutos[[#This Row],[flag_inadimplente]]&amp;""))="NAO",TRIM(DadosBrutos[[#This Row],[flag_inadimplente]]&amp;"")="0"),"Não","-")))</f>
        <v>Não</v>
      </c>
      <c r="K368" s="1">
        <f>IF(DadosBrutos[[#This Row],[qtde_batalhas]]="","-",IF(ISNUMBER(DadosBrutos[[#This Row],[qtde_batalhas]]),DadosBrutos[[#This Row],[qtde_batalhas]],IFERROR(VALUE(SUBSTITUTE(DadosBrutos[[#This Row],[qtde_batalhas]]," batalhas","")),"-")))</f>
        <v>17</v>
      </c>
      <c r="L368" s="1" t="str">
        <f>IF(DadosL[[#This Row],[qtde_batalhas]]="-","-",IF(DadosL[[#This Row],[qtde_batalhas]]&lt;=10,"Baixo",IF(DadosL[[#This Row],[qtde_batalhas]]&lt;=25,"Médio","Alto")))</f>
        <v>Médio</v>
      </c>
      <c r="M368" s="37">
        <f>IF(DadosBrutos[[#This Row],[valor_solicitado]]="","-",IF(ISNUMBER(DadosBrutos[[#This Row],[valor_solicitado]]),DadosBrutos[[#This Row],[valor_solicitado]],IFERROR(VALUE(SUBSTITUTE(DadosBrutos[[#This Row],[valor_solicitado]]," moedas","")),"-")))</f>
        <v>69000</v>
      </c>
      <c r="N368" s="1" t="str">
        <f>IF(AND(DadosL[[#This Row],[nivel_risco]]="Alto",DadosL[[#This Row],[flag_inadimplente]]="Sim"),"Negado","Aprovado")</f>
        <v>Aprovado</v>
      </c>
      <c r="O368" s="1" t="str">
        <f>IF(AND(ISNUMBER(DadosL[[#This Row],[credito_tomado]]),DadosL[[#This Row],[credito_tomado]]&gt;50000,DadosL[[#This Row],[flag_inadimplente]]="Sim"),"Negado","Aprovado")</f>
        <v>Aprovado</v>
      </c>
      <c r="P368" s="46">
        <f>IF(OR(DadosL[[#This Row],[Analise_Risco]]="Negado",DadosL[[#This Row],[Analise_Credito]]="Negado"),0,IF(DadosL[[#This Row],[status]]="Ativo",DadosL[[#This Row],[valor_solicitado]]*1.08,0))</f>
        <v>74520</v>
      </c>
    </row>
  </sheetData>
  <printOptions horizontalCentere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D120-6E12-4955-BE0A-E4A4A6F1DFFD}">
  <dimension ref="O3:P6"/>
  <sheetViews>
    <sheetView workbookViewId="0">
      <selection activeCell="B29" activeCellId="1" sqref="AI15 B29"/>
    </sheetView>
  </sheetViews>
  <sheetFormatPr defaultRowHeight="15"/>
  <cols>
    <col min="15" max="15" width="13.5703125" customWidth="1"/>
    <col min="16" max="16" width="11.7109375" customWidth="1"/>
  </cols>
  <sheetData>
    <row r="3" spans="15:16">
      <c r="O3" s="47" t="s">
        <v>16</v>
      </c>
      <c r="P3" s="47" t="s">
        <v>17</v>
      </c>
    </row>
    <row r="4" spans="15:16">
      <c r="O4" t="s">
        <v>18</v>
      </c>
      <c r="P4">
        <v>85</v>
      </c>
    </row>
    <row r="5" spans="15:16">
      <c r="O5" t="s">
        <v>19</v>
      </c>
      <c r="P5">
        <v>123</v>
      </c>
    </row>
    <row r="6" spans="15:16">
      <c r="O6" t="s">
        <v>20</v>
      </c>
      <c r="P6">
        <v>156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B111-1E22-4856-A6C4-2492C7C4FFBE}">
  <dimension ref="A1:O369"/>
  <sheetViews>
    <sheetView workbookViewId="0">
      <selection activeCell="H21" sqref="H21"/>
    </sheetView>
  </sheetViews>
  <sheetFormatPr defaultRowHeight="15"/>
  <cols>
    <col min="2" max="2" width="13.28515625" bestFit="1" customWidth="1"/>
    <col min="3" max="3" width="15" bestFit="1" customWidth="1"/>
    <col min="5" max="5" width="19" bestFit="1" customWidth="1"/>
    <col min="6" max="6" width="14.5703125" bestFit="1" customWidth="1"/>
    <col min="8" max="8" width="16.28515625" bestFit="1" customWidth="1"/>
    <col min="9" max="9" width="18" bestFit="1" customWidth="1"/>
    <col min="10" max="10" width="20" bestFit="1" customWidth="1"/>
    <col min="11" max="11" width="16.42578125" bestFit="1" customWidth="1"/>
    <col min="12" max="12" width="13" bestFit="1" customWidth="1"/>
    <col min="13" max="13" width="21" bestFit="1" customWidth="1"/>
    <col min="14" max="14" width="17.7109375" bestFit="1" customWidth="1"/>
  </cols>
  <sheetData>
    <row r="1" spans="1:1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21</v>
      </c>
      <c r="N1" s="39" t="s">
        <v>12</v>
      </c>
      <c r="O1" t="s">
        <v>22</v>
      </c>
    </row>
    <row r="2" spans="1:15">
      <c r="A2" s="40" t="s">
        <v>23</v>
      </c>
      <c r="B2" s="40" t="s">
        <v>24</v>
      </c>
      <c r="C2" s="40" t="s">
        <v>25</v>
      </c>
      <c r="D2" s="40">
        <v>32</v>
      </c>
      <c r="E2" s="41">
        <v>34347</v>
      </c>
      <c r="F2" s="40" t="s">
        <v>26</v>
      </c>
      <c r="G2" s="40" t="s">
        <v>27</v>
      </c>
      <c r="H2" s="40">
        <v>15600</v>
      </c>
      <c r="I2" s="40">
        <v>0</v>
      </c>
      <c r="J2" s="40" t="s">
        <v>28</v>
      </c>
      <c r="K2" s="40">
        <v>34</v>
      </c>
      <c r="L2" s="40"/>
      <c r="M2" s="40" t="s">
        <v>28</v>
      </c>
      <c r="N2" s="40">
        <v>16000</v>
      </c>
    </row>
    <row r="3" spans="1:15">
      <c r="A3" s="40" t="s">
        <v>29</v>
      </c>
      <c r="B3" s="40" t="s">
        <v>30</v>
      </c>
      <c r="C3" s="40">
        <v>36100</v>
      </c>
      <c r="D3" s="40">
        <v>24</v>
      </c>
      <c r="E3" s="41">
        <v>37313</v>
      </c>
      <c r="F3" s="40" t="s">
        <v>31</v>
      </c>
      <c r="G3" s="40" t="s">
        <v>32</v>
      </c>
      <c r="H3" s="40" t="s">
        <v>33</v>
      </c>
      <c r="I3" s="40">
        <v>76500</v>
      </c>
      <c r="J3" s="40" t="s">
        <v>34</v>
      </c>
      <c r="K3" s="40">
        <v>33</v>
      </c>
      <c r="L3" s="40"/>
      <c r="M3" s="40" t="s">
        <v>28</v>
      </c>
      <c r="N3" s="40">
        <v>26000</v>
      </c>
    </row>
    <row r="4" spans="1:15">
      <c r="A4" s="40" t="s">
        <v>23</v>
      </c>
      <c r="B4" s="40" t="s">
        <v>35</v>
      </c>
      <c r="C4" s="40" t="s">
        <v>36</v>
      </c>
      <c r="D4" s="40">
        <v>33</v>
      </c>
      <c r="E4" s="41">
        <v>34144</v>
      </c>
      <c r="F4" s="40" t="s">
        <v>37</v>
      </c>
      <c r="G4" s="40" t="s">
        <v>38</v>
      </c>
      <c r="H4" s="40" t="s">
        <v>39</v>
      </c>
      <c r="I4" s="40" t="s">
        <v>40</v>
      </c>
      <c r="J4" s="40" t="s">
        <v>41</v>
      </c>
      <c r="K4" s="40">
        <v>22</v>
      </c>
      <c r="L4" s="40"/>
      <c r="M4" s="40" t="s">
        <v>41</v>
      </c>
      <c r="N4" s="40">
        <v>51500</v>
      </c>
    </row>
    <row r="5" spans="1:15">
      <c r="A5" s="40" t="s">
        <v>23</v>
      </c>
      <c r="B5" s="40" t="s">
        <v>42</v>
      </c>
      <c r="C5" s="40" t="s">
        <v>43</v>
      </c>
      <c r="D5" s="40">
        <v>63</v>
      </c>
      <c r="E5" s="41">
        <v>23156</v>
      </c>
      <c r="F5" s="40" t="s">
        <v>44</v>
      </c>
      <c r="G5" s="40"/>
      <c r="H5" s="40" t="s">
        <v>45</v>
      </c>
      <c r="I5" s="40">
        <v>8500</v>
      </c>
      <c r="J5" s="40" t="s">
        <v>41</v>
      </c>
      <c r="K5" s="40">
        <v>39</v>
      </c>
      <c r="L5" s="40"/>
      <c r="M5" s="40" t="s">
        <v>41</v>
      </c>
      <c r="N5" s="40">
        <v>36500</v>
      </c>
    </row>
    <row r="6" spans="1:15">
      <c r="A6" s="40" t="s">
        <v>23</v>
      </c>
      <c r="B6" s="40" t="s">
        <v>46</v>
      </c>
      <c r="C6" s="40" t="s">
        <v>47</v>
      </c>
      <c r="D6" s="40">
        <v>32</v>
      </c>
      <c r="E6" s="41">
        <v>34299</v>
      </c>
      <c r="F6" s="40" t="s">
        <v>26</v>
      </c>
      <c r="G6" s="40" t="s">
        <v>48</v>
      </c>
      <c r="H6" s="42">
        <v>30000</v>
      </c>
      <c r="I6" s="40"/>
      <c r="J6" s="40" t="s">
        <v>49</v>
      </c>
      <c r="K6" s="40">
        <v>5</v>
      </c>
      <c r="L6" s="40"/>
      <c r="M6" s="40" t="s">
        <v>49</v>
      </c>
      <c r="N6" s="40">
        <v>65000</v>
      </c>
    </row>
    <row r="7" spans="1:15">
      <c r="A7" s="40" t="s">
        <v>23</v>
      </c>
      <c r="B7" s="40" t="s">
        <v>50</v>
      </c>
      <c r="C7" s="40" t="s">
        <v>51</v>
      </c>
      <c r="D7" s="40">
        <v>48</v>
      </c>
      <c r="E7" s="41">
        <v>28647</v>
      </c>
      <c r="F7" s="40" t="s">
        <v>52</v>
      </c>
      <c r="G7" s="40"/>
      <c r="H7" s="40">
        <v>13200</v>
      </c>
      <c r="I7" s="40" t="s">
        <v>53</v>
      </c>
      <c r="J7" s="40" t="s">
        <v>49</v>
      </c>
      <c r="K7" s="40">
        <v>1</v>
      </c>
      <c r="L7" s="40"/>
      <c r="M7" s="40" t="s">
        <v>49</v>
      </c>
      <c r="N7" s="40">
        <v>32500</v>
      </c>
    </row>
    <row r="8" spans="1:15">
      <c r="A8" s="40" t="s">
        <v>54</v>
      </c>
      <c r="B8" s="40" t="s">
        <v>55</v>
      </c>
      <c r="C8" s="40" t="s">
        <v>56</v>
      </c>
      <c r="D8" s="40">
        <v>28</v>
      </c>
      <c r="E8" s="41">
        <v>35830</v>
      </c>
      <c r="F8" s="40" t="s">
        <v>52</v>
      </c>
      <c r="G8" s="40" t="s">
        <v>57</v>
      </c>
      <c r="H8" s="40" t="s">
        <v>58</v>
      </c>
      <c r="I8" s="42">
        <v>19000</v>
      </c>
      <c r="J8" s="40" t="s">
        <v>28</v>
      </c>
      <c r="K8" s="40">
        <v>4</v>
      </c>
      <c r="L8" s="40"/>
      <c r="M8" s="40" t="s">
        <v>28</v>
      </c>
      <c r="N8" s="40">
        <v>32500</v>
      </c>
    </row>
    <row r="9" spans="1:15">
      <c r="A9" s="40" t="s">
        <v>29</v>
      </c>
      <c r="B9" s="40" t="s">
        <v>59</v>
      </c>
      <c r="C9" s="40" t="s">
        <v>60</v>
      </c>
      <c r="D9" s="40">
        <v>42</v>
      </c>
      <c r="E9" s="41">
        <v>30810</v>
      </c>
      <c r="F9" s="40" t="s">
        <v>61</v>
      </c>
      <c r="G9" s="40" t="s">
        <v>62</v>
      </c>
      <c r="H9" s="40" t="s">
        <v>63</v>
      </c>
      <c r="I9" s="40" t="s">
        <v>64</v>
      </c>
      <c r="J9" s="40" t="s">
        <v>49</v>
      </c>
      <c r="K9" s="40">
        <v>19</v>
      </c>
      <c r="L9" s="40"/>
      <c r="M9" s="40" t="s">
        <v>49</v>
      </c>
      <c r="N9" s="40">
        <v>63500</v>
      </c>
    </row>
    <row r="10" spans="1:15">
      <c r="A10" s="40" t="s">
        <v>23</v>
      </c>
      <c r="B10" s="40" t="s">
        <v>65</v>
      </c>
      <c r="C10" s="40" t="s">
        <v>66</v>
      </c>
      <c r="D10" s="40">
        <v>34</v>
      </c>
      <c r="E10" s="41">
        <v>33624</v>
      </c>
      <c r="F10" s="40" t="s">
        <v>61</v>
      </c>
      <c r="G10" s="40" t="s">
        <v>67</v>
      </c>
      <c r="H10" s="40">
        <v>8000</v>
      </c>
      <c r="I10" s="43">
        <v>14500</v>
      </c>
      <c r="J10" s="40" t="s">
        <v>28</v>
      </c>
      <c r="K10" s="40">
        <v>9</v>
      </c>
      <c r="L10" s="40"/>
      <c r="M10" s="40" t="s">
        <v>28</v>
      </c>
      <c r="N10" s="40">
        <v>17500</v>
      </c>
    </row>
    <row r="11" spans="1:15">
      <c r="A11" s="40" t="s">
        <v>29</v>
      </c>
      <c r="B11" s="40" t="s">
        <v>68</v>
      </c>
      <c r="C11" s="40" t="s">
        <v>69</v>
      </c>
      <c r="D11" s="40">
        <v>61</v>
      </c>
      <c r="E11" s="41">
        <v>23667</v>
      </c>
      <c r="F11" s="40" t="s">
        <v>70</v>
      </c>
      <c r="G11" s="40" t="s">
        <v>71</v>
      </c>
      <c r="H11" s="40" t="s">
        <v>72</v>
      </c>
      <c r="I11" s="40">
        <v>44500</v>
      </c>
      <c r="J11" s="40" t="s">
        <v>28</v>
      </c>
      <c r="K11" s="40">
        <v>32</v>
      </c>
      <c r="L11" s="40"/>
      <c r="M11" s="40" t="s">
        <v>28</v>
      </c>
      <c r="N11" s="40">
        <v>2000</v>
      </c>
    </row>
    <row r="12" spans="1:15">
      <c r="A12" s="40" t="s">
        <v>23</v>
      </c>
      <c r="B12" s="40" t="s">
        <v>73</v>
      </c>
      <c r="C12" s="40" t="s">
        <v>74</v>
      </c>
      <c r="D12" s="40">
        <v>33</v>
      </c>
      <c r="E12" s="41">
        <v>34147</v>
      </c>
      <c r="F12" s="40" t="s">
        <v>70</v>
      </c>
      <c r="G12" s="40" t="s">
        <v>71</v>
      </c>
      <c r="H12" s="40">
        <v>28700</v>
      </c>
      <c r="I12" s="40">
        <v>12500</v>
      </c>
      <c r="J12" s="40" t="s">
        <v>49</v>
      </c>
      <c r="K12" s="40">
        <v>41</v>
      </c>
      <c r="L12" s="40"/>
      <c r="M12" s="40" t="s">
        <v>49</v>
      </c>
      <c r="N12" s="40">
        <v>99500</v>
      </c>
    </row>
    <row r="13" spans="1:15">
      <c r="A13" s="40" t="s">
        <v>23</v>
      </c>
      <c r="B13" s="40" t="s">
        <v>75</v>
      </c>
      <c r="C13" s="40">
        <v>35800</v>
      </c>
      <c r="D13" s="40">
        <v>70</v>
      </c>
      <c r="E13" s="41">
        <v>20515</v>
      </c>
      <c r="F13" s="40" t="s">
        <v>76</v>
      </c>
      <c r="G13" s="40" t="s">
        <v>71</v>
      </c>
      <c r="H13" s="40" t="s">
        <v>77</v>
      </c>
      <c r="I13" s="40">
        <v>62000</v>
      </c>
      <c r="J13" s="40" t="s">
        <v>28</v>
      </c>
      <c r="K13" s="40">
        <v>45</v>
      </c>
      <c r="L13" s="40"/>
      <c r="M13" s="40" t="s">
        <v>28</v>
      </c>
      <c r="N13" s="40">
        <v>35500</v>
      </c>
    </row>
    <row r="14" spans="1:15">
      <c r="A14" s="40" t="s">
        <v>23</v>
      </c>
      <c r="B14" s="40" t="s">
        <v>78</v>
      </c>
      <c r="C14" s="40" t="s">
        <v>79</v>
      </c>
      <c r="D14" s="40">
        <v>54</v>
      </c>
      <c r="E14" s="41">
        <v>26382</v>
      </c>
      <c r="F14" s="40" t="s">
        <v>31</v>
      </c>
      <c r="G14" s="40" t="s">
        <v>32</v>
      </c>
      <c r="H14" s="40">
        <v>22100</v>
      </c>
      <c r="I14" s="40">
        <v>37000</v>
      </c>
      <c r="J14" s="40" t="s">
        <v>49</v>
      </c>
      <c r="K14" s="40">
        <v>34</v>
      </c>
      <c r="L14" s="40"/>
      <c r="M14" s="40" t="s">
        <v>49</v>
      </c>
      <c r="N14" s="40">
        <v>87000</v>
      </c>
    </row>
    <row r="15" spans="1:15">
      <c r="A15" s="40" t="s">
        <v>23</v>
      </c>
      <c r="B15" s="40" t="s">
        <v>80</v>
      </c>
      <c r="C15" s="40">
        <v>8600</v>
      </c>
      <c r="D15" s="40"/>
      <c r="E15" s="41">
        <v>32260</v>
      </c>
      <c r="F15" s="40" t="s">
        <v>61</v>
      </c>
      <c r="G15" s="40" t="s">
        <v>81</v>
      </c>
      <c r="H15" s="40" t="s">
        <v>82</v>
      </c>
      <c r="I15" s="40">
        <v>0</v>
      </c>
      <c r="J15" s="40" t="s">
        <v>28</v>
      </c>
      <c r="K15" s="40">
        <v>31</v>
      </c>
      <c r="L15" s="40"/>
      <c r="M15" s="40" t="s">
        <v>28</v>
      </c>
      <c r="N15" s="40">
        <v>47500</v>
      </c>
    </row>
    <row r="16" spans="1:15">
      <c r="A16" s="40" t="s">
        <v>29</v>
      </c>
      <c r="B16" s="40" t="s">
        <v>83</v>
      </c>
      <c r="C16" s="40">
        <v>200</v>
      </c>
      <c r="D16" s="40">
        <v>55</v>
      </c>
      <c r="E16" s="41">
        <v>25892</v>
      </c>
      <c r="F16" s="40" t="s">
        <v>31</v>
      </c>
      <c r="G16" s="40" t="s">
        <v>84</v>
      </c>
      <c r="H16" s="40">
        <v>5300</v>
      </c>
      <c r="I16" s="43">
        <v>6500</v>
      </c>
      <c r="J16" s="40" t="s">
        <v>49</v>
      </c>
      <c r="K16" s="40">
        <v>42</v>
      </c>
      <c r="L16" s="40"/>
      <c r="M16" s="40" t="s">
        <v>49</v>
      </c>
      <c r="N16" s="40">
        <v>96000</v>
      </c>
    </row>
    <row r="17" spans="1:14">
      <c r="A17" s="40" t="s">
        <v>29</v>
      </c>
      <c r="B17" s="40" t="s">
        <v>85</v>
      </c>
      <c r="C17" s="40" t="s">
        <v>86</v>
      </c>
      <c r="D17" s="40">
        <v>47</v>
      </c>
      <c r="E17" s="41">
        <v>29064</v>
      </c>
      <c r="F17" s="40" t="s">
        <v>87</v>
      </c>
      <c r="G17" s="40" t="s">
        <v>88</v>
      </c>
      <c r="H17" s="40">
        <v>13300</v>
      </c>
      <c r="I17" s="40">
        <v>1000</v>
      </c>
      <c r="J17" s="40" t="s">
        <v>28</v>
      </c>
      <c r="K17" s="40">
        <v>24</v>
      </c>
      <c r="L17" s="40"/>
      <c r="M17" s="40" t="s">
        <v>28</v>
      </c>
      <c r="N17" s="40">
        <v>61500</v>
      </c>
    </row>
    <row r="18" spans="1:14">
      <c r="A18" s="40" t="s">
        <v>29</v>
      </c>
      <c r="B18" s="40" t="s">
        <v>89</v>
      </c>
      <c r="C18" s="40">
        <v>31800</v>
      </c>
      <c r="D18" s="40">
        <v>43</v>
      </c>
      <c r="E18" s="41">
        <v>30391</v>
      </c>
      <c r="F18" s="40" t="s">
        <v>90</v>
      </c>
      <c r="G18" s="40" t="s">
        <v>91</v>
      </c>
      <c r="H18" s="40">
        <v>7100</v>
      </c>
      <c r="I18" s="40" t="s">
        <v>92</v>
      </c>
      <c r="J18" s="40" t="s">
        <v>49</v>
      </c>
      <c r="K18" s="40">
        <v>23</v>
      </c>
      <c r="L18" s="40"/>
      <c r="M18" s="40" t="s">
        <v>49</v>
      </c>
      <c r="N18" s="40">
        <v>67000</v>
      </c>
    </row>
    <row r="19" spans="1:14">
      <c r="A19" s="40" t="s">
        <v>23</v>
      </c>
      <c r="B19" s="40" t="s">
        <v>93</v>
      </c>
      <c r="C19" s="40" t="s">
        <v>94</v>
      </c>
      <c r="D19" s="40">
        <v>32</v>
      </c>
      <c r="E19" s="41">
        <v>34457</v>
      </c>
      <c r="F19" s="40" t="s">
        <v>87</v>
      </c>
      <c r="G19" s="40" t="s">
        <v>95</v>
      </c>
      <c r="H19" s="43">
        <v>21300</v>
      </c>
      <c r="I19" s="42">
        <v>48000</v>
      </c>
      <c r="J19" s="40" t="s">
        <v>49</v>
      </c>
      <c r="K19" s="40">
        <v>11</v>
      </c>
      <c r="L19" s="40"/>
      <c r="M19" s="40" t="s">
        <v>49</v>
      </c>
      <c r="N19" s="40">
        <v>35000</v>
      </c>
    </row>
    <row r="20" spans="1:14">
      <c r="A20" s="40" t="s">
        <v>23</v>
      </c>
      <c r="B20" s="40" t="s">
        <v>96</v>
      </c>
      <c r="C20" s="40">
        <v>22300</v>
      </c>
      <c r="D20" s="40">
        <v>25</v>
      </c>
      <c r="E20" s="41">
        <v>36831</v>
      </c>
      <c r="F20" s="40" t="s">
        <v>97</v>
      </c>
      <c r="G20" s="40" t="s">
        <v>98</v>
      </c>
      <c r="H20" s="43">
        <v>9400</v>
      </c>
      <c r="I20" s="40">
        <v>51500</v>
      </c>
      <c r="J20" s="40" t="s">
        <v>49</v>
      </c>
      <c r="K20" s="40">
        <v>14</v>
      </c>
      <c r="L20" s="40"/>
      <c r="M20" s="40" t="s">
        <v>49</v>
      </c>
      <c r="N20" s="40">
        <v>29500</v>
      </c>
    </row>
    <row r="21" spans="1:14">
      <c r="A21" s="40" t="s">
        <v>23</v>
      </c>
      <c r="B21" s="40" t="s">
        <v>99</v>
      </c>
      <c r="C21" s="40" t="s">
        <v>100</v>
      </c>
      <c r="D21" s="40">
        <v>23</v>
      </c>
      <c r="E21" s="41">
        <v>37627</v>
      </c>
      <c r="F21" s="40" t="s">
        <v>87</v>
      </c>
      <c r="G21" s="40" t="s">
        <v>95</v>
      </c>
      <c r="H21" s="40"/>
      <c r="I21" s="40">
        <v>69000</v>
      </c>
      <c r="J21" s="40" t="s">
        <v>49</v>
      </c>
      <c r="K21" s="40">
        <v>20</v>
      </c>
      <c r="L21" s="40"/>
      <c r="M21" s="40" t="s">
        <v>49</v>
      </c>
      <c r="N21" s="40">
        <v>69000</v>
      </c>
    </row>
    <row r="22" spans="1:14">
      <c r="A22" s="40" t="s">
        <v>29</v>
      </c>
      <c r="B22" s="40" t="s">
        <v>101</v>
      </c>
      <c r="C22" s="40" t="s">
        <v>102</v>
      </c>
      <c r="D22" s="40">
        <v>53</v>
      </c>
      <c r="E22" s="41">
        <v>26629</v>
      </c>
      <c r="F22" s="40" t="s">
        <v>103</v>
      </c>
      <c r="G22" s="40" t="s">
        <v>104</v>
      </c>
      <c r="H22" s="43">
        <v>16500</v>
      </c>
      <c r="I22" s="42">
        <v>4000</v>
      </c>
      <c r="J22" s="40" t="s">
        <v>49</v>
      </c>
      <c r="K22" s="40">
        <v>14</v>
      </c>
      <c r="L22" s="40"/>
      <c r="M22" s="40" t="s">
        <v>49</v>
      </c>
      <c r="N22" s="40">
        <v>36000</v>
      </c>
    </row>
    <row r="23" spans="1:14">
      <c r="A23" s="40" t="s">
        <v>23</v>
      </c>
      <c r="B23" s="40" t="s">
        <v>105</v>
      </c>
      <c r="C23" s="40" t="s">
        <v>106</v>
      </c>
      <c r="D23" s="40"/>
      <c r="E23" s="41">
        <v>21378</v>
      </c>
      <c r="F23" s="40" t="s">
        <v>70</v>
      </c>
      <c r="G23" s="40"/>
      <c r="H23" s="40">
        <v>14300</v>
      </c>
      <c r="I23" s="40">
        <v>32500</v>
      </c>
      <c r="J23" s="40" t="s">
        <v>28</v>
      </c>
      <c r="K23" s="40">
        <v>15</v>
      </c>
      <c r="L23" s="40"/>
      <c r="M23" s="40" t="s">
        <v>28</v>
      </c>
      <c r="N23" s="40">
        <v>8000</v>
      </c>
    </row>
    <row r="24" spans="1:14">
      <c r="A24" s="40" t="s">
        <v>29</v>
      </c>
      <c r="B24" s="40" t="s">
        <v>107</v>
      </c>
      <c r="C24" s="40" t="s">
        <v>108</v>
      </c>
      <c r="D24" s="40">
        <v>33</v>
      </c>
      <c r="E24" s="41">
        <v>34082</v>
      </c>
      <c r="F24" s="40" t="s">
        <v>70</v>
      </c>
      <c r="G24" s="40" t="s">
        <v>71</v>
      </c>
      <c r="H24" s="40">
        <v>23600</v>
      </c>
      <c r="I24" s="43">
        <v>75500</v>
      </c>
      <c r="J24" s="40" t="s">
        <v>49</v>
      </c>
      <c r="K24" s="40">
        <v>16</v>
      </c>
      <c r="L24" s="40"/>
      <c r="M24" s="40" t="s">
        <v>49</v>
      </c>
      <c r="N24" s="40">
        <v>88000</v>
      </c>
    </row>
    <row r="25" spans="1:14">
      <c r="A25" s="40" t="s">
        <v>23</v>
      </c>
      <c r="B25" s="40" t="s">
        <v>109</v>
      </c>
      <c r="C25" s="40" t="s">
        <v>110</v>
      </c>
      <c r="D25" s="40">
        <v>68</v>
      </c>
      <c r="E25" s="41">
        <v>21145</v>
      </c>
      <c r="F25" s="40" t="s">
        <v>111</v>
      </c>
      <c r="G25" s="40" t="s">
        <v>91</v>
      </c>
      <c r="H25" s="40">
        <v>29000</v>
      </c>
      <c r="I25" s="40">
        <v>67500</v>
      </c>
      <c r="J25" s="40" t="s">
        <v>49</v>
      </c>
      <c r="K25" s="40">
        <v>25</v>
      </c>
      <c r="L25" s="40"/>
      <c r="M25" s="40" t="s">
        <v>49</v>
      </c>
      <c r="N25" s="40">
        <v>18000</v>
      </c>
    </row>
    <row r="26" spans="1:14">
      <c r="A26" s="40" t="s">
        <v>29</v>
      </c>
      <c r="B26" s="40" t="s">
        <v>112</v>
      </c>
      <c r="C26" s="40" t="s">
        <v>113</v>
      </c>
      <c r="D26" s="40">
        <v>62</v>
      </c>
      <c r="E26" s="41">
        <v>23259</v>
      </c>
      <c r="F26" s="40" t="s">
        <v>37</v>
      </c>
      <c r="G26" s="40" t="s">
        <v>114</v>
      </c>
      <c r="H26" s="40"/>
      <c r="I26" s="40">
        <v>0</v>
      </c>
      <c r="J26" s="40" t="s">
        <v>28</v>
      </c>
      <c r="K26" s="40" t="s">
        <v>115</v>
      </c>
      <c r="L26" s="40"/>
      <c r="M26" s="40" t="s">
        <v>28</v>
      </c>
      <c r="N26" s="40">
        <v>12000</v>
      </c>
    </row>
    <row r="27" spans="1:14">
      <c r="A27" s="40" t="s">
        <v>23</v>
      </c>
      <c r="B27" s="40" t="s">
        <v>116</v>
      </c>
      <c r="C27" s="40" t="s">
        <v>117</v>
      </c>
      <c r="D27" s="40">
        <v>58</v>
      </c>
      <c r="E27" s="41">
        <v>24911</v>
      </c>
      <c r="F27" s="40" t="s">
        <v>118</v>
      </c>
      <c r="G27" s="40" t="s">
        <v>88</v>
      </c>
      <c r="H27" s="42">
        <v>25400</v>
      </c>
      <c r="I27" s="40">
        <v>70500</v>
      </c>
      <c r="J27" s="40" t="s">
        <v>28</v>
      </c>
      <c r="K27" s="40">
        <v>11</v>
      </c>
      <c r="L27" s="40"/>
      <c r="M27" s="40" t="s">
        <v>28</v>
      </c>
      <c r="N27" s="40">
        <v>47000</v>
      </c>
    </row>
    <row r="28" spans="1:14">
      <c r="A28" s="40" t="s">
        <v>23</v>
      </c>
      <c r="B28" s="40" t="s">
        <v>46</v>
      </c>
      <c r="C28" s="40">
        <v>34300</v>
      </c>
      <c r="D28" s="40">
        <v>48</v>
      </c>
      <c r="E28" s="41">
        <v>28408</v>
      </c>
      <c r="F28" s="40" t="s">
        <v>119</v>
      </c>
      <c r="G28" s="40"/>
      <c r="H28" s="43">
        <v>13300</v>
      </c>
      <c r="I28" s="40">
        <v>42000</v>
      </c>
      <c r="J28" s="40" t="s">
        <v>28</v>
      </c>
      <c r="K28" s="40">
        <v>27</v>
      </c>
      <c r="L28" s="40"/>
      <c r="M28" s="40" t="s">
        <v>28</v>
      </c>
      <c r="N28" s="40">
        <v>40000</v>
      </c>
    </row>
    <row r="29" spans="1:14">
      <c r="A29" s="40" t="s">
        <v>23</v>
      </c>
      <c r="B29" s="40" t="s">
        <v>120</v>
      </c>
      <c r="C29" s="40" t="s">
        <v>121</v>
      </c>
      <c r="D29" s="40">
        <v>29</v>
      </c>
      <c r="E29" s="41">
        <v>35323</v>
      </c>
      <c r="F29" s="40" t="s">
        <v>122</v>
      </c>
      <c r="G29" s="40" t="s">
        <v>98</v>
      </c>
      <c r="H29" s="40">
        <v>21200</v>
      </c>
      <c r="I29" s="40">
        <v>75000</v>
      </c>
      <c r="J29" s="40" t="s">
        <v>49</v>
      </c>
      <c r="K29" s="40">
        <v>6</v>
      </c>
      <c r="L29" s="40"/>
      <c r="M29" s="40" t="s">
        <v>49</v>
      </c>
      <c r="N29" s="40">
        <v>63500</v>
      </c>
    </row>
    <row r="30" spans="1:14">
      <c r="A30" s="40" t="s">
        <v>123</v>
      </c>
      <c r="B30" s="40" t="s">
        <v>124</v>
      </c>
      <c r="C30" s="40" t="s">
        <v>125</v>
      </c>
      <c r="D30" s="40">
        <v>38</v>
      </c>
      <c r="E30" s="41">
        <v>32166</v>
      </c>
      <c r="F30" s="40" t="s">
        <v>90</v>
      </c>
      <c r="G30" s="40" t="s">
        <v>126</v>
      </c>
      <c r="H30" s="40" t="s">
        <v>77</v>
      </c>
      <c r="I30" s="40">
        <v>39000</v>
      </c>
      <c r="J30" s="40" t="s">
        <v>49</v>
      </c>
      <c r="K30" s="40">
        <v>25</v>
      </c>
      <c r="L30" s="40"/>
      <c r="M30" s="40" t="s">
        <v>49</v>
      </c>
      <c r="N30" s="40">
        <v>88500</v>
      </c>
    </row>
    <row r="31" spans="1:14">
      <c r="A31" s="40" t="s">
        <v>29</v>
      </c>
      <c r="B31" s="40" t="s">
        <v>127</v>
      </c>
      <c r="C31" s="40" t="s">
        <v>128</v>
      </c>
      <c r="D31" s="40">
        <v>68</v>
      </c>
      <c r="E31" s="41">
        <v>21293</v>
      </c>
      <c r="F31" s="40" t="s">
        <v>61</v>
      </c>
      <c r="G31" s="40" t="s">
        <v>81</v>
      </c>
      <c r="H31" s="40">
        <v>3800</v>
      </c>
      <c r="I31" s="40">
        <v>70000</v>
      </c>
      <c r="J31" s="40" t="s">
        <v>28</v>
      </c>
      <c r="K31" s="40">
        <v>34</v>
      </c>
      <c r="L31" s="40"/>
      <c r="M31" s="40" t="s">
        <v>28</v>
      </c>
      <c r="N31" s="40">
        <v>7500</v>
      </c>
    </row>
    <row r="32" spans="1:14">
      <c r="A32" s="40" t="s">
        <v>23</v>
      </c>
      <c r="B32" s="40" t="s">
        <v>129</v>
      </c>
      <c r="C32" s="40" t="s">
        <v>130</v>
      </c>
      <c r="D32" s="40">
        <v>19</v>
      </c>
      <c r="E32" s="41">
        <v>39220</v>
      </c>
      <c r="F32" s="40" t="s">
        <v>97</v>
      </c>
      <c r="G32" s="40" t="s">
        <v>98</v>
      </c>
      <c r="H32" s="40">
        <v>18000</v>
      </c>
      <c r="I32" s="40">
        <v>50500</v>
      </c>
      <c r="J32" s="40" t="s">
        <v>131</v>
      </c>
      <c r="K32" s="40">
        <v>11</v>
      </c>
      <c r="L32" s="40"/>
      <c r="M32" s="40" t="s">
        <v>131</v>
      </c>
      <c r="N32" s="40">
        <v>26000</v>
      </c>
    </row>
    <row r="33" spans="1:14">
      <c r="A33" s="40" t="s">
        <v>23</v>
      </c>
      <c r="B33" s="40" t="s">
        <v>132</v>
      </c>
      <c r="C33" s="40">
        <v>15400</v>
      </c>
      <c r="D33" s="40">
        <v>42</v>
      </c>
      <c r="E33" s="41">
        <v>30642</v>
      </c>
      <c r="F33" s="40" t="s">
        <v>133</v>
      </c>
      <c r="G33" s="40" t="s">
        <v>133</v>
      </c>
      <c r="H33" s="40" t="s">
        <v>134</v>
      </c>
      <c r="I33" s="40">
        <v>19500</v>
      </c>
      <c r="J33" s="40" t="s">
        <v>49</v>
      </c>
      <c r="K33" s="40">
        <v>42</v>
      </c>
      <c r="L33" s="40"/>
      <c r="M33" s="40" t="s">
        <v>49</v>
      </c>
      <c r="N33" s="40">
        <v>89500</v>
      </c>
    </row>
    <row r="34" spans="1:14">
      <c r="A34" s="40" t="s">
        <v>23</v>
      </c>
      <c r="B34" s="40" t="s">
        <v>135</v>
      </c>
      <c r="C34" s="40" t="s">
        <v>136</v>
      </c>
      <c r="D34" s="40">
        <v>27</v>
      </c>
      <c r="E34" s="41">
        <v>36319</v>
      </c>
      <c r="F34" s="40" t="s">
        <v>31</v>
      </c>
      <c r="G34" s="40" t="s">
        <v>137</v>
      </c>
      <c r="H34" s="40">
        <v>28800</v>
      </c>
      <c r="I34" s="43">
        <v>78500</v>
      </c>
      <c r="J34" s="40" t="s">
        <v>49</v>
      </c>
      <c r="K34" s="40">
        <v>2</v>
      </c>
      <c r="L34" s="40"/>
      <c r="M34" s="40" t="s">
        <v>49</v>
      </c>
      <c r="N34" s="40">
        <v>53000</v>
      </c>
    </row>
    <row r="35" spans="1:14">
      <c r="A35" s="40" t="s">
        <v>23</v>
      </c>
      <c r="B35" s="40" t="s">
        <v>138</v>
      </c>
      <c r="C35" s="40" t="s">
        <v>139</v>
      </c>
      <c r="D35" s="40">
        <v>42</v>
      </c>
      <c r="E35" s="41">
        <v>30878</v>
      </c>
      <c r="F35" s="40" t="s">
        <v>61</v>
      </c>
      <c r="G35" s="40" t="s">
        <v>81</v>
      </c>
      <c r="H35" s="40">
        <v>17500</v>
      </c>
      <c r="I35" s="40">
        <v>3500</v>
      </c>
      <c r="J35" s="40" t="s">
        <v>140</v>
      </c>
      <c r="K35" s="40">
        <v>25</v>
      </c>
      <c r="L35" s="40"/>
      <c r="M35" s="40" t="s">
        <v>140</v>
      </c>
      <c r="N35" s="40">
        <v>35000</v>
      </c>
    </row>
    <row r="36" spans="1:14">
      <c r="A36" s="40" t="s">
        <v>23</v>
      </c>
      <c r="B36" s="40" t="s">
        <v>141</v>
      </c>
      <c r="C36" s="40" t="s">
        <v>142</v>
      </c>
      <c r="D36" s="40">
        <v>44</v>
      </c>
      <c r="E36" s="41">
        <v>29975</v>
      </c>
      <c r="F36" s="40" t="s">
        <v>52</v>
      </c>
      <c r="G36" s="40" t="s">
        <v>143</v>
      </c>
      <c r="H36" s="40">
        <v>5300</v>
      </c>
      <c r="I36" s="40">
        <v>6000</v>
      </c>
      <c r="J36" s="40" t="s">
        <v>28</v>
      </c>
      <c r="K36" s="40">
        <v>1</v>
      </c>
      <c r="L36" s="40"/>
      <c r="M36" s="40" t="s">
        <v>28</v>
      </c>
      <c r="N36" s="40">
        <v>4500</v>
      </c>
    </row>
    <row r="37" spans="1:14">
      <c r="A37" s="40" t="s">
        <v>23</v>
      </c>
      <c r="B37" s="40" t="s">
        <v>144</v>
      </c>
      <c r="C37" s="40" t="s">
        <v>145</v>
      </c>
      <c r="D37" s="40">
        <v>40</v>
      </c>
      <c r="E37" s="41">
        <v>31539</v>
      </c>
      <c r="F37" s="40" t="s">
        <v>111</v>
      </c>
      <c r="G37" s="40" t="s">
        <v>91</v>
      </c>
      <c r="H37" s="40">
        <v>9900</v>
      </c>
      <c r="I37" s="40">
        <v>3500</v>
      </c>
      <c r="J37" s="40" t="s">
        <v>49</v>
      </c>
      <c r="K37" s="40">
        <v>1</v>
      </c>
      <c r="L37" s="40"/>
      <c r="M37" s="40" t="s">
        <v>49</v>
      </c>
      <c r="N37" s="40">
        <v>23500</v>
      </c>
    </row>
    <row r="38" spans="1:14">
      <c r="A38" s="40" t="s">
        <v>23</v>
      </c>
      <c r="B38" s="40" t="s">
        <v>146</v>
      </c>
      <c r="C38" s="40" t="s">
        <v>147</v>
      </c>
      <c r="D38" s="40">
        <v>65</v>
      </c>
      <c r="E38" s="41">
        <v>22236</v>
      </c>
      <c r="F38" s="40" t="s">
        <v>61</v>
      </c>
      <c r="G38" s="40" t="s">
        <v>62</v>
      </c>
      <c r="H38" s="40" t="s">
        <v>148</v>
      </c>
      <c r="I38" s="40">
        <v>28000</v>
      </c>
      <c r="J38" s="40" t="s">
        <v>49</v>
      </c>
      <c r="K38" s="40">
        <v>34</v>
      </c>
      <c r="L38" s="40"/>
      <c r="M38" s="40" t="s">
        <v>49</v>
      </c>
      <c r="N38" s="40">
        <v>74000</v>
      </c>
    </row>
    <row r="39" spans="1:14">
      <c r="A39" s="40"/>
      <c r="B39" s="40" t="s">
        <v>149</v>
      </c>
      <c r="C39" s="40" t="s">
        <v>150</v>
      </c>
      <c r="D39" s="40">
        <v>63</v>
      </c>
      <c r="E39" s="41">
        <v>22974</v>
      </c>
      <c r="F39" s="40" t="s">
        <v>133</v>
      </c>
      <c r="G39" s="40" t="s">
        <v>151</v>
      </c>
      <c r="H39" s="42">
        <v>14700</v>
      </c>
      <c r="I39" s="40">
        <v>0</v>
      </c>
      <c r="J39" s="40" t="s">
        <v>131</v>
      </c>
      <c r="K39" s="40">
        <v>40</v>
      </c>
      <c r="L39" s="40"/>
      <c r="M39" s="40" t="s">
        <v>131</v>
      </c>
      <c r="N39" s="40">
        <v>83500</v>
      </c>
    </row>
    <row r="40" spans="1:14">
      <c r="A40" s="40" t="s">
        <v>23</v>
      </c>
      <c r="B40" s="40" t="s">
        <v>152</v>
      </c>
      <c r="C40" s="40" t="s">
        <v>153</v>
      </c>
      <c r="D40" s="40">
        <v>22</v>
      </c>
      <c r="E40" s="40"/>
      <c r="F40" s="40" t="s">
        <v>70</v>
      </c>
      <c r="G40" s="40" t="s">
        <v>71</v>
      </c>
      <c r="H40" s="40">
        <v>14400</v>
      </c>
      <c r="I40" s="40">
        <v>0</v>
      </c>
      <c r="J40" s="40" t="s">
        <v>49</v>
      </c>
      <c r="K40" s="40" t="s">
        <v>154</v>
      </c>
      <c r="L40" s="40"/>
      <c r="M40" s="40" t="s">
        <v>49</v>
      </c>
      <c r="N40" s="40">
        <v>33500</v>
      </c>
    </row>
    <row r="41" spans="1:14">
      <c r="A41" s="40" t="s">
        <v>54</v>
      </c>
      <c r="B41" s="40" t="s">
        <v>155</v>
      </c>
      <c r="C41" s="40" t="s">
        <v>156</v>
      </c>
      <c r="D41" s="40">
        <v>39</v>
      </c>
      <c r="E41" s="41">
        <v>31879</v>
      </c>
      <c r="F41" s="40" t="s">
        <v>97</v>
      </c>
      <c r="G41" s="40" t="s">
        <v>98</v>
      </c>
      <c r="H41" s="40" t="s">
        <v>157</v>
      </c>
      <c r="I41" s="40">
        <v>0</v>
      </c>
      <c r="J41" s="40" t="s">
        <v>49</v>
      </c>
      <c r="K41" s="40">
        <v>39</v>
      </c>
      <c r="L41" s="40"/>
      <c r="M41" s="40" t="s">
        <v>49</v>
      </c>
      <c r="N41" s="40">
        <v>75000</v>
      </c>
    </row>
    <row r="42" spans="1:14">
      <c r="A42" s="40" t="s">
        <v>23</v>
      </c>
      <c r="B42" s="40" t="s">
        <v>158</v>
      </c>
      <c r="C42" s="40" t="s">
        <v>159</v>
      </c>
      <c r="D42" s="40">
        <v>63</v>
      </c>
      <c r="E42" s="41">
        <v>23231</v>
      </c>
      <c r="F42" s="40" t="s">
        <v>119</v>
      </c>
      <c r="G42" s="40" t="s">
        <v>91</v>
      </c>
      <c r="H42" s="40">
        <v>16800</v>
      </c>
      <c r="I42" s="40">
        <v>0</v>
      </c>
      <c r="J42" s="40"/>
      <c r="K42" s="40">
        <v>32</v>
      </c>
      <c r="L42" s="40"/>
      <c r="M42" s="40"/>
      <c r="N42" s="40">
        <v>61500</v>
      </c>
    </row>
    <row r="43" spans="1:14">
      <c r="A43" s="40" t="s">
        <v>23</v>
      </c>
      <c r="B43" s="40" t="s">
        <v>160</v>
      </c>
      <c r="C43" s="40" t="s">
        <v>161</v>
      </c>
      <c r="D43" s="40">
        <v>54</v>
      </c>
      <c r="E43" s="41">
        <v>26213</v>
      </c>
      <c r="F43" s="40" t="s">
        <v>97</v>
      </c>
      <c r="G43" s="40" t="s">
        <v>162</v>
      </c>
      <c r="H43" s="40">
        <v>29700</v>
      </c>
      <c r="I43" s="40">
        <v>34000</v>
      </c>
      <c r="J43" s="40" t="s">
        <v>49</v>
      </c>
      <c r="K43" s="40">
        <v>35</v>
      </c>
      <c r="L43" s="40"/>
      <c r="M43" s="40" t="s">
        <v>49</v>
      </c>
      <c r="N43" s="40">
        <v>35000</v>
      </c>
    </row>
    <row r="44" spans="1:14">
      <c r="A44" s="40" t="s">
        <v>23</v>
      </c>
      <c r="B44" s="40" t="s">
        <v>55</v>
      </c>
      <c r="C44" s="40" t="s">
        <v>163</v>
      </c>
      <c r="D44" s="40">
        <v>29</v>
      </c>
      <c r="E44" s="41">
        <v>35472</v>
      </c>
      <c r="F44" s="40" t="s">
        <v>164</v>
      </c>
      <c r="G44" s="40"/>
      <c r="H44" s="40">
        <v>11900</v>
      </c>
      <c r="I44" s="40">
        <v>65000</v>
      </c>
      <c r="J44" s="40" t="s">
        <v>28</v>
      </c>
      <c r="K44" s="40">
        <v>29</v>
      </c>
      <c r="L44" s="40"/>
      <c r="M44" s="40" t="s">
        <v>28</v>
      </c>
      <c r="N44" s="40">
        <v>12000</v>
      </c>
    </row>
    <row r="45" spans="1:14">
      <c r="A45" s="40" t="s">
        <v>23</v>
      </c>
      <c r="B45" s="40" t="s">
        <v>165</v>
      </c>
      <c r="C45" s="40">
        <v>16500</v>
      </c>
      <c r="D45" s="40">
        <v>37</v>
      </c>
      <c r="E45" s="41">
        <v>32513</v>
      </c>
      <c r="F45" s="40" t="s">
        <v>166</v>
      </c>
      <c r="G45" s="40" t="s">
        <v>167</v>
      </c>
      <c r="H45" s="42">
        <v>2600</v>
      </c>
      <c r="I45" s="40" t="s">
        <v>40</v>
      </c>
      <c r="J45" s="40" t="s">
        <v>49</v>
      </c>
      <c r="K45" s="40">
        <v>5</v>
      </c>
      <c r="L45" s="40"/>
      <c r="M45" s="40" t="s">
        <v>49</v>
      </c>
      <c r="N45" s="40">
        <v>16500</v>
      </c>
    </row>
    <row r="46" spans="1:14">
      <c r="A46" s="40" t="s">
        <v>23</v>
      </c>
      <c r="B46" s="40" t="s">
        <v>168</v>
      </c>
      <c r="C46" s="40">
        <v>15100</v>
      </c>
      <c r="D46" s="40">
        <v>25</v>
      </c>
      <c r="E46" s="41">
        <v>37125</v>
      </c>
      <c r="F46" s="40" t="s">
        <v>133</v>
      </c>
      <c r="G46" s="40" t="s">
        <v>133</v>
      </c>
      <c r="H46" s="40">
        <v>2500</v>
      </c>
      <c r="I46" s="40">
        <v>72500</v>
      </c>
      <c r="J46" s="40" t="s">
        <v>49</v>
      </c>
      <c r="K46" s="40">
        <v>32</v>
      </c>
      <c r="L46" s="40"/>
      <c r="M46" s="40" t="s">
        <v>49</v>
      </c>
      <c r="N46" s="40">
        <v>97000</v>
      </c>
    </row>
    <row r="47" spans="1:14">
      <c r="A47" s="40" t="s">
        <v>23</v>
      </c>
      <c r="B47" s="40" t="s">
        <v>169</v>
      </c>
      <c r="C47" s="40" t="s">
        <v>170</v>
      </c>
      <c r="D47" s="40">
        <v>21</v>
      </c>
      <c r="E47" s="41">
        <v>38323</v>
      </c>
      <c r="F47" s="40" t="s">
        <v>87</v>
      </c>
      <c r="G47" s="40" t="s">
        <v>88</v>
      </c>
      <c r="H47" s="40" t="s">
        <v>171</v>
      </c>
      <c r="I47" s="40">
        <v>0</v>
      </c>
      <c r="J47" s="40" t="s">
        <v>49</v>
      </c>
      <c r="K47" s="40">
        <v>25</v>
      </c>
      <c r="L47" s="40"/>
      <c r="M47" s="40" t="s">
        <v>49</v>
      </c>
      <c r="N47" s="40">
        <v>50000</v>
      </c>
    </row>
    <row r="48" spans="1:14">
      <c r="A48" s="40" t="s">
        <v>23</v>
      </c>
      <c r="B48" s="40" t="s">
        <v>172</v>
      </c>
      <c r="C48" s="40" t="s">
        <v>173</v>
      </c>
      <c r="D48" s="40">
        <v>28</v>
      </c>
      <c r="E48" s="41">
        <v>35887</v>
      </c>
      <c r="F48" s="40" t="s">
        <v>174</v>
      </c>
      <c r="G48" s="40" t="s">
        <v>38</v>
      </c>
      <c r="H48" s="40" t="s">
        <v>175</v>
      </c>
      <c r="I48" s="40">
        <v>51000</v>
      </c>
      <c r="J48" s="40" t="s">
        <v>140</v>
      </c>
      <c r="K48" s="40">
        <v>12</v>
      </c>
      <c r="L48" s="40"/>
      <c r="M48" s="40" t="s">
        <v>140</v>
      </c>
      <c r="N48" s="40">
        <v>72500</v>
      </c>
    </row>
    <row r="49" spans="1:14">
      <c r="A49" s="40" t="s">
        <v>23</v>
      </c>
      <c r="B49" s="40" t="s">
        <v>176</v>
      </c>
      <c r="C49" s="40">
        <v>10800</v>
      </c>
      <c r="D49" s="40">
        <v>39</v>
      </c>
      <c r="E49" s="41">
        <v>31766</v>
      </c>
      <c r="F49" s="40" t="s">
        <v>97</v>
      </c>
      <c r="G49" s="40" t="s">
        <v>167</v>
      </c>
      <c r="H49" s="40">
        <v>24700</v>
      </c>
      <c r="I49" s="40" t="s">
        <v>177</v>
      </c>
      <c r="J49" s="40" t="s">
        <v>49</v>
      </c>
      <c r="K49" s="40">
        <v>43</v>
      </c>
      <c r="L49" s="40"/>
      <c r="M49" s="40" t="s">
        <v>49</v>
      </c>
      <c r="N49" s="40">
        <v>57000</v>
      </c>
    </row>
    <row r="50" spans="1:14">
      <c r="A50" s="40" t="s">
        <v>23</v>
      </c>
      <c r="B50" s="40" t="s">
        <v>178</v>
      </c>
      <c r="C50" s="40">
        <v>15000</v>
      </c>
      <c r="D50" s="40">
        <v>73</v>
      </c>
      <c r="E50" s="41">
        <v>19588</v>
      </c>
      <c r="F50" s="40" t="s">
        <v>111</v>
      </c>
      <c r="G50" s="40" t="s">
        <v>91</v>
      </c>
      <c r="H50" s="43">
        <v>28600</v>
      </c>
      <c r="I50" s="40">
        <v>40500</v>
      </c>
      <c r="J50" s="40" t="s">
        <v>49</v>
      </c>
      <c r="K50" s="40">
        <v>20</v>
      </c>
      <c r="L50" s="40"/>
      <c r="M50" s="40" t="s">
        <v>49</v>
      </c>
      <c r="N50" s="40">
        <v>2500</v>
      </c>
    </row>
    <row r="51" spans="1:14">
      <c r="A51" s="40" t="s">
        <v>23</v>
      </c>
      <c r="B51" s="40" t="s">
        <v>179</v>
      </c>
      <c r="C51" s="40" t="s">
        <v>180</v>
      </c>
      <c r="D51" s="40">
        <v>42</v>
      </c>
      <c r="E51" s="41">
        <v>30662</v>
      </c>
      <c r="F51" s="40" t="s">
        <v>90</v>
      </c>
      <c r="G51" s="40" t="s">
        <v>104</v>
      </c>
      <c r="H51" s="40">
        <v>20400</v>
      </c>
      <c r="I51" s="40">
        <v>0</v>
      </c>
      <c r="J51" s="40" t="s">
        <v>140</v>
      </c>
      <c r="K51" s="40">
        <v>0</v>
      </c>
      <c r="L51" s="40"/>
      <c r="M51" s="40" t="s">
        <v>140</v>
      </c>
      <c r="N51" s="40">
        <v>81000</v>
      </c>
    </row>
    <row r="52" spans="1:14">
      <c r="A52" s="40" t="s">
        <v>23</v>
      </c>
      <c r="B52" s="40" t="s">
        <v>181</v>
      </c>
      <c r="C52" s="40" t="s">
        <v>182</v>
      </c>
      <c r="D52" s="40">
        <v>48</v>
      </c>
      <c r="E52" s="41">
        <v>28430</v>
      </c>
      <c r="F52" s="40" t="s">
        <v>61</v>
      </c>
      <c r="G52" s="40" t="s">
        <v>62</v>
      </c>
      <c r="H52" s="40" t="s">
        <v>183</v>
      </c>
      <c r="I52" s="40">
        <v>0</v>
      </c>
      <c r="J52" s="40" t="s">
        <v>49</v>
      </c>
      <c r="K52" s="40">
        <v>3</v>
      </c>
      <c r="L52" s="40"/>
      <c r="M52" s="40" t="s">
        <v>49</v>
      </c>
      <c r="N52" s="40">
        <v>48500</v>
      </c>
    </row>
    <row r="53" spans="1:14">
      <c r="A53" s="40" t="s">
        <v>29</v>
      </c>
      <c r="B53" s="40" t="s">
        <v>42</v>
      </c>
      <c r="C53" s="40" t="s">
        <v>184</v>
      </c>
      <c r="D53" s="40">
        <v>39</v>
      </c>
      <c r="E53" s="41">
        <v>31693</v>
      </c>
      <c r="F53" s="40" t="s">
        <v>52</v>
      </c>
      <c r="G53" s="40" t="s">
        <v>57</v>
      </c>
      <c r="H53" s="40">
        <v>22200</v>
      </c>
      <c r="I53" s="40">
        <v>0</v>
      </c>
      <c r="J53" s="40" t="s">
        <v>28</v>
      </c>
      <c r="K53" s="40">
        <v>3</v>
      </c>
      <c r="L53" s="40"/>
      <c r="M53" s="40" t="s">
        <v>28</v>
      </c>
      <c r="N53" s="40">
        <v>7000</v>
      </c>
    </row>
    <row r="54" spans="1:14">
      <c r="A54" s="40" t="s">
        <v>23</v>
      </c>
      <c r="B54" s="40" t="s">
        <v>185</v>
      </c>
      <c r="C54" s="40" t="s">
        <v>186</v>
      </c>
      <c r="D54" s="40">
        <v>56</v>
      </c>
      <c r="E54" s="41">
        <v>25525</v>
      </c>
      <c r="F54" s="40" t="s">
        <v>133</v>
      </c>
      <c r="G54" s="40" t="s">
        <v>133</v>
      </c>
      <c r="H54" s="40" t="s">
        <v>187</v>
      </c>
      <c r="I54" s="40">
        <v>63000</v>
      </c>
      <c r="J54" s="40" t="s">
        <v>49</v>
      </c>
      <c r="K54" s="40">
        <v>0</v>
      </c>
      <c r="L54" s="40"/>
      <c r="M54" s="40" t="s">
        <v>49</v>
      </c>
      <c r="N54" s="40">
        <v>56000</v>
      </c>
    </row>
    <row r="55" spans="1:14">
      <c r="A55" s="40" t="s">
        <v>23</v>
      </c>
      <c r="B55" s="40" t="s">
        <v>188</v>
      </c>
      <c r="C55" s="40">
        <v>14200</v>
      </c>
      <c r="D55" s="40">
        <v>48</v>
      </c>
      <c r="E55" s="41">
        <v>28681</v>
      </c>
      <c r="F55" s="40" t="s">
        <v>189</v>
      </c>
      <c r="G55" s="40"/>
      <c r="H55" s="40">
        <v>15800</v>
      </c>
      <c r="I55" s="40" t="s">
        <v>40</v>
      </c>
      <c r="J55" s="40" t="s">
        <v>49</v>
      </c>
      <c r="K55" s="40">
        <v>12</v>
      </c>
      <c r="L55" s="40"/>
      <c r="M55" s="40" t="s">
        <v>49</v>
      </c>
      <c r="N55" s="40">
        <v>69500</v>
      </c>
    </row>
    <row r="56" spans="1:14">
      <c r="A56" s="40" t="s">
        <v>23</v>
      </c>
      <c r="B56" s="40" t="s">
        <v>190</v>
      </c>
      <c r="C56" s="40" t="s">
        <v>191</v>
      </c>
      <c r="D56" s="40">
        <v>70</v>
      </c>
      <c r="E56" s="41">
        <v>20570</v>
      </c>
      <c r="F56" s="40" t="s">
        <v>76</v>
      </c>
      <c r="G56" s="40" t="s">
        <v>71</v>
      </c>
      <c r="H56" s="40">
        <v>16300</v>
      </c>
      <c r="I56" s="40">
        <v>16500</v>
      </c>
      <c r="J56" s="40" t="s">
        <v>49</v>
      </c>
      <c r="K56" s="40">
        <v>25</v>
      </c>
      <c r="L56" s="40"/>
      <c r="M56" s="40" t="s">
        <v>49</v>
      </c>
      <c r="N56" s="40">
        <v>65500</v>
      </c>
    </row>
    <row r="57" spans="1:14">
      <c r="A57" s="40" t="s">
        <v>54</v>
      </c>
      <c r="B57" s="40" t="s">
        <v>192</v>
      </c>
      <c r="C57" s="40" t="s">
        <v>193</v>
      </c>
      <c r="D57" s="40">
        <v>24</v>
      </c>
      <c r="E57" s="41">
        <v>37435</v>
      </c>
      <c r="F57" s="40" t="s">
        <v>194</v>
      </c>
      <c r="G57" s="40" t="s">
        <v>195</v>
      </c>
      <c r="H57" s="40">
        <v>6100</v>
      </c>
      <c r="I57" s="40"/>
      <c r="J57" s="40" t="s">
        <v>196</v>
      </c>
      <c r="K57" s="40">
        <v>15</v>
      </c>
      <c r="L57" s="40"/>
      <c r="M57" s="40" t="s">
        <v>196</v>
      </c>
      <c r="N57" s="40">
        <v>67000</v>
      </c>
    </row>
    <row r="58" spans="1:14">
      <c r="A58" s="40" t="s">
        <v>23</v>
      </c>
      <c r="B58" s="40" t="s">
        <v>197</v>
      </c>
      <c r="C58" s="40" t="s">
        <v>198</v>
      </c>
      <c r="D58" s="40">
        <v>47</v>
      </c>
      <c r="E58" s="41">
        <v>28802</v>
      </c>
      <c r="F58" s="40" t="s">
        <v>194</v>
      </c>
      <c r="G58" s="40" t="s">
        <v>199</v>
      </c>
      <c r="H58" s="40">
        <v>22700</v>
      </c>
      <c r="I58" s="40">
        <v>8500</v>
      </c>
      <c r="J58" s="40"/>
      <c r="K58" s="40">
        <v>35</v>
      </c>
      <c r="L58" s="40"/>
      <c r="M58" s="40"/>
      <c r="N58" s="40">
        <v>23500</v>
      </c>
    </row>
    <row r="59" spans="1:14">
      <c r="A59" s="40" t="s">
        <v>23</v>
      </c>
      <c r="B59" s="40" t="s">
        <v>200</v>
      </c>
      <c r="C59" s="40" t="s">
        <v>201</v>
      </c>
      <c r="D59" s="40">
        <v>33</v>
      </c>
      <c r="E59" s="41">
        <v>33881</v>
      </c>
      <c r="F59" s="40" t="s">
        <v>90</v>
      </c>
      <c r="G59" s="40" t="s">
        <v>104</v>
      </c>
      <c r="H59" s="43">
        <v>29700</v>
      </c>
      <c r="I59" s="40">
        <v>22000</v>
      </c>
      <c r="J59" s="40" t="s">
        <v>49</v>
      </c>
      <c r="K59" s="40" t="s">
        <v>202</v>
      </c>
      <c r="L59" s="40"/>
      <c r="M59" s="40" t="s">
        <v>49</v>
      </c>
      <c r="N59" s="40">
        <v>81000</v>
      </c>
    </row>
    <row r="60" spans="1:14">
      <c r="A60" s="40" t="s">
        <v>29</v>
      </c>
      <c r="B60" s="40" t="s">
        <v>203</v>
      </c>
      <c r="C60" s="40" t="s">
        <v>204</v>
      </c>
      <c r="D60" s="40">
        <v>38</v>
      </c>
      <c r="E60" s="41">
        <v>32102</v>
      </c>
      <c r="F60" s="40" t="s">
        <v>61</v>
      </c>
      <c r="G60" s="40" t="s">
        <v>67</v>
      </c>
      <c r="H60" s="40">
        <v>13500</v>
      </c>
      <c r="I60" s="40">
        <v>24000</v>
      </c>
      <c r="J60" s="40" t="s">
        <v>49</v>
      </c>
      <c r="K60" s="40">
        <v>2</v>
      </c>
      <c r="L60" s="40"/>
      <c r="M60" s="40" t="s">
        <v>49</v>
      </c>
      <c r="N60" s="40">
        <v>17500</v>
      </c>
    </row>
    <row r="61" spans="1:14">
      <c r="A61" s="40" t="s">
        <v>29</v>
      </c>
      <c r="B61" s="40" t="s">
        <v>205</v>
      </c>
      <c r="C61" s="40">
        <v>3400</v>
      </c>
      <c r="D61" s="40">
        <v>35</v>
      </c>
      <c r="E61" s="41">
        <v>33204</v>
      </c>
      <c r="F61" s="40" t="s">
        <v>119</v>
      </c>
      <c r="G61" s="40" t="s">
        <v>126</v>
      </c>
      <c r="H61" s="40">
        <v>17600</v>
      </c>
      <c r="I61" s="40">
        <v>44000</v>
      </c>
      <c r="J61" s="40" t="s">
        <v>196</v>
      </c>
      <c r="K61" s="40">
        <v>22</v>
      </c>
      <c r="L61" s="40"/>
      <c r="M61" s="40" t="s">
        <v>196</v>
      </c>
      <c r="N61" s="40">
        <v>56500</v>
      </c>
    </row>
    <row r="62" spans="1:14">
      <c r="A62" s="40" t="s">
        <v>29</v>
      </c>
      <c r="B62" s="40" t="s">
        <v>206</v>
      </c>
      <c r="C62" s="40" t="s">
        <v>207</v>
      </c>
      <c r="D62" s="40">
        <v>67</v>
      </c>
      <c r="E62" s="41">
        <v>21512</v>
      </c>
      <c r="F62" s="40" t="s">
        <v>76</v>
      </c>
      <c r="G62" s="40" t="s">
        <v>208</v>
      </c>
      <c r="H62" s="42">
        <v>3200</v>
      </c>
      <c r="I62" s="40">
        <v>6500</v>
      </c>
      <c r="J62" s="40" t="s">
        <v>49</v>
      </c>
      <c r="K62" s="40">
        <v>20</v>
      </c>
      <c r="L62" s="40"/>
      <c r="M62" s="40" t="s">
        <v>49</v>
      </c>
      <c r="N62" s="40">
        <v>52500</v>
      </c>
    </row>
    <row r="63" spans="1:14">
      <c r="A63" s="40" t="s">
        <v>209</v>
      </c>
      <c r="B63" s="40" t="s">
        <v>210</v>
      </c>
      <c r="C63" s="40" t="s">
        <v>211</v>
      </c>
      <c r="D63" s="40">
        <v>51</v>
      </c>
      <c r="E63" s="41">
        <v>27377</v>
      </c>
      <c r="F63" s="40" t="s">
        <v>61</v>
      </c>
      <c r="G63" s="40" t="s">
        <v>62</v>
      </c>
      <c r="H63" s="40">
        <v>16300</v>
      </c>
      <c r="I63" s="40"/>
      <c r="J63" s="40" t="s">
        <v>140</v>
      </c>
      <c r="K63" s="40">
        <v>8</v>
      </c>
      <c r="L63" s="40"/>
      <c r="M63" s="40" t="s">
        <v>140</v>
      </c>
      <c r="N63" s="40">
        <v>33000</v>
      </c>
    </row>
    <row r="64" spans="1:14">
      <c r="A64" s="40" t="s">
        <v>29</v>
      </c>
      <c r="B64" s="40" t="s">
        <v>212</v>
      </c>
      <c r="C64" s="40" t="s">
        <v>213</v>
      </c>
      <c r="D64" s="40" t="s">
        <v>214</v>
      </c>
      <c r="E64" s="41">
        <v>29113</v>
      </c>
      <c r="F64" s="40" t="s">
        <v>111</v>
      </c>
      <c r="G64" s="40" t="s">
        <v>91</v>
      </c>
      <c r="H64" s="40">
        <v>15000</v>
      </c>
      <c r="I64" s="40">
        <v>32500</v>
      </c>
      <c r="J64" s="40" t="s">
        <v>49</v>
      </c>
      <c r="K64" s="40">
        <v>40</v>
      </c>
      <c r="L64" s="40"/>
      <c r="M64" s="40" t="s">
        <v>49</v>
      </c>
      <c r="N64" s="40">
        <v>4500</v>
      </c>
    </row>
    <row r="65" spans="1:14">
      <c r="A65" s="40" t="s">
        <v>23</v>
      </c>
      <c r="B65" s="40" t="s">
        <v>215</v>
      </c>
      <c r="C65" s="40">
        <v>23900</v>
      </c>
      <c r="D65" s="40">
        <v>39</v>
      </c>
      <c r="E65" s="41">
        <v>31740</v>
      </c>
      <c r="F65" s="40" t="s">
        <v>61</v>
      </c>
      <c r="G65" s="40" t="s">
        <v>216</v>
      </c>
      <c r="H65" s="42">
        <v>13200</v>
      </c>
      <c r="I65" s="40" t="s">
        <v>40</v>
      </c>
      <c r="J65" s="40" t="s">
        <v>49</v>
      </c>
      <c r="K65" s="40" t="s">
        <v>202</v>
      </c>
      <c r="L65" s="40"/>
      <c r="M65" s="40" t="s">
        <v>49</v>
      </c>
      <c r="N65" s="40">
        <v>36000</v>
      </c>
    </row>
    <row r="66" spans="1:14">
      <c r="A66" s="40" t="s">
        <v>23</v>
      </c>
      <c r="B66" s="40" t="s">
        <v>217</v>
      </c>
      <c r="C66" s="40" t="s">
        <v>218</v>
      </c>
      <c r="D66" s="40">
        <v>24</v>
      </c>
      <c r="E66" s="41">
        <v>37172</v>
      </c>
      <c r="F66" s="40" t="s">
        <v>26</v>
      </c>
      <c r="G66" s="40" t="s">
        <v>27</v>
      </c>
      <c r="H66" s="40">
        <v>21600</v>
      </c>
      <c r="I66" s="42">
        <v>25000</v>
      </c>
      <c r="J66" s="40" t="s">
        <v>49</v>
      </c>
      <c r="K66" s="40">
        <v>33</v>
      </c>
      <c r="L66" s="40"/>
      <c r="M66" s="40" t="s">
        <v>49</v>
      </c>
      <c r="N66" s="40">
        <v>17500</v>
      </c>
    </row>
    <row r="67" spans="1:14">
      <c r="A67" s="40" t="s">
        <v>23</v>
      </c>
      <c r="B67" s="40" t="s">
        <v>219</v>
      </c>
      <c r="C67" s="40">
        <v>16100</v>
      </c>
      <c r="D67" s="40">
        <v>57</v>
      </c>
      <c r="E67" s="40"/>
      <c r="F67" s="40" t="s">
        <v>52</v>
      </c>
      <c r="G67" s="40" t="s">
        <v>143</v>
      </c>
      <c r="H67" s="40" t="s">
        <v>134</v>
      </c>
      <c r="I67" s="40"/>
      <c r="J67" s="40" t="s">
        <v>28</v>
      </c>
      <c r="K67" s="40" t="s">
        <v>220</v>
      </c>
      <c r="L67" s="40"/>
      <c r="M67" s="40" t="s">
        <v>28</v>
      </c>
      <c r="N67" s="40">
        <v>13000</v>
      </c>
    </row>
    <row r="68" spans="1:14">
      <c r="A68" s="40" t="s">
        <v>23</v>
      </c>
      <c r="B68" s="40" t="s">
        <v>221</v>
      </c>
      <c r="C68" s="40">
        <v>6300</v>
      </c>
      <c r="D68" s="40">
        <v>68</v>
      </c>
      <c r="E68" s="40"/>
      <c r="F68" s="40" t="s">
        <v>37</v>
      </c>
      <c r="G68" s="40" t="s">
        <v>38</v>
      </c>
      <c r="H68" s="43">
        <v>19900</v>
      </c>
      <c r="I68" s="40">
        <v>35000</v>
      </c>
      <c r="J68" s="40" t="s">
        <v>140</v>
      </c>
      <c r="K68" s="40">
        <v>25</v>
      </c>
      <c r="L68" s="40"/>
      <c r="M68" s="40" t="s">
        <v>140</v>
      </c>
      <c r="N68" s="40">
        <v>59500</v>
      </c>
    </row>
    <row r="69" spans="1:14">
      <c r="A69" s="40" t="s">
        <v>23</v>
      </c>
      <c r="B69" s="40" t="s">
        <v>222</v>
      </c>
      <c r="C69" s="40">
        <v>27200</v>
      </c>
      <c r="D69" s="40">
        <v>56</v>
      </c>
      <c r="E69" s="41">
        <v>25710</v>
      </c>
      <c r="F69" s="40" t="s">
        <v>111</v>
      </c>
      <c r="G69" s="40" t="s">
        <v>91</v>
      </c>
      <c r="H69" s="40">
        <v>14100</v>
      </c>
      <c r="I69" s="40">
        <v>1500</v>
      </c>
      <c r="J69" s="40" t="s">
        <v>49</v>
      </c>
      <c r="K69" s="40">
        <v>26</v>
      </c>
      <c r="L69" s="40"/>
      <c r="M69" s="40" t="s">
        <v>49</v>
      </c>
      <c r="N69" s="40">
        <v>36000</v>
      </c>
    </row>
    <row r="70" spans="1:14">
      <c r="A70" s="40" t="s">
        <v>54</v>
      </c>
      <c r="B70" s="40" t="s">
        <v>223</v>
      </c>
      <c r="C70" s="40" t="s">
        <v>224</v>
      </c>
      <c r="D70" s="40">
        <v>33</v>
      </c>
      <c r="E70" s="41">
        <v>34027</v>
      </c>
      <c r="F70" s="40" t="s">
        <v>76</v>
      </c>
      <c r="G70" s="40" t="s">
        <v>225</v>
      </c>
      <c r="H70" s="40">
        <v>3400</v>
      </c>
      <c r="I70" s="40">
        <v>0</v>
      </c>
      <c r="J70" s="40" t="s">
        <v>49</v>
      </c>
      <c r="K70" s="40">
        <v>13</v>
      </c>
      <c r="L70" s="40"/>
      <c r="M70" s="40" t="s">
        <v>49</v>
      </c>
      <c r="N70" s="40">
        <v>70000</v>
      </c>
    </row>
    <row r="71" spans="1:14">
      <c r="A71" s="40" t="s">
        <v>23</v>
      </c>
      <c r="B71" s="40" t="s">
        <v>226</v>
      </c>
      <c r="C71" s="40" t="s">
        <v>227</v>
      </c>
      <c r="D71" s="40">
        <v>41</v>
      </c>
      <c r="E71" s="41">
        <v>30944</v>
      </c>
      <c r="F71" s="40" t="s">
        <v>31</v>
      </c>
      <c r="G71" s="40" t="s">
        <v>32</v>
      </c>
      <c r="H71" s="40" t="s">
        <v>228</v>
      </c>
      <c r="I71" s="43">
        <v>20500</v>
      </c>
      <c r="J71" s="40" t="s">
        <v>28</v>
      </c>
      <c r="K71" s="40">
        <v>8</v>
      </c>
      <c r="L71" s="40"/>
      <c r="M71" s="40" t="s">
        <v>28</v>
      </c>
      <c r="N71" s="40">
        <v>44000</v>
      </c>
    </row>
    <row r="72" spans="1:14">
      <c r="A72" s="40" t="s">
        <v>23</v>
      </c>
      <c r="B72" s="40" t="s">
        <v>229</v>
      </c>
      <c r="C72" s="40" t="s">
        <v>230</v>
      </c>
      <c r="D72" s="40"/>
      <c r="E72" s="41">
        <v>34411</v>
      </c>
      <c r="F72" s="40" t="s">
        <v>133</v>
      </c>
      <c r="G72" s="40" t="s">
        <v>133</v>
      </c>
      <c r="H72" s="40"/>
      <c r="I72" s="40">
        <v>0</v>
      </c>
      <c r="J72" s="40" t="s">
        <v>49</v>
      </c>
      <c r="K72" s="40">
        <v>20</v>
      </c>
      <c r="L72" s="40"/>
      <c r="M72" s="40" t="s">
        <v>49</v>
      </c>
      <c r="N72" s="40">
        <v>42000</v>
      </c>
    </row>
    <row r="73" spans="1:14">
      <c r="A73" s="40" t="s">
        <v>23</v>
      </c>
      <c r="B73" s="40" t="s">
        <v>231</v>
      </c>
      <c r="C73" s="40" t="s">
        <v>232</v>
      </c>
      <c r="D73" s="40">
        <v>34</v>
      </c>
      <c r="E73" s="41">
        <v>33525</v>
      </c>
      <c r="F73" s="40" t="s">
        <v>119</v>
      </c>
      <c r="G73" s="40"/>
      <c r="H73" s="40">
        <v>28000</v>
      </c>
      <c r="I73" s="40">
        <v>36500</v>
      </c>
      <c r="J73" s="40" t="s">
        <v>49</v>
      </c>
      <c r="K73" s="40">
        <v>33</v>
      </c>
      <c r="L73" s="40"/>
      <c r="M73" s="40" t="s">
        <v>49</v>
      </c>
      <c r="N73" s="40">
        <v>60000</v>
      </c>
    </row>
    <row r="74" spans="1:14">
      <c r="A74" s="40" t="s">
        <v>23</v>
      </c>
      <c r="B74" s="40" t="s">
        <v>233</v>
      </c>
      <c r="C74" s="40" t="s">
        <v>234</v>
      </c>
      <c r="D74" s="40">
        <v>24</v>
      </c>
      <c r="E74" s="41">
        <v>37259</v>
      </c>
      <c r="F74" s="40" t="s">
        <v>133</v>
      </c>
      <c r="G74" s="40" t="s">
        <v>133</v>
      </c>
      <c r="H74" s="40">
        <v>25200</v>
      </c>
      <c r="I74" s="40">
        <v>0</v>
      </c>
      <c r="J74" s="40" t="s">
        <v>49</v>
      </c>
      <c r="K74" s="40">
        <v>10</v>
      </c>
      <c r="L74" s="40"/>
      <c r="M74" s="40" t="s">
        <v>49</v>
      </c>
      <c r="N74" s="40">
        <v>69500</v>
      </c>
    </row>
    <row r="75" spans="1:14">
      <c r="A75" s="40" t="s">
        <v>23</v>
      </c>
      <c r="B75" s="40" t="s">
        <v>235</v>
      </c>
      <c r="C75" s="40" t="s">
        <v>236</v>
      </c>
      <c r="D75" s="40">
        <v>55</v>
      </c>
      <c r="E75" s="41">
        <v>26104</v>
      </c>
      <c r="F75" s="40" t="s">
        <v>61</v>
      </c>
      <c r="G75" s="40" t="s">
        <v>62</v>
      </c>
      <c r="H75" s="43">
        <v>22100</v>
      </c>
      <c r="I75" s="40">
        <v>41500</v>
      </c>
      <c r="J75" s="40" t="s">
        <v>49</v>
      </c>
      <c r="K75" s="40">
        <v>18</v>
      </c>
      <c r="L75" s="40"/>
      <c r="M75" s="40" t="s">
        <v>49</v>
      </c>
      <c r="N75" s="40">
        <v>65000</v>
      </c>
    </row>
    <row r="76" spans="1:14">
      <c r="A76" s="40" t="s">
        <v>29</v>
      </c>
      <c r="B76" s="40" t="s">
        <v>237</v>
      </c>
      <c r="C76" s="40" t="s">
        <v>238</v>
      </c>
      <c r="D76" s="40">
        <v>59</v>
      </c>
      <c r="E76" s="41">
        <v>24512</v>
      </c>
      <c r="F76" s="40" t="s">
        <v>166</v>
      </c>
      <c r="G76" s="40" t="s">
        <v>162</v>
      </c>
      <c r="H76" s="40">
        <v>6300</v>
      </c>
      <c r="I76" s="40">
        <v>15000</v>
      </c>
      <c r="J76" s="40" t="s">
        <v>49</v>
      </c>
      <c r="K76" s="40">
        <v>42</v>
      </c>
      <c r="L76" s="40"/>
      <c r="M76" s="40" t="s">
        <v>49</v>
      </c>
      <c r="N76" s="40">
        <v>8500</v>
      </c>
    </row>
    <row r="77" spans="1:14">
      <c r="A77" s="40" t="s">
        <v>29</v>
      </c>
      <c r="B77" s="40" t="s">
        <v>239</v>
      </c>
      <c r="C77" s="40" t="s">
        <v>240</v>
      </c>
      <c r="D77" s="40">
        <v>70</v>
      </c>
      <c r="E77" s="41">
        <v>20502</v>
      </c>
      <c r="F77" s="40" t="s">
        <v>52</v>
      </c>
      <c r="G77" s="40" t="s">
        <v>57</v>
      </c>
      <c r="H77" s="43">
        <v>2500</v>
      </c>
      <c r="I77" s="40">
        <v>0</v>
      </c>
      <c r="J77" s="40" t="s">
        <v>49</v>
      </c>
      <c r="K77" s="40">
        <v>38</v>
      </c>
      <c r="L77" s="40"/>
      <c r="M77" s="40" t="s">
        <v>49</v>
      </c>
      <c r="N77" s="40">
        <v>44500</v>
      </c>
    </row>
    <row r="78" spans="1:14">
      <c r="A78" s="40" t="s">
        <v>23</v>
      </c>
      <c r="B78" s="40" t="s">
        <v>241</v>
      </c>
      <c r="C78" s="40" t="s">
        <v>242</v>
      </c>
      <c r="D78" s="40">
        <v>37</v>
      </c>
      <c r="E78" s="41">
        <v>32543</v>
      </c>
      <c r="F78" s="40" t="s">
        <v>97</v>
      </c>
      <c r="G78" s="40" t="s">
        <v>98</v>
      </c>
      <c r="H78" s="40">
        <v>29200</v>
      </c>
      <c r="I78" s="42">
        <v>45000</v>
      </c>
      <c r="J78" s="40" t="s">
        <v>49</v>
      </c>
      <c r="K78" s="40">
        <v>26</v>
      </c>
      <c r="L78" s="40"/>
      <c r="M78" s="40" t="s">
        <v>49</v>
      </c>
      <c r="N78" s="40">
        <v>23500</v>
      </c>
    </row>
    <row r="79" spans="1:14">
      <c r="A79" s="40" t="s">
        <v>23</v>
      </c>
      <c r="B79" s="40" t="s">
        <v>243</v>
      </c>
      <c r="C79" s="40" t="s">
        <v>244</v>
      </c>
      <c r="D79" s="40">
        <v>27</v>
      </c>
      <c r="E79" s="41">
        <v>36308</v>
      </c>
      <c r="F79" s="40" t="s">
        <v>87</v>
      </c>
      <c r="G79" s="40" t="s">
        <v>88</v>
      </c>
      <c r="H79" s="40">
        <v>5300</v>
      </c>
      <c r="I79" s="40" t="s">
        <v>245</v>
      </c>
      <c r="J79" s="40" t="s">
        <v>196</v>
      </c>
      <c r="K79" s="40">
        <v>11</v>
      </c>
      <c r="L79" s="40"/>
      <c r="M79" s="40" t="s">
        <v>196</v>
      </c>
      <c r="N79" s="40">
        <v>28500</v>
      </c>
    </row>
    <row r="80" spans="1:14">
      <c r="A80" s="40" t="s">
        <v>23</v>
      </c>
      <c r="B80" s="40" t="s">
        <v>246</v>
      </c>
      <c r="C80" s="40" t="s">
        <v>247</v>
      </c>
      <c r="D80" s="40">
        <v>55</v>
      </c>
      <c r="E80" s="41">
        <v>25874</v>
      </c>
      <c r="F80" s="40" t="s">
        <v>133</v>
      </c>
      <c r="G80" s="40" t="s">
        <v>248</v>
      </c>
      <c r="H80" s="43">
        <v>29100</v>
      </c>
      <c r="I80" s="40" t="s">
        <v>92</v>
      </c>
      <c r="J80" s="40" t="s">
        <v>49</v>
      </c>
      <c r="K80" s="40">
        <v>11</v>
      </c>
      <c r="L80" s="40"/>
      <c r="M80" s="40" t="s">
        <v>49</v>
      </c>
      <c r="N80" s="40">
        <v>56000</v>
      </c>
    </row>
    <row r="81" spans="1:14">
      <c r="A81" s="40" t="s">
        <v>54</v>
      </c>
      <c r="B81" s="40" t="s">
        <v>249</v>
      </c>
      <c r="C81" s="40" t="s">
        <v>250</v>
      </c>
      <c r="D81" s="40">
        <v>53</v>
      </c>
      <c r="E81" s="41">
        <v>26812</v>
      </c>
      <c r="F81" s="40" t="s">
        <v>70</v>
      </c>
      <c r="G81" s="40" t="s">
        <v>71</v>
      </c>
      <c r="H81" s="40">
        <v>27800</v>
      </c>
      <c r="I81" s="42">
        <v>52000</v>
      </c>
      <c r="J81" s="40" t="s">
        <v>49</v>
      </c>
      <c r="K81" s="40">
        <v>43</v>
      </c>
      <c r="L81" s="40"/>
      <c r="M81" s="40" t="s">
        <v>49</v>
      </c>
      <c r="N81" s="40">
        <v>93500</v>
      </c>
    </row>
    <row r="82" spans="1:14">
      <c r="A82" s="40" t="s">
        <v>23</v>
      </c>
      <c r="B82" s="40" t="s">
        <v>251</v>
      </c>
      <c r="C82" s="40" t="s">
        <v>252</v>
      </c>
      <c r="D82" s="40">
        <v>40</v>
      </c>
      <c r="E82" s="41">
        <v>31647</v>
      </c>
      <c r="F82" s="40" t="s">
        <v>111</v>
      </c>
      <c r="G82" s="40" t="s">
        <v>91</v>
      </c>
      <c r="H82" s="42">
        <v>18700</v>
      </c>
      <c r="I82" s="40">
        <v>15000</v>
      </c>
      <c r="J82" s="40"/>
      <c r="K82" s="40">
        <v>26</v>
      </c>
      <c r="L82" s="40"/>
      <c r="M82" s="40"/>
      <c r="N82" s="40">
        <v>89500</v>
      </c>
    </row>
    <row r="83" spans="1:14">
      <c r="A83" s="40" t="s">
        <v>23</v>
      </c>
      <c r="B83" s="40" t="s">
        <v>253</v>
      </c>
      <c r="C83" s="40">
        <v>34400</v>
      </c>
      <c r="D83" s="40">
        <v>64</v>
      </c>
      <c r="E83" s="41">
        <v>22836</v>
      </c>
      <c r="F83" s="40" t="s">
        <v>254</v>
      </c>
      <c r="G83" s="40" t="s">
        <v>255</v>
      </c>
      <c r="H83" s="40">
        <v>24300</v>
      </c>
      <c r="I83" s="43">
        <v>16500</v>
      </c>
      <c r="J83" s="40" t="s">
        <v>28</v>
      </c>
      <c r="K83" s="40">
        <v>24</v>
      </c>
      <c r="L83" s="40"/>
      <c r="M83" s="40" t="s">
        <v>28</v>
      </c>
      <c r="N83" s="40">
        <v>57000</v>
      </c>
    </row>
    <row r="84" spans="1:14">
      <c r="A84" s="40" t="s">
        <v>23</v>
      </c>
      <c r="B84" s="40" t="s">
        <v>256</v>
      </c>
      <c r="C84" s="40" t="s">
        <v>257</v>
      </c>
      <c r="D84" s="40">
        <v>25</v>
      </c>
      <c r="E84" s="41">
        <v>37091</v>
      </c>
      <c r="F84" s="40" t="s">
        <v>26</v>
      </c>
      <c r="G84" s="40" t="s">
        <v>27</v>
      </c>
      <c r="H84" s="43">
        <v>28800</v>
      </c>
      <c r="I84" s="40"/>
      <c r="J84" s="40" t="s">
        <v>49</v>
      </c>
      <c r="K84" s="40">
        <v>12</v>
      </c>
      <c r="L84" s="40"/>
      <c r="M84" s="40" t="s">
        <v>49</v>
      </c>
      <c r="N84" s="40">
        <v>46500</v>
      </c>
    </row>
    <row r="85" spans="1:14">
      <c r="A85" s="40" t="s">
        <v>23</v>
      </c>
      <c r="B85" s="40" t="s">
        <v>258</v>
      </c>
      <c r="C85" s="40" t="s">
        <v>259</v>
      </c>
      <c r="D85" s="40" t="s">
        <v>260</v>
      </c>
      <c r="E85" s="41">
        <v>26161</v>
      </c>
      <c r="F85" s="40" t="s">
        <v>122</v>
      </c>
      <c r="G85" s="40"/>
      <c r="H85" s="40">
        <v>12200</v>
      </c>
      <c r="I85" s="40" t="s">
        <v>261</v>
      </c>
      <c r="J85" s="40" t="s">
        <v>41</v>
      </c>
      <c r="K85" s="40">
        <v>33</v>
      </c>
      <c r="L85" s="40"/>
      <c r="M85" s="40" t="s">
        <v>41</v>
      </c>
      <c r="N85" s="40">
        <v>78000</v>
      </c>
    </row>
    <row r="86" spans="1:14">
      <c r="A86" s="40" t="s">
        <v>23</v>
      </c>
      <c r="B86" s="40" t="s">
        <v>262</v>
      </c>
      <c r="C86" s="40">
        <v>32000</v>
      </c>
      <c r="D86" s="40">
        <v>68</v>
      </c>
      <c r="E86" s="41">
        <v>21162</v>
      </c>
      <c r="F86" s="40" t="s">
        <v>90</v>
      </c>
      <c r="G86" s="40" t="s">
        <v>91</v>
      </c>
      <c r="H86" s="43">
        <v>11500</v>
      </c>
      <c r="I86" s="40">
        <v>17500</v>
      </c>
      <c r="J86" s="40" t="s">
        <v>49</v>
      </c>
      <c r="K86" s="40">
        <v>19</v>
      </c>
      <c r="L86" s="40"/>
      <c r="M86" s="40" t="s">
        <v>49</v>
      </c>
      <c r="N86" s="40">
        <v>26000</v>
      </c>
    </row>
    <row r="87" spans="1:14">
      <c r="A87" s="40" t="s">
        <v>23</v>
      </c>
      <c r="B87" s="40" t="s">
        <v>263</v>
      </c>
      <c r="C87" s="40" t="s">
        <v>264</v>
      </c>
      <c r="D87" s="40">
        <v>37</v>
      </c>
      <c r="E87" s="41">
        <v>32412</v>
      </c>
      <c r="F87" s="40" t="s">
        <v>111</v>
      </c>
      <c r="G87" s="40" t="s">
        <v>126</v>
      </c>
      <c r="H87" s="40">
        <v>24700</v>
      </c>
      <c r="I87" s="42">
        <v>23000</v>
      </c>
      <c r="J87" s="40" t="s">
        <v>28</v>
      </c>
      <c r="K87" s="40" t="s">
        <v>265</v>
      </c>
      <c r="L87" s="40"/>
      <c r="M87" s="40" t="s">
        <v>28</v>
      </c>
      <c r="N87" s="40">
        <v>37500</v>
      </c>
    </row>
    <row r="88" spans="1:14">
      <c r="A88" s="40" t="s">
        <v>23</v>
      </c>
      <c r="B88" s="40" t="s">
        <v>266</v>
      </c>
      <c r="C88" s="40" t="s">
        <v>267</v>
      </c>
      <c r="D88" s="40">
        <v>62</v>
      </c>
      <c r="E88" s="41">
        <v>23488</v>
      </c>
      <c r="F88" s="40" t="s">
        <v>26</v>
      </c>
      <c r="G88" s="40" t="s">
        <v>27</v>
      </c>
      <c r="H88" s="40" t="s">
        <v>134</v>
      </c>
      <c r="I88" s="40" t="s">
        <v>40</v>
      </c>
      <c r="J88" s="40" t="s">
        <v>49</v>
      </c>
      <c r="K88" s="40" t="s">
        <v>202</v>
      </c>
      <c r="L88" s="40"/>
      <c r="M88" s="40" t="s">
        <v>49</v>
      </c>
      <c r="N88" s="40">
        <v>72000</v>
      </c>
    </row>
    <row r="89" spans="1:14">
      <c r="A89" s="40" t="s">
        <v>23</v>
      </c>
      <c r="B89" s="40" t="s">
        <v>268</v>
      </c>
      <c r="C89" s="40" t="s">
        <v>269</v>
      </c>
      <c r="D89" s="40" t="s">
        <v>270</v>
      </c>
      <c r="E89" s="41">
        <v>37491</v>
      </c>
      <c r="F89" s="40" t="s">
        <v>133</v>
      </c>
      <c r="G89" s="40" t="s">
        <v>248</v>
      </c>
      <c r="H89" s="42">
        <v>8900</v>
      </c>
      <c r="I89" s="40">
        <v>19500</v>
      </c>
      <c r="J89" s="40" t="s">
        <v>28</v>
      </c>
      <c r="K89" s="40">
        <v>33</v>
      </c>
      <c r="L89" s="40"/>
      <c r="M89" s="40" t="s">
        <v>28</v>
      </c>
      <c r="N89" s="40">
        <v>96500</v>
      </c>
    </row>
    <row r="90" spans="1:14">
      <c r="A90" s="40" t="s">
        <v>23</v>
      </c>
      <c r="B90" s="40" t="s">
        <v>271</v>
      </c>
      <c r="C90" s="40" t="s">
        <v>272</v>
      </c>
      <c r="D90" s="40">
        <v>35</v>
      </c>
      <c r="E90" s="40"/>
      <c r="F90" s="40" t="s">
        <v>97</v>
      </c>
      <c r="G90" s="40" t="s">
        <v>98</v>
      </c>
      <c r="H90" s="40">
        <v>28000</v>
      </c>
      <c r="I90" s="40" t="s">
        <v>273</v>
      </c>
      <c r="J90" s="40" t="s">
        <v>49</v>
      </c>
      <c r="K90" s="40">
        <v>39</v>
      </c>
      <c r="L90" s="40"/>
      <c r="M90" s="40" t="s">
        <v>49</v>
      </c>
      <c r="N90" s="40">
        <v>32000</v>
      </c>
    </row>
    <row r="91" spans="1:14">
      <c r="A91" s="40" t="s">
        <v>23</v>
      </c>
      <c r="B91" s="40" t="s">
        <v>274</v>
      </c>
      <c r="C91" s="40" t="s">
        <v>275</v>
      </c>
      <c r="D91" s="40">
        <v>40</v>
      </c>
      <c r="E91" s="41">
        <v>31408</v>
      </c>
      <c r="F91" s="40" t="s">
        <v>276</v>
      </c>
      <c r="G91" s="40"/>
      <c r="H91" s="40">
        <v>17400</v>
      </c>
      <c r="I91" s="43">
        <v>53000</v>
      </c>
      <c r="J91" s="40" t="s">
        <v>28</v>
      </c>
      <c r="K91" s="40">
        <v>20</v>
      </c>
      <c r="L91" s="40"/>
      <c r="M91" s="40" t="s">
        <v>28</v>
      </c>
      <c r="N91" s="40">
        <v>52500</v>
      </c>
    </row>
    <row r="92" spans="1:14">
      <c r="A92" s="40" t="s">
        <v>123</v>
      </c>
      <c r="B92" s="40" t="s">
        <v>277</v>
      </c>
      <c r="C92" s="40" t="s">
        <v>278</v>
      </c>
      <c r="D92" s="40">
        <v>59</v>
      </c>
      <c r="E92" s="41">
        <v>24362</v>
      </c>
      <c r="F92" s="40" t="s">
        <v>119</v>
      </c>
      <c r="G92" s="40" t="s">
        <v>91</v>
      </c>
      <c r="H92" s="40">
        <v>18900</v>
      </c>
      <c r="I92" s="40">
        <v>1000</v>
      </c>
      <c r="J92" s="40" t="s">
        <v>131</v>
      </c>
      <c r="K92" s="40">
        <v>42</v>
      </c>
      <c r="L92" s="40"/>
      <c r="M92" s="40" t="s">
        <v>131</v>
      </c>
      <c r="N92" s="40">
        <v>16500</v>
      </c>
    </row>
    <row r="93" spans="1:14">
      <c r="A93" s="40" t="s">
        <v>29</v>
      </c>
      <c r="B93" s="40" t="s">
        <v>279</v>
      </c>
      <c r="C93" s="40" t="s">
        <v>280</v>
      </c>
      <c r="D93" s="40"/>
      <c r="E93" s="41">
        <v>19672</v>
      </c>
      <c r="F93" s="40" t="s">
        <v>133</v>
      </c>
      <c r="G93" s="40" t="s">
        <v>133</v>
      </c>
      <c r="H93" s="40">
        <v>21000</v>
      </c>
      <c r="I93" s="40">
        <v>0</v>
      </c>
      <c r="J93" s="40" t="s">
        <v>140</v>
      </c>
      <c r="K93" s="40">
        <v>11</v>
      </c>
      <c r="L93" s="40"/>
      <c r="M93" s="40" t="s">
        <v>140</v>
      </c>
      <c r="N93" s="40">
        <v>75500</v>
      </c>
    </row>
    <row r="94" spans="1:14">
      <c r="A94" s="40" t="s">
        <v>23</v>
      </c>
      <c r="B94" s="40" t="s">
        <v>281</v>
      </c>
      <c r="C94" s="40" t="s">
        <v>282</v>
      </c>
      <c r="D94" s="40">
        <v>42</v>
      </c>
      <c r="E94" s="41">
        <v>30666</v>
      </c>
      <c r="F94" s="40" t="s">
        <v>37</v>
      </c>
      <c r="G94" s="40" t="s">
        <v>283</v>
      </c>
      <c r="H94" s="40">
        <v>6000</v>
      </c>
      <c r="I94" s="42">
        <v>55000</v>
      </c>
      <c r="J94" s="40" t="s">
        <v>49</v>
      </c>
      <c r="K94" s="40">
        <v>5</v>
      </c>
      <c r="L94" s="40"/>
      <c r="M94" s="40" t="s">
        <v>49</v>
      </c>
      <c r="N94" s="40">
        <v>10000</v>
      </c>
    </row>
    <row r="95" spans="1:14">
      <c r="A95" s="40" t="s">
        <v>23</v>
      </c>
      <c r="B95" s="40" t="s">
        <v>284</v>
      </c>
      <c r="C95" s="40" t="s">
        <v>285</v>
      </c>
      <c r="D95" s="40">
        <v>60</v>
      </c>
      <c r="E95" s="41">
        <v>24082</v>
      </c>
      <c r="F95" s="40" t="s">
        <v>194</v>
      </c>
      <c r="G95" s="40" t="s">
        <v>195</v>
      </c>
      <c r="H95" s="43">
        <v>13800</v>
      </c>
      <c r="I95" s="40">
        <v>45500</v>
      </c>
      <c r="J95" s="40" t="s">
        <v>49</v>
      </c>
      <c r="K95" s="40">
        <v>30</v>
      </c>
      <c r="L95" s="40"/>
      <c r="M95" s="40" t="s">
        <v>49</v>
      </c>
      <c r="N95" s="40">
        <v>17500</v>
      </c>
    </row>
    <row r="96" spans="1:14">
      <c r="A96" s="40" t="s">
        <v>23</v>
      </c>
      <c r="B96" s="40" t="s">
        <v>286</v>
      </c>
      <c r="C96" s="40" t="s">
        <v>287</v>
      </c>
      <c r="D96" s="40">
        <v>36</v>
      </c>
      <c r="E96" s="41">
        <v>32791</v>
      </c>
      <c r="F96" s="40" t="s">
        <v>122</v>
      </c>
      <c r="G96" s="40" t="s">
        <v>162</v>
      </c>
      <c r="H96" s="40">
        <v>23900</v>
      </c>
      <c r="I96" s="40">
        <v>58000</v>
      </c>
      <c r="J96" s="40" t="s">
        <v>49</v>
      </c>
      <c r="K96" s="40">
        <v>27</v>
      </c>
      <c r="L96" s="40"/>
      <c r="M96" s="40" t="s">
        <v>49</v>
      </c>
      <c r="N96" s="40">
        <v>38000</v>
      </c>
    </row>
    <row r="97" spans="1:14">
      <c r="A97" s="40" t="s">
        <v>23</v>
      </c>
      <c r="B97" s="40" t="s">
        <v>288</v>
      </c>
      <c r="C97" s="40" t="s">
        <v>289</v>
      </c>
      <c r="D97" s="40">
        <v>74</v>
      </c>
      <c r="E97" s="41">
        <v>19121</v>
      </c>
      <c r="F97" s="40" t="s">
        <v>90</v>
      </c>
      <c r="G97" s="40" t="s">
        <v>91</v>
      </c>
      <c r="H97" s="40">
        <v>7300</v>
      </c>
      <c r="I97" s="40">
        <v>1000</v>
      </c>
      <c r="J97" s="40" t="s">
        <v>49</v>
      </c>
      <c r="K97" s="40">
        <v>3</v>
      </c>
      <c r="L97" s="40"/>
      <c r="M97" s="40" t="s">
        <v>49</v>
      </c>
      <c r="N97" s="40">
        <v>50500</v>
      </c>
    </row>
    <row r="98" spans="1:14">
      <c r="A98" s="40" t="s">
        <v>123</v>
      </c>
      <c r="B98" s="40" t="s">
        <v>290</v>
      </c>
      <c r="C98" s="40">
        <v>20700</v>
      </c>
      <c r="D98" s="40">
        <v>66</v>
      </c>
      <c r="E98" s="41">
        <v>22151</v>
      </c>
      <c r="F98" s="40" t="s">
        <v>164</v>
      </c>
      <c r="G98" s="40"/>
      <c r="H98" s="40" t="s">
        <v>291</v>
      </c>
      <c r="I98" s="40">
        <v>16000</v>
      </c>
      <c r="J98" s="40" t="s">
        <v>28</v>
      </c>
      <c r="K98" s="40">
        <v>44</v>
      </c>
      <c r="L98" s="40"/>
      <c r="M98" s="40" t="s">
        <v>28</v>
      </c>
      <c r="N98" s="40">
        <v>59000</v>
      </c>
    </row>
    <row r="99" spans="1:14">
      <c r="A99" s="40" t="s">
        <v>23</v>
      </c>
      <c r="B99" s="40" t="s">
        <v>292</v>
      </c>
      <c r="C99" s="40" t="s">
        <v>293</v>
      </c>
      <c r="D99" s="40">
        <v>34</v>
      </c>
      <c r="E99" s="41">
        <v>33835</v>
      </c>
      <c r="F99" s="40" t="s">
        <v>294</v>
      </c>
      <c r="G99" s="40"/>
      <c r="H99" s="40">
        <v>5100</v>
      </c>
      <c r="I99" s="40">
        <v>17000</v>
      </c>
      <c r="J99" s="40" t="s">
        <v>49</v>
      </c>
      <c r="K99" s="40" t="s">
        <v>295</v>
      </c>
      <c r="L99" s="40"/>
      <c r="M99" s="40" t="s">
        <v>49</v>
      </c>
      <c r="N99" s="40">
        <v>4500</v>
      </c>
    </row>
    <row r="100" spans="1:14">
      <c r="A100" s="40" t="s">
        <v>23</v>
      </c>
      <c r="B100" s="40" t="s">
        <v>262</v>
      </c>
      <c r="C100" s="40" t="s">
        <v>296</v>
      </c>
      <c r="D100" s="40">
        <v>65</v>
      </c>
      <c r="E100" s="41">
        <v>22436</v>
      </c>
      <c r="F100" s="40" t="s">
        <v>26</v>
      </c>
      <c r="G100" s="40" t="s">
        <v>48</v>
      </c>
      <c r="H100" s="40">
        <v>12700</v>
      </c>
      <c r="I100" s="42">
        <v>60500</v>
      </c>
      <c r="J100" s="40" t="s">
        <v>49</v>
      </c>
      <c r="K100" s="40">
        <v>36</v>
      </c>
      <c r="L100" s="40"/>
      <c r="M100" s="40" t="s">
        <v>49</v>
      </c>
      <c r="N100" s="40">
        <v>28000</v>
      </c>
    </row>
    <row r="101" spans="1:14">
      <c r="A101" s="40" t="s">
        <v>29</v>
      </c>
      <c r="B101" s="40" t="s">
        <v>297</v>
      </c>
      <c r="C101" s="40" t="s">
        <v>298</v>
      </c>
      <c r="D101" s="40">
        <v>68</v>
      </c>
      <c r="E101" s="41">
        <v>21205</v>
      </c>
      <c r="F101" s="40" t="s">
        <v>122</v>
      </c>
      <c r="G101" s="40" t="s">
        <v>98</v>
      </c>
      <c r="H101" s="40">
        <v>8200</v>
      </c>
      <c r="I101" s="42">
        <v>66000</v>
      </c>
      <c r="J101" s="40" t="s">
        <v>49</v>
      </c>
      <c r="K101" s="40">
        <v>16</v>
      </c>
      <c r="L101" s="40"/>
      <c r="M101" s="40" t="s">
        <v>49</v>
      </c>
      <c r="N101" s="40">
        <v>84000</v>
      </c>
    </row>
    <row r="102" spans="1:14">
      <c r="A102" s="40" t="s">
        <v>29</v>
      </c>
      <c r="B102" s="40" t="s">
        <v>299</v>
      </c>
      <c r="C102" s="40" t="s">
        <v>300</v>
      </c>
      <c r="D102" s="40">
        <v>59</v>
      </c>
      <c r="E102" s="41">
        <v>24554</v>
      </c>
      <c r="F102" s="40" t="s">
        <v>70</v>
      </c>
      <c r="G102" s="40" t="s">
        <v>71</v>
      </c>
      <c r="H102" s="42">
        <v>15200</v>
      </c>
      <c r="I102" s="40">
        <v>11000</v>
      </c>
      <c r="J102" s="40" t="s">
        <v>196</v>
      </c>
      <c r="K102" s="40">
        <v>27</v>
      </c>
      <c r="L102" s="40"/>
      <c r="M102" s="40" t="s">
        <v>196</v>
      </c>
      <c r="N102" s="40">
        <v>87000</v>
      </c>
    </row>
    <row r="103" spans="1:14">
      <c r="A103" s="40" t="s">
        <v>23</v>
      </c>
      <c r="B103" s="40" t="s">
        <v>301</v>
      </c>
      <c r="C103" s="40" t="s">
        <v>302</v>
      </c>
      <c r="D103" s="40">
        <v>29</v>
      </c>
      <c r="E103" s="41">
        <v>35600</v>
      </c>
      <c r="F103" s="40" t="s">
        <v>174</v>
      </c>
      <c r="G103" s="40" t="s">
        <v>283</v>
      </c>
      <c r="H103" s="40">
        <v>10000</v>
      </c>
      <c r="I103" s="40">
        <v>25500</v>
      </c>
      <c r="J103" s="40" t="s">
        <v>49</v>
      </c>
      <c r="K103" s="40">
        <v>15</v>
      </c>
      <c r="L103" s="40"/>
      <c r="M103" s="40" t="s">
        <v>49</v>
      </c>
      <c r="N103" s="40">
        <v>66000</v>
      </c>
    </row>
    <row r="104" spans="1:14">
      <c r="A104" s="40" t="s">
        <v>23</v>
      </c>
      <c r="B104" s="40" t="s">
        <v>303</v>
      </c>
      <c r="C104" s="40" t="s">
        <v>304</v>
      </c>
      <c r="D104" s="40">
        <v>69</v>
      </c>
      <c r="E104" s="41">
        <v>20725</v>
      </c>
      <c r="F104" s="40" t="s">
        <v>87</v>
      </c>
      <c r="G104" s="40" t="s">
        <v>305</v>
      </c>
      <c r="H104" s="40">
        <v>8100</v>
      </c>
      <c r="I104" s="40">
        <v>27500</v>
      </c>
      <c r="J104" s="40" t="s">
        <v>196</v>
      </c>
      <c r="K104" s="40">
        <v>42</v>
      </c>
      <c r="L104" s="40"/>
      <c r="M104" s="40" t="s">
        <v>196</v>
      </c>
      <c r="N104" s="40">
        <v>72500</v>
      </c>
    </row>
    <row r="105" spans="1:14">
      <c r="A105" s="40" t="s">
        <v>23</v>
      </c>
      <c r="B105" s="40" t="s">
        <v>241</v>
      </c>
      <c r="C105" s="40" t="s">
        <v>242</v>
      </c>
      <c r="D105" s="40">
        <v>37</v>
      </c>
      <c r="E105" s="41">
        <v>32543</v>
      </c>
      <c r="F105" s="40" t="s">
        <v>97</v>
      </c>
      <c r="G105" s="40" t="s">
        <v>98</v>
      </c>
      <c r="H105" s="40">
        <v>29200</v>
      </c>
      <c r="I105" s="42">
        <v>45000</v>
      </c>
      <c r="J105" s="40" t="s">
        <v>49</v>
      </c>
      <c r="K105" s="40">
        <v>26</v>
      </c>
      <c r="L105" s="40"/>
      <c r="M105" s="40" t="s">
        <v>49</v>
      </c>
      <c r="N105" s="40">
        <v>78000</v>
      </c>
    </row>
    <row r="106" spans="1:14">
      <c r="A106" s="40" t="s">
        <v>29</v>
      </c>
      <c r="B106" s="40" t="s">
        <v>306</v>
      </c>
      <c r="C106" s="40" t="s">
        <v>307</v>
      </c>
      <c r="D106" s="40">
        <v>30</v>
      </c>
      <c r="E106" s="41">
        <v>35200</v>
      </c>
      <c r="F106" s="40" t="s">
        <v>76</v>
      </c>
      <c r="G106" s="40" t="s">
        <v>208</v>
      </c>
      <c r="H106" s="40">
        <v>26500</v>
      </c>
      <c r="I106" s="40">
        <v>14500</v>
      </c>
      <c r="J106" s="40">
        <v>0</v>
      </c>
      <c r="K106" s="40">
        <v>15</v>
      </c>
      <c r="L106" s="40"/>
      <c r="M106" s="40">
        <v>0</v>
      </c>
      <c r="N106" s="40">
        <v>65500</v>
      </c>
    </row>
    <row r="107" spans="1:14">
      <c r="A107" s="40" t="s">
        <v>23</v>
      </c>
      <c r="B107" s="40" t="s">
        <v>308</v>
      </c>
      <c r="C107" s="40" t="s">
        <v>309</v>
      </c>
      <c r="D107" s="40">
        <v>58</v>
      </c>
      <c r="E107" s="41">
        <v>24905</v>
      </c>
      <c r="F107" s="40" t="s">
        <v>70</v>
      </c>
      <c r="G107" s="40" t="s">
        <v>208</v>
      </c>
      <c r="H107" s="43">
        <v>12400</v>
      </c>
      <c r="I107" s="43">
        <v>21500</v>
      </c>
      <c r="J107" s="40" t="s">
        <v>28</v>
      </c>
      <c r="K107" s="40" t="s">
        <v>310</v>
      </c>
      <c r="L107" s="40"/>
      <c r="M107" s="40" t="s">
        <v>28</v>
      </c>
      <c r="N107" s="40">
        <v>80000</v>
      </c>
    </row>
    <row r="108" spans="1:14">
      <c r="A108" s="40" t="s">
        <v>23</v>
      </c>
      <c r="B108" s="40" t="s">
        <v>311</v>
      </c>
      <c r="C108" s="40">
        <v>24000</v>
      </c>
      <c r="D108" s="40">
        <v>47</v>
      </c>
      <c r="E108" s="41">
        <v>29031</v>
      </c>
      <c r="F108" s="40" t="s">
        <v>312</v>
      </c>
      <c r="G108" s="40"/>
      <c r="H108" s="43">
        <v>28400</v>
      </c>
      <c r="I108" s="40">
        <v>78000</v>
      </c>
      <c r="J108" s="40" t="s">
        <v>49</v>
      </c>
      <c r="K108" s="40">
        <v>37</v>
      </c>
      <c r="L108" s="40"/>
      <c r="M108" s="40" t="s">
        <v>49</v>
      </c>
      <c r="N108" s="40">
        <v>99000</v>
      </c>
    </row>
    <row r="109" spans="1:14">
      <c r="A109" s="40" t="s">
        <v>23</v>
      </c>
      <c r="B109" s="40" t="s">
        <v>313</v>
      </c>
      <c r="C109" s="40" t="s">
        <v>314</v>
      </c>
      <c r="D109" s="40">
        <v>31</v>
      </c>
      <c r="E109" s="41">
        <v>34852</v>
      </c>
      <c r="F109" s="40" t="s">
        <v>164</v>
      </c>
      <c r="G109" s="40"/>
      <c r="H109" s="40">
        <v>20500</v>
      </c>
      <c r="I109" s="42">
        <v>47500</v>
      </c>
      <c r="J109" s="40" t="s">
        <v>49</v>
      </c>
      <c r="K109" s="40">
        <v>11</v>
      </c>
      <c r="L109" s="40"/>
      <c r="M109" s="40" t="s">
        <v>49</v>
      </c>
      <c r="N109" s="40">
        <v>18500</v>
      </c>
    </row>
    <row r="110" spans="1:14">
      <c r="A110" s="40" t="s">
        <v>315</v>
      </c>
      <c r="B110" s="40" t="s">
        <v>316</v>
      </c>
      <c r="C110" s="40" t="s">
        <v>317</v>
      </c>
      <c r="D110" s="40">
        <v>63</v>
      </c>
      <c r="E110" s="41">
        <v>23084</v>
      </c>
      <c r="F110" s="40" t="s">
        <v>97</v>
      </c>
      <c r="G110" s="40" t="s">
        <v>98</v>
      </c>
      <c r="H110" s="40">
        <v>17300</v>
      </c>
      <c r="I110" s="40">
        <v>22000</v>
      </c>
      <c r="J110" s="40" t="s">
        <v>49</v>
      </c>
      <c r="K110" s="40">
        <v>10</v>
      </c>
      <c r="L110" s="40"/>
      <c r="M110" s="40" t="s">
        <v>49</v>
      </c>
      <c r="N110" s="40">
        <v>97000</v>
      </c>
    </row>
    <row r="111" spans="1:14">
      <c r="A111" s="40" t="s">
        <v>23</v>
      </c>
      <c r="B111" s="40" t="s">
        <v>318</v>
      </c>
      <c r="C111" s="40">
        <v>12700</v>
      </c>
      <c r="D111" s="40">
        <v>26</v>
      </c>
      <c r="E111" s="41">
        <v>36518</v>
      </c>
      <c r="F111" s="40" t="s">
        <v>103</v>
      </c>
      <c r="G111" s="40" t="s">
        <v>91</v>
      </c>
      <c r="H111" s="42">
        <v>5000</v>
      </c>
      <c r="I111" s="40" t="s">
        <v>319</v>
      </c>
      <c r="J111" s="40" t="s">
        <v>49</v>
      </c>
      <c r="K111" s="40">
        <v>35</v>
      </c>
      <c r="L111" s="40"/>
      <c r="M111" s="40" t="s">
        <v>49</v>
      </c>
      <c r="N111" s="40">
        <v>18500</v>
      </c>
    </row>
    <row r="112" spans="1:14">
      <c r="A112" s="40" t="s">
        <v>23</v>
      </c>
      <c r="B112" s="40" t="s">
        <v>320</v>
      </c>
      <c r="C112" s="40">
        <v>18000</v>
      </c>
      <c r="D112" s="40">
        <v>29</v>
      </c>
      <c r="E112" s="41">
        <v>35344</v>
      </c>
      <c r="F112" s="40" t="s">
        <v>26</v>
      </c>
      <c r="G112" s="40" t="s">
        <v>48</v>
      </c>
      <c r="H112" s="40">
        <v>19900</v>
      </c>
      <c r="I112" s="40">
        <v>49500</v>
      </c>
      <c r="J112" s="40" t="s">
        <v>28</v>
      </c>
      <c r="K112" s="40">
        <v>27</v>
      </c>
      <c r="L112" s="40"/>
      <c r="M112" s="40" t="s">
        <v>28</v>
      </c>
      <c r="N112" s="40">
        <v>23000</v>
      </c>
    </row>
    <row r="113" spans="1:14">
      <c r="A113" s="40" t="s">
        <v>23</v>
      </c>
      <c r="B113" s="40" t="s">
        <v>321</v>
      </c>
      <c r="C113" s="40" t="s">
        <v>322</v>
      </c>
      <c r="D113" s="40">
        <v>51</v>
      </c>
      <c r="E113" s="41">
        <v>27413</v>
      </c>
      <c r="F113" s="40" t="s">
        <v>111</v>
      </c>
      <c r="G113" s="40" t="s">
        <v>104</v>
      </c>
      <c r="H113" s="40">
        <v>18500</v>
      </c>
      <c r="I113" s="43">
        <v>69500</v>
      </c>
      <c r="J113" s="40" t="s">
        <v>49</v>
      </c>
      <c r="K113" s="40" t="s">
        <v>323</v>
      </c>
      <c r="L113" s="40"/>
      <c r="M113" s="40" t="s">
        <v>49</v>
      </c>
      <c r="N113" s="40">
        <v>18000</v>
      </c>
    </row>
    <row r="114" spans="1:14">
      <c r="A114" s="40" t="s">
        <v>23</v>
      </c>
      <c r="B114" s="40" t="s">
        <v>324</v>
      </c>
      <c r="C114" s="40" t="s">
        <v>325</v>
      </c>
      <c r="D114" s="40">
        <v>46</v>
      </c>
      <c r="E114" s="41">
        <v>29197</v>
      </c>
      <c r="F114" s="40" t="s">
        <v>70</v>
      </c>
      <c r="G114" s="40" t="s">
        <v>71</v>
      </c>
      <c r="H114" s="40">
        <v>3200</v>
      </c>
      <c r="I114" s="40">
        <v>0</v>
      </c>
      <c r="J114" s="40" t="s">
        <v>49</v>
      </c>
      <c r="K114" s="40">
        <v>16</v>
      </c>
      <c r="L114" s="40"/>
      <c r="M114" s="40" t="s">
        <v>49</v>
      </c>
      <c r="N114" s="40">
        <v>61500</v>
      </c>
    </row>
    <row r="115" spans="1:14">
      <c r="A115" s="40" t="s">
        <v>23</v>
      </c>
      <c r="B115" s="40" t="s">
        <v>326</v>
      </c>
      <c r="C115" s="40" t="s">
        <v>327</v>
      </c>
      <c r="D115" s="40">
        <v>65</v>
      </c>
      <c r="E115" s="41">
        <v>22505</v>
      </c>
      <c r="F115" s="40" t="s">
        <v>103</v>
      </c>
      <c r="G115" s="40" t="s">
        <v>91</v>
      </c>
      <c r="H115" s="42">
        <v>29000</v>
      </c>
      <c r="I115" s="40">
        <v>28500</v>
      </c>
      <c r="J115" s="40" t="s">
        <v>49</v>
      </c>
      <c r="K115" s="40">
        <v>28</v>
      </c>
      <c r="L115" s="40"/>
      <c r="M115" s="40" t="s">
        <v>49</v>
      </c>
      <c r="N115" s="40">
        <v>57500</v>
      </c>
    </row>
    <row r="116" spans="1:14">
      <c r="A116" s="40" t="s">
        <v>23</v>
      </c>
      <c r="B116" s="40" t="s">
        <v>328</v>
      </c>
      <c r="C116" s="40" t="s">
        <v>329</v>
      </c>
      <c r="D116" s="40">
        <v>26</v>
      </c>
      <c r="E116" s="41">
        <v>36475</v>
      </c>
      <c r="F116" s="40" t="s">
        <v>330</v>
      </c>
      <c r="G116" s="40"/>
      <c r="H116" s="40">
        <v>13900</v>
      </c>
      <c r="I116" s="42">
        <v>53500</v>
      </c>
      <c r="J116" s="40" t="s">
        <v>49</v>
      </c>
      <c r="K116" s="40">
        <v>12</v>
      </c>
      <c r="L116" s="40"/>
      <c r="M116" s="40" t="s">
        <v>49</v>
      </c>
      <c r="N116" s="40">
        <v>85000</v>
      </c>
    </row>
    <row r="117" spans="1:14">
      <c r="A117" s="40" t="s">
        <v>29</v>
      </c>
      <c r="B117" s="40" t="s">
        <v>331</v>
      </c>
      <c r="C117" s="40" t="s">
        <v>332</v>
      </c>
      <c r="D117" s="40">
        <v>63</v>
      </c>
      <c r="E117" s="41">
        <v>22994</v>
      </c>
      <c r="F117" s="40" t="s">
        <v>61</v>
      </c>
      <c r="G117" s="40" t="s">
        <v>67</v>
      </c>
      <c r="H117" s="40">
        <v>20000</v>
      </c>
      <c r="I117" s="42">
        <v>29500</v>
      </c>
      <c r="J117" s="40" t="s">
        <v>49</v>
      </c>
      <c r="K117" s="40">
        <v>42</v>
      </c>
      <c r="L117" s="40"/>
      <c r="M117" s="40" t="s">
        <v>49</v>
      </c>
      <c r="N117" s="40">
        <v>5000</v>
      </c>
    </row>
    <row r="118" spans="1:14">
      <c r="A118" s="40" t="s">
        <v>23</v>
      </c>
      <c r="B118" s="40" t="s">
        <v>333</v>
      </c>
      <c r="C118" s="40">
        <v>27900</v>
      </c>
      <c r="D118" s="40">
        <v>71</v>
      </c>
      <c r="E118" s="41">
        <v>20094</v>
      </c>
      <c r="F118" s="40" t="s">
        <v>166</v>
      </c>
      <c r="G118" s="40" t="s">
        <v>98</v>
      </c>
      <c r="H118" s="40">
        <v>24100</v>
      </c>
      <c r="I118" s="40">
        <v>0</v>
      </c>
      <c r="J118" s="40" t="s">
        <v>196</v>
      </c>
      <c r="K118" s="40">
        <v>10</v>
      </c>
      <c r="L118" s="40"/>
      <c r="M118" s="40" t="s">
        <v>196</v>
      </c>
      <c r="N118" s="40">
        <v>87000</v>
      </c>
    </row>
    <row r="119" spans="1:14">
      <c r="A119" s="40" t="s">
        <v>23</v>
      </c>
      <c r="B119" s="40" t="s">
        <v>334</v>
      </c>
      <c r="C119" s="40"/>
      <c r="D119" s="40">
        <v>73</v>
      </c>
      <c r="E119" s="41">
        <v>19538</v>
      </c>
      <c r="F119" s="40" t="s">
        <v>37</v>
      </c>
      <c r="G119" s="40" t="s">
        <v>283</v>
      </c>
      <c r="H119" s="40">
        <v>12700</v>
      </c>
      <c r="I119" s="42">
        <v>79500</v>
      </c>
      <c r="J119" s="40" t="s">
        <v>49</v>
      </c>
      <c r="K119" s="40">
        <v>35</v>
      </c>
      <c r="L119" s="40"/>
      <c r="M119" s="40" t="s">
        <v>49</v>
      </c>
      <c r="N119" s="40">
        <v>39000</v>
      </c>
    </row>
    <row r="120" spans="1:14">
      <c r="A120" s="40" t="s">
        <v>23</v>
      </c>
      <c r="B120" s="40" t="s">
        <v>335</v>
      </c>
      <c r="C120" s="40">
        <v>26400</v>
      </c>
      <c r="D120" s="40">
        <v>57</v>
      </c>
      <c r="E120" s="41">
        <v>25238</v>
      </c>
      <c r="F120" s="40" t="s">
        <v>330</v>
      </c>
      <c r="G120" s="40"/>
      <c r="H120" s="40">
        <v>3200</v>
      </c>
      <c r="I120" s="40"/>
      <c r="J120" s="40" t="s">
        <v>49</v>
      </c>
      <c r="K120" s="40">
        <v>18</v>
      </c>
      <c r="L120" s="40"/>
      <c r="M120" s="40" t="s">
        <v>49</v>
      </c>
      <c r="N120" s="40">
        <v>64000</v>
      </c>
    </row>
    <row r="121" spans="1:14">
      <c r="A121" s="40" t="s">
        <v>23</v>
      </c>
      <c r="B121" s="40" t="s">
        <v>336</v>
      </c>
      <c r="C121" s="40">
        <v>9900</v>
      </c>
      <c r="D121" s="40">
        <v>64</v>
      </c>
      <c r="E121" s="41">
        <v>22828</v>
      </c>
      <c r="F121" s="40" t="s">
        <v>118</v>
      </c>
      <c r="G121" s="40" t="s">
        <v>95</v>
      </c>
      <c r="H121" s="42">
        <v>2900</v>
      </c>
      <c r="I121" s="42">
        <v>76000</v>
      </c>
      <c r="J121" s="40" t="s">
        <v>49</v>
      </c>
      <c r="K121" s="40">
        <v>32</v>
      </c>
      <c r="L121" s="40"/>
      <c r="M121" s="40" t="s">
        <v>49</v>
      </c>
      <c r="N121" s="40">
        <v>72500</v>
      </c>
    </row>
    <row r="122" spans="1:14">
      <c r="A122" s="40" t="s">
        <v>29</v>
      </c>
      <c r="B122" s="40" t="s">
        <v>337</v>
      </c>
      <c r="C122" s="40">
        <v>16000</v>
      </c>
      <c r="D122" s="40">
        <v>73</v>
      </c>
      <c r="E122" s="41">
        <v>19299</v>
      </c>
      <c r="F122" s="40" t="s">
        <v>31</v>
      </c>
      <c r="G122" s="40" t="s">
        <v>84</v>
      </c>
      <c r="H122" s="40">
        <v>7100</v>
      </c>
      <c r="I122" s="42">
        <v>58000</v>
      </c>
      <c r="J122" s="40" t="s">
        <v>28</v>
      </c>
      <c r="K122" s="40">
        <v>22</v>
      </c>
      <c r="L122" s="40"/>
      <c r="M122" s="40" t="s">
        <v>28</v>
      </c>
      <c r="N122" s="40">
        <v>46500</v>
      </c>
    </row>
    <row r="123" spans="1:14">
      <c r="A123" s="40" t="s">
        <v>23</v>
      </c>
      <c r="B123" s="40" t="s">
        <v>338</v>
      </c>
      <c r="C123" s="40" t="s">
        <v>339</v>
      </c>
      <c r="D123" s="40">
        <v>28</v>
      </c>
      <c r="E123" s="41">
        <v>35993</v>
      </c>
      <c r="F123" s="40" t="s">
        <v>52</v>
      </c>
      <c r="G123" s="40" t="s">
        <v>57</v>
      </c>
      <c r="H123" s="42">
        <v>13400</v>
      </c>
      <c r="I123" s="42">
        <v>54000</v>
      </c>
      <c r="J123" s="40" t="s">
        <v>49</v>
      </c>
      <c r="K123" s="40">
        <v>15</v>
      </c>
      <c r="L123" s="40"/>
      <c r="M123" s="40" t="s">
        <v>49</v>
      </c>
      <c r="N123" s="40">
        <v>99000</v>
      </c>
    </row>
    <row r="124" spans="1:14">
      <c r="A124" s="40" t="s">
        <v>23</v>
      </c>
      <c r="B124" s="40" t="s">
        <v>340</v>
      </c>
      <c r="C124" s="40" t="s">
        <v>341</v>
      </c>
      <c r="D124" s="40">
        <v>26</v>
      </c>
      <c r="E124" s="41">
        <v>36622</v>
      </c>
      <c r="F124" s="40" t="s">
        <v>133</v>
      </c>
      <c r="G124" s="40" t="s">
        <v>133</v>
      </c>
      <c r="H124" s="40" t="s">
        <v>342</v>
      </c>
      <c r="I124" s="42">
        <v>65500</v>
      </c>
      <c r="J124" s="40" t="s">
        <v>343</v>
      </c>
      <c r="K124" s="40">
        <v>40</v>
      </c>
      <c r="L124" s="40"/>
      <c r="M124" s="40" t="s">
        <v>343</v>
      </c>
      <c r="N124" s="40">
        <v>95500</v>
      </c>
    </row>
    <row r="125" spans="1:14">
      <c r="A125" s="40" t="s">
        <v>23</v>
      </c>
      <c r="B125" s="40" t="s">
        <v>344</v>
      </c>
      <c r="C125" s="40" t="s">
        <v>345</v>
      </c>
      <c r="D125" s="40">
        <v>69</v>
      </c>
      <c r="E125" s="41">
        <v>21051</v>
      </c>
      <c r="F125" s="40" t="s">
        <v>31</v>
      </c>
      <c r="G125" s="40" t="s">
        <v>32</v>
      </c>
      <c r="H125" s="40" t="s">
        <v>346</v>
      </c>
      <c r="I125" s="40">
        <v>40500</v>
      </c>
      <c r="J125" s="40" t="s">
        <v>49</v>
      </c>
      <c r="K125" s="40">
        <v>43</v>
      </c>
      <c r="L125" s="40"/>
      <c r="M125" s="40" t="s">
        <v>49</v>
      </c>
      <c r="N125" s="40">
        <v>24500</v>
      </c>
    </row>
    <row r="126" spans="1:14">
      <c r="A126" s="40" t="s">
        <v>23</v>
      </c>
      <c r="B126" s="40" t="s">
        <v>347</v>
      </c>
      <c r="C126" s="40" t="s">
        <v>348</v>
      </c>
      <c r="D126" s="40">
        <v>67</v>
      </c>
      <c r="E126" s="41">
        <v>21624</v>
      </c>
      <c r="F126" s="40" t="s">
        <v>119</v>
      </c>
      <c r="G126" s="40" t="s">
        <v>104</v>
      </c>
      <c r="H126" s="40">
        <v>8500</v>
      </c>
      <c r="I126" s="42">
        <v>39500</v>
      </c>
      <c r="J126" s="40" t="s">
        <v>28</v>
      </c>
      <c r="K126" s="40"/>
      <c r="L126" s="40"/>
      <c r="M126" s="40" t="s">
        <v>28</v>
      </c>
      <c r="N126" s="40">
        <v>42000</v>
      </c>
    </row>
    <row r="127" spans="1:14">
      <c r="A127" s="40" t="s">
        <v>23</v>
      </c>
      <c r="B127" s="40" t="s">
        <v>349</v>
      </c>
      <c r="C127" s="40" t="s">
        <v>350</v>
      </c>
      <c r="D127" s="40">
        <v>53</v>
      </c>
      <c r="E127" s="41">
        <v>26584</v>
      </c>
      <c r="F127" s="40" t="s">
        <v>111</v>
      </c>
      <c r="G127" s="40" t="s">
        <v>91</v>
      </c>
      <c r="H127" s="40">
        <v>12200</v>
      </c>
      <c r="I127" s="42">
        <v>79500</v>
      </c>
      <c r="J127" s="40" t="s">
        <v>140</v>
      </c>
      <c r="K127" s="40">
        <v>45</v>
      </c>
      <c r="L127" s="40"/>
      <c r="M127" s="40" t="s">
        <v>140</v>
      </c>
      <c r="N127" s="40">
        <v>57000</v>
      </c>
    </row>
    <row r="128" spans="1:14">
      <c r="A128" s="40" t="s">
        <v>23</v>
      </c>
      <c r="B128" s="40" t="s">
        <v>351</v>
      </c>
      <c r="C128" s="40" t="s">
        <v>352</v>
      </c>
      <c r="D128" s="40">
        <v>55</v>
      </c>
      <c r="E128" s="41">
        <v>25880</v>
      </c>
      <c r="F128" s="40" t="s">
        <v>31</v>
      </c>
      <c r="G128" s="40" t="s">
        <v>32</v>
      </c>
      <c r="H128" s="40">
        <v>27500</v>
      </c>
      <c r="I128" s="40">
        <v>14000</v>
      </c>
      <c r="J128" s="40" t="s">
        <v>49</v>
      </c>
      <c r="K128" s="40">
        <v>3</v>
      </c>
      <c r="L128" s="40"/>
      <c r="M128" s="40" t="s">
        <v>49</v>
      </c>
      <c r="N128" s="40">
        <v>11500</v>
      </c>
    </row>
    <row r="129" spans="1:14">
      <c r="A129" s="40" t="s">
        <v>23</v>
      </c>
      <c r="B129" s="40" t="s">
        <v>288</v>
      </c>
      <c r="C129" s="40">
        <v>8900</v>
      </c>
      <c r="D129" s="40"/>
      <c r="E129" s="41">
        <v>33473</v>
      </c>
      <c r="F129" s="40" t="s">
        <v>194</v>
      </c>
      <c r="G129" s="40" t="s">
        <v>195</v>
      </c>
      <c r="H129" s="40">
        <v>24000</v>
      </c>
      <c r="I129" s="40">
        <v>0</v>
      </c>
      <c r="J129" s="40" t="s">
        <v>28</v>
      </c>
      <c r="K129" s="40">
        <v>3</v>
      </c>
      <c r="L129" s="40"/>
      <c r="M129" s="40" t="s">
        <v>28</v>
      </c>
      <c r="N129" s="40">
        <v>60000</v>
      </c>
    </row>
    <row r="130" spans="1:14">
      <c r="A130" s="40" t="s">
        <v>29</v>
      </c>
      <c r="B130" s="40" t="s">
        <v>229</v>
      </c>
      <c r="C130" s="40">
        <v>8300</v>
      </c>
      <c r="D130" s="40">
        <v>31</v>
      </c>
      <c r="E130" s="41">
        <v>34828</v>
      </c>
      <c r="F130" s="40" t="s">
        <v>174</v>
      </c>
      <c r="G130" s="40" t="s">
        <v>38</v>
      </c>
      <c r="H130" s="43">
        <v>24900</v>
      </c>
      <c r="I130" s="40">
        <v>72000</v>
      </c>
      <c r="J130" s="40" t="s">
        <v>49</v>
      </c>
      <c r="K130" s="40">
        <v>35</v>
      </c>
      <c r="L130" s="40"/>
      <c r="M130" s="40" t="s">
        <v>49</v>
      </c>
      <c r="N130" s="40">
        <v>79000</v>
      </c>
    </row>
    <row r="131" spans="1:14">
      <c r="A131" s="40" t="s">
        <v>23</v>
      </c>
      <c r="B131" s="40" t="s">
        <v>353</v>
      </c>
      <c r="C131" s="40">
        <v>3800</v>
      </c>
      <c r="D131" s="40">
        <v>41</v>
      </c>
      <c r="E131" s="41">
        <v>30992</v>
      </c>
      <c r="F131" s="40" t="s">
        <v>52</v>
      </c>
      <c r="G131" s="40" t="s">
        <v>354</v>
      </c>
      <c r="H131" s="43">
        <v>28600</v>
      </c>
      <c r="I131" s="42">
        <v>67500</v>
      </c>
      <c r="J131" s="40" t="s">
        <v>49</v>
      </c>
      <c r="K131" s="40">
        <v>39</v>
      </c>
      <c r="L131" s="40"/>
      <c r="M131" s="40" t="s">
        <v>49</v>
      </c>
      <c r="N131" s="40">
        <v>22000</v>
      </c>
    </row>
    <row r="132" spans="1:14">
      <c r="A132" s="40" t="s">
        <v>23</v>
      </c>
      <c r="B132" s="40" t="s">
        <v>355</v>
      </c>
      <c r="C132" s="40" t="s">
        <v>356</v>
      </c>
      <c r="D132" s="40">
        <v>56</v>
      </c>
      <c r="E132" s="41">
        <v>25671</v>
      </c>
      <c r="F132" s="40" t="s">
        <v>118</v>
      </c>
      <c r="G132" s="40" t="s">
        <v>88</v>
      </c>
      <c r="H132" s="40">
        <v>28300</v>
      </c>
      <c r="I132" s="40">
        <v>56000</v>
      </c>
      <c r="J132" s="40" t="s">
        <v>49</v>
      </c>
      <c r="K132" s="40">
        <v>6</v>
      </c>
      <c r="L132" s="40"/>
      <c r="M132" s="40" t="s">
        <v>49</v>
      </c>
      <c r="N132" s="40">
        <v>77000</v>
      </c>
    </row>
    <row r="133" spans="1:14">
      <c r="A133" s="40" t="s">
        <v>23</v>
      </c>
      <c r="B133" s="40" t="s">
        <v>357</v>
      </c>
      <c r="C133" s="40">
        <v>37700</v>
      </c>
      <c r="D133" s="40">
        <v>23</v>
      </c>
      <c r="E133" s="41">
        <v>37566</v>
      </c>
      <c r="F133" s="40" t="s">
        <v>76</v>
      </c>
      <c r="G133" s="40" t="s">
        <v>208</v>
      </c>
      <c r="H133" s="40">
        <v>2600</v>
      </c>
      <c r="I133" s="40">
        <v>0</v>
      </c>
      <c r="J133" s="40" t="s">
        <v>28</v>
      </c>
      <c r="K133" s="40">
        <v>30</v>
      </c>
      <c r="L133" s="40"/>
      <c r="M133" s="40" t="s">
        <v>28</v>
      </c>
      <c r="N133" s="40">
        <v>11000</v>
      </c>
    </row>
    <row r="134" spans="1:14">
      <c r="A134" s="40" t="s">
        <v>23</v>
      </c>
      <c r="B134" s="40" t="s">
        <v>358</v>
      </c>
      <c r="C134" s="40" t="s">
        <v>359</v>
      </c>
      <c r="D134" s="40">
        <v>25</v>
      </c>
      <c r="E134" s="41">
        <v>37137</v>
      </c>
      <c r="F134" s="40" t="s">
        <v>26</v>
      </c>
      <c r="G134" s="40" t="s">
        <v>27</v>
      </c>
      <c r="H134" s="40"/>
      <c r="I134" s="43">
        <v>21000</v>
      </c>
      <c r="J134" s="40" t="s">
        <v>49</v>
      </c>
      <c r="K134" s="40">
        <v>34</v>
      </c>
      <c r="L134" s="40"/>
      <c r="M134" s="40" t="s">
        <v>49</v>
      </c>
      <c r="N134" s="40">
        <v>7500</v>
      </c>
    </row>
    <row r="135" spans="1:14">
      <c r="A135" s="40" t="s">
        <v>23</v>
      </c>
      <c r="B135" s="40" t="s">
        <v>360</v>
      </c>
      <c r="C135" s="40" t="s">
        <v>361</v>
      </c>
      <c r="D135" s="40">
        <v>57</v>
      </c>
      <c r="E135" s="41">
        <v>25199</v>
      </c>
      <c r="F135" s="40" t="s">
        <v>97</v>
      </c>
      <c r="G135" s="40" t="s">
        <v>162</v>
      </c>
      <c r="H135" s="42">
        <v>20700</v>
      </c>
      <c r="I135" s="40">
        <v>64500</v>
      </c>
      <c r="J135" s="40" t="s">
        <v>49</v>
      </c>
      <c r="K135" s="40" t="s">
        <v>362</v>
      </c>
      <c r="L135" s="40"/>
      <c r="M135" s="40" t="s">
        <v>49</v>
      </c>
      <c r="N135" s="40">
        <v>54500</v>
      </c>
    </row>
    <row r="136" spans="1:14">
      <c r="A136" s="40" t="s">
        <v>209</v>
      </c>
      <c r="B136" s="40" t="s">
        <v>363</v>
      </c>
      <c r="C136" s="40" t="s">
        <v>364</v>
      </c>
      <c r="D136" s="40">
        <v>73</v>
      </c>
      <c r="E136" s="41">
        <v>19314</v>
      </c>
      <c r="F136" s="40" t="s">
        <v>37</v>
      </c>
      <c r="G136" s="40" t="s">
        <v>365</v>
      </c>
      <c r="H136" s="40">
        <v>6100</v>
      </c>
      <c r="I136" s="40" t="s">
        <v>366</v>
      </c>
      <c r="J136" s="40" t="s">
        <v>49</v>
      </c>
      <c r="K136" s="40">
        <v>9</v>
      </c>
      <c r="L136" s="40"/>
      <c r="M136" s="40" t="s">
        <v>49</v>
      </c>
      <c r="N136" s="40">
        <v>24500</v>
      </c>
    </row>
    <row r="137" spans="1:14">
      <c r="A137" s="40" t="s">
        <v>23</v>
      </c>
      <c r="B137" s="40" t="s">
        <v>367</v>
      </c>
      <c r="C137" s="40">
        <v>37000</v>
      </c>
      <c r="D137" s="40">
        <v>24</v>
      </c>
      <c r="E137" s="41">
        <v>37290</v>
      </c>
      <c r="F137" s="40" t="s">
        <v>122</v>
      </c>
      <c r="G137" s="40" t="s">
        <v>167</v>
      </c>
      <c r="H137" s="42">
        <v>6400</v>
      </c>
      <c r="I137" s="43">
        <v>41000</v>
      </c>
      <c r="J137" s="40" t="s">
        <v>49</v>
      </c>
      <c r="K137" s="40">
        <v>22</v>
      </c>
      <c r="L137" s="40"/>
      <c r="M137" s="40" t="s">
        <v>49</v>
      </c>
      <c r="N137" s="40">
        <v>74500</v>
      </c>
    </row>
    <row r="138" spans="1:14">
      <c r="A138" s="40" t="s">
        <v>54</v>
      </c>
      <c r="B138" s="40" t="s">
        <v>368</v>
      </c>
      <c r="C138" s="40" t="s">
        <v>369</v>
      </c>
      <c r="D138" s="40">
        <v>47</v>
      </c>
      <c r="E138" s="40"/>
      <c r="F138" s="40" t="s">
        <v>76</v>
      </c>
      <c r="G138" s="40"/>
      <c r="H138" s="43">
        <v>11600</v>
      </c>
      <c r="I138" s="43">
        <v>63500</v>
      </c>
      <c r="J138" s="40">
        <v>0</v>
      </c>
      <c r="K138" s="40">
        <v>18</v>
      </c>
      <c r="L138" s="40"/>
      <c r="M138" s="40">
        <v>0</v>
      </c>
      <c r="N138" s="40">
        <v>3000</v>
      </c>
    </row>
    <row r="139" spans="1:14">
      <c r="A139" s="40" t="s">
        <v>29</v>
      </c>
      <c r="B139" s="40" t="s">
        <v>370</v>
      </c>
      <c r="C139" s="40" t="s">
        <v>371</v>
      </c>
      <c r="D139" s="40">
        <v>52</v>
      </c>
      <c r="E139" s="41">
        <v>27186</v>
      </c>
      <c r="F139" s="40" t="s">
        <v>31</v>
      </c>
      <c r="G139" s="40" t="s">
        <v>137</v>
      </c>
      <c r="H139" s="40">
        <v>6400</v>
      </c>
      <c r="I139" s="40">
        <v>37000</v>
      </c>
      <c r="J139" s="40" t="s">
        <v>49</v>
      </c>
      <c r="K139" s="40">
        <v>1</v>
      </c>
      <c r="L139" s="40"/>
      <c r="M139" s="40" t="s">
        <v>49</v>
      </c>
      <c r="N139" s="40">
        <v>87000</v>
      </c>
    </row>
    <row r="140" spans="1:14">
      <c r="A140" s="40" t="s">
        <v>29</v>
      </c>
      <c r="B140" s="40" t="s">
        <v>372</v>
      </c>
      <c r="C140" s="40">
        <v>26700</v>
      </c>
      <c r="D140" s="40">
        <v>54</v>
      </c>
      <c r="E140" s="41">
        <v>26453</v>
      </c>
      <c r="F140" s="40" t="s">
        <v>194</v>
      </c>
      <c r="G140" s="40" t="s">
        <v>195</v>
      </c>
      <c r="H140" s="40">
        <v>3900</v>
      </c>
      <c r="I140" s="40">
        <v>80000</v>
      </c>
      <c r="J140" s="40" t="s">
        <v>49</v>
      </c>
      <c r="K140" s="40" t="s">
        <v>373</v>
      </c>
      <c r="L140" s="40"/>
      <c r="M140" s="40" t="s">
        <v>49</v>
      </c>
      <c r="N140" s="40">
        <v>30000</v>
      </c>
    </row>
    <row r="141" spans="1:14">
      <c r="A141" s="40" t="s">
        <v>23</v>
      </c>
      <c r="B141" s="40" t="s">
        <v>374</v>
      </c>
      <c r="C141" s="40" t="s">
        <v>375</v>
      </c>
      <c r="D141" s="40">
        <v>45</v>
      </c>
      <c r="E141" s="41">
        <v>29598</v>
      </c>
      <c r="F141" s="40" t="s">
        <v>52</v>
      </c>
      <c r="G141" s="40" t="s">
        <v>143</v>
      </c>
      <c r="H141" s="40">
        <v>22800</v>
      </c>
      <c r="I141" s="40"/>
      <c r="J141" s="40" t="s">
        <v>49</v>
      </c>
      <c r="K141" s="40">
        <v>10</v>
      </c>
      <c r="L141" s="40"/>
      <c r="M141" s="40" t="s">
        <v>49</v>
      </c>
      <c r="N141" s="40">
        <v>31000</v>
      </c>
    </row>
    <row r="142" spans="1:14">
      <c r="A142" s="40" t="s">
        <v>23</v>
      </c>
      <c r="B142" s="40" t="s">
        <v>376</v>
      </c>
      <c r="C142" s="40">
        <v>35200</v>
      </c>
      <c r="D142" s="40">
        <v>65</v>
      </c>
      <c r="E142" s="41">
        <v>22337</v>
      </c>
      <c r="F142" s="40" t="s">
        <v>90</v>
      </c>
      <c r="G142" s="40" t="s">
        <v>91</v>
      </c>
      <c r="H142" s="40">
        <v>3800</v>
      </c>
      <c r="I142" s="40">
        <v>49500</v>
      </c>
      <c r="J142" s="40" t="s">
        <v>49</v>
      </c>
      <c r="K142" s="40">
        <v>16</v>
      </c>
      <c r="L142" s="40"/>
      <c r="M142" s="40" t="s">
        <v>49</v>
      </c>
      <c r="N142" s="40">
        <v>15500</v>
      </c>
    </row>
    <row r="143" spans="1:14">
      <c r="A143" s="40" t="s">
        <v>23</v>
      </c>
      <c r="B143" s="40" t="s">
        <v>377</v>
      </c>
      <c r="C143" s="40" t="s">
        <v>378</v>
      </c>
      <c r="D143" s="40">
        <v>66</v>
      </c>
      <c r="E143" s="41">
        <v>22151</v>
      </c>
      <c r="F143" s="40" t="s">
        <v>97</v>
      </c>
      <c r="G143" s="40" t="s">
        <v>98</v>
      </c>
      <c r="H143" s="40">
        <v>11800</v>
      </c>
      <c r="I143" s="42">
        <v>2000</v>
      </c>
      <c r="J143" s="40" t="s">
        <v>28</v>
      </c>
      <c r="K143" s="40">
        <v>23</v>
      </c>
      <c r="L143" s="40"/>
      <c r="M143" s="40" t="s">
        <v>28</v>
      </c>
      <c r="N143" s="40">
        <v>72500</v>
      </c>
    </row>
    <row r="144" spans="1:14">
      <c r="A144" s="40" t="s">
        <v>29</v>
      </c>
      <c r="B144" s="40" t="s">
        <v>379</v>
      </c>
      <c r="C144" s="40" t="s">
        <v>380</v>
      </c>
      <c r="D144" s="40">
        <v>29</v>
      </c>
      <c r="E144" s="41">
        <v>35607</v>
      </c>
      <c r="F144" s="40" t="s">
        <v>103</v>
      </c>
      <c r="G144" s="40" t="s">
        <v>91</v>
      </c>
      <c r="H144" s="40">
        <v>13800</v>
      </c>
      <c r="I144" s="40">
        <v>41500</v>
      </c>
      <c r="J144" s="40" t="s">
        <v>49</v>
      </c>
      <c r="K144" s="40">
        <v>34</v>
      </c>
      <c r="L144" s="40"/>
      <c r="M144" s="40" t="s">
        <v>49</v>
      </c>
      <c r="N144" s="40">
        <v>66000</v>
      </c>
    </row>
    <row r="145" spans="1:14">
      <c r="A145" s="40" t="s">
        <v>23</v>
      </c>
      <c r="B145" s="40" t="s">
        <v>381</v>
      </c>
      <c r="C145" s="40" t="s">
        <v>382</v>
      </c>
      <c r="D145" s="40">
        <v>22</v>
      </c>
      <c r="E145" s="41">
        <v>37904</v>
      </c>
      <c r="F145" s="40" t="s">
        <v>31</v>
      </c>
      <c r="G145" s="40" t="s">
        <v>32</v>
      </c>
      <c r="H145" s="40">
        <v>2300</v>
      </c>
      <c r="I145" s="40">
        <v>0</v>
      </c>
      <c r="J145" s="40" t="s">
        <v>28</v>
      </c>
      <c r="K145" s="40" t="s">
        <v>383</v>
      </c>
      <c r="L145" s="40"/>
      <c r="M145" s="40" t="s">
        <v>28</v>
      </c>
      <c r="N145" s="40">
        <v>51500</v>
      </c>
    </row>
    <row r="146" spans="1:14">
      <c r="A146" s="40" t="s">
        <v>29</v>
      </c>
      <c r="B146" s="40" t="s">
        <v>384</v>
      </c>
      <c r="C146" s="40" t="s">
        <v>385</v>
      </c>
      <c r="D146" s="40">
        <v>29</v>
      </c>
      <c r="E146" s="41">
        <v>35598</v>
      </c>
      <c r="F146" s="40" t="s">
        <v>133</v>
      </c>
      <c r="G146" s="40" t="s">
        <v>133</v>
      </c>
      <c r="H146" s="40">
        <v>15500</v>
      </c>
      <c r="I146" s="40">
        <v>75000</v>
      </c>
      <c r="J146" s="40" t="s">
        <v>196</v>
      </c>
      <c r="K146" s="40">
        <v>25</v>
      </c>
      <c r="L146" s="40"/>
      <c r="M146" s="40" t="s">
        <v>196</v>
      </c>
      <c r="N146" s="40">
        <v>47000</v>
      </c>
    </row>
    <row r="147" spans="1:14">
      <c r="A147" s="40" t="s">
        <v>23</v>
      </c>
      <c r="B147" s="40" t="s">
        <v>386</v>
      </c>
      <c r="C147" s="40" t="s">
        <v>387</v>
      </c>
      <c r="D147" s="40">
        <v>72</v>
      </c>
      <c r="E147" s="41">
        <v>19839</v>
      </c>
      <c r="F147" s="40" t="s">
        <v>26</v>
      </c>
      <c r="G147" s="40" t="s">
        <v>388</v>
      </c>
      <c r="H147" s="42">
        <v>3900</v>
      </c>
      <c r="I147" s="40">
        <v>27000</v>
      </c>
      <c r="J147" s="40" t="s">
        <v>49</v>
      </c>
      <c r="K147" s="40">
        <v>33</v>
      </c>
      <c r="L147" s="40"/>
      <c r="M147" s="40" t="s">
        <v>49</v>
      </c>
      <c r="N147" s="40">
        <v>2000</v>
      </c>
    </row>
    <row r="148" spans="1:14">
      <c r="A148" s="40" t="s">
        <v>23</v>
      </c>
      <c r="B148" s="40" t="s">
        <v>389</v>
      </c>
      <c r="C148" s="40" t="s">
        <v>390</v>
      </c>
      <c r="D148" s="40">
        <v>58</v>
      </c>
      <c r="E148" s="41">
        <v>25066</v>
      </c>
      <c r="F148" s="40" t="s">
        <v>122</v>
      </c>
      <c r="G148" s="40" t="s">
        <v>167</v>
      </c>
      <c r="H148" s="43">
        <v>4500</v>
      </c>
      <c r="I148" s="40"/>
      <c r="J148" s="40" t="s">
        <v>28</v>
      </c>
      <c r="K148" s="40">
        <v>31</v>
      </c>
      <c r="L148" s="40"/>
      <c r="M148" s="40" t="s">
        <v>28</v>
      </c>
      <c r="N148" s="40">
        <v>97500</v>
      </c>
    </row>
    <row r="149" spans="1:14">
      <c r="A149" s="40" t="s">
        <v>123</v>
      </c>
      <c r="B149" s="40" t="s">
        <v>391</v>
      </c>
      <c r="C149" s="40">
        <v>20900</v>
      </c>
      <c r="D149" s="40">
        <v>33</v>
      </c>
      <c r="E149" s="41">
        <v>34021</v>
      </c>
      <c r="F149" s="40" t="s">
        <v>31</v>
      </c>
      <c r="G149" s="40" t="s">
        <v>32</v>
      </c>
      <c r="H149" s="40"/>
      <c r="I149" s="40">
        <v>73500</v>
      </c>
      <c r="J149" s="40" t="s">
        <v>49</v>
      </c>
      <c r="K149" s="40">
        <v>33</v>
      </c>
      <c r="L149" s="40"/>
      <c r="M149" s="40" t="s">
        <v>49</v>
      </c>
      <c r="N149" s="40">
        <v>95000</v>
      </c>
    </row>
    <row r="150" spans="1:14">
      <c r="A150" s="40" t="s">
        <v>23</v>
      </c>
      <c r="B150" s="40" t="s">
        <v>392</v>
      </c>
      <c r="C150" s="40">
        <v>36900</v>
      </c>
      <c r="D150" s="40">
        <v>61</v>
      </c>
      <c r="E150" s="41">
        <v>23928</v>
      </c>
      <c r="F150" s="40" t="s">
        <v>254</v>
      </c>
      <c r="G150" s="40" t="s">
        <v>32</v>
      </c>
      <c r="H150" s="40">
        <v>22900</v>
      </c>
      <c r="I150" s="40">
        <v>7500</v>
      </c>
      <c r="J150" s="40" t="s">
        <v>49</v>
      </c>
      <c r="K150" s="40">
        <v>12</v>
      </c>
      <c r="L150" s="40"/>
      <c r="M150" s="40" t="s">
        <v>49</v>
      </c>
      <c r="N150" s="40">
        <v>73000</v>
      </c>
    </row>
    <row r="151" spans="1:14">
      <c r="A151" s="40" t="s">
        <v>23</v>
      </c>
      <c r="B151" s="40" t="s">
        <v>393</v>
      </c>
      <c r="C151" s="40" t="s">
        <v>394</v>
      </c>
      <c r="D151" s="40">
        <v>73</v>
      </c>
      <c r="E151" s="41">
        <v>19363</v>
      </c>
      <c r="F151" s="40" t="s">
        <v>122</v>
      </c>
      <c r="G151" s="40" t="s">
        <v>98</v>
      </c>
      <c r="H151" s="40" t="s">
        <v>72</v>
      </c>
      <c r="I151" s="42">
        <v>19000</v>
      </c>
      <c r="J151" s="40" t="s">
        <v>49</v>
      </c>
      <c r="K151" s="40">
        <v>0</v>
      </c>
      <c r="L151" s="40"/>
      <c r="M151" s="40" t="s">
        <v>49</v>
      </c>
      <c r="N151" s="40">
        <v>17000</v>
      </c>
    </row>
    <row r="152" spans="1:14">
      <c r="A152" s="40" t="s">
        <v>395</v>
      </c>
      <c r="B152" s="40" t="s">
        <v>396</v>
      </c>
      <c r="C152" s="40">
        <v>6900</v>
      </c>
      <c r="D152" s="40">
        <v>51</v>
      </c>
      <c r="E152" s="41">
        <v>27590</v>
      </c>
      <c r="F152" s="40" t="s">
        <v>90</v>
      </c>
      <c r="G152" s="40" t="s">
        <v>91</v>
      </c>
      <c r="H152" s="43">
        <v>19400</v>
      </c>
      <c r="I152" s="40">
        <v>4000</v>
      </c>
      <c r="J152" s="40" t="s">
        <v>49</v>
      </c>
      <c r="K152" s="40">
        <v>30</v>
      </c>
      <c r="L152" s="40"/>
      <c r="M152" s="40" t="s">
        <v>49</v>
      </c>
      <c r="N152" s="40">
        <v>38500</v>
      </c>
    </row>
    <row r="153" spans="1:14">
      <c r="A153" s="40" t="s">
        <v>23</v>
      </c>
      <c r="B153" s="40" t="s">
        <v>397</v>
      </c>
      <c r="C153" s="40" t="s">
        <v>398</v>
      </c>
      <c r="D153" s="40">
        <v>43</v>
      </c>
      <c r="E153" s="41">
        <v>30309</v>
      </c>
      <c r="F153" s="40" t="s">
        <v>194</v>
      </c>
      <c r="G153" s="40" t="s">
        <v>195</v>
      </c>
      <c r="H153" s="42">
        <v>18400</v>
      </c>
      <c r="I153" s="40">
        <v>62000</v>
      </c>
      <c r="J153" s="40" t="s">
        <v>49</v>
      </c>
      <c r="K153" s="40">
        <v>33</v>
      </c>
      <c r="L153" s="40"/>
      <c r="M153" s="40" t="s">
        <v>49</v>
      </c>
      <c r="N153" s="40">
        <v>31000</v>
      </c>
    </row>
    <row r="154" spans="1:14">
      <c r="A154" s="40" t="s">
        <v>29</v>
      </c>
      <c r="B154" s="40" t="s">
        <v>399</v>
      </c>
      <c r="C154" s="40" t="s">
        <v>400</v>
      </c>
      <c r="D154" s="40">
        <v>63</v>
      </c>
      <c r="E154" s="41">
        <v>23119</v>
      </c>
      <c r="F154" s="40" t="s">
        <v>26</v>
      </c>
      <c r="G154" s="40" t="s">
        <v>48</v>
      </c>
      <c r="H154" s="40">
        <v>9300</v>
      </c>
      <c r="I154" s="40">
        <v>48500</v>
      </c>
      <c r="J154" s="40" t="s">
        <v>49</v>
      </c>
      <c r="K154" s="40">
        <v>28</v>
      </c>
      <c r="L154" s="40"/>
      <c r="M154" s="40" t="s">
        <v>49</v>
      </c>
      <c r="N154" s="40">
        <v>20000</v>
      </c>
    </row>
    <row r="155" spans="1:14">
      <c r="A155" s="40" t="s">
        <v>29</v>
      </c>
      <c r="B155" s="40" t="s">
        <v>401</v>
      </c>
      <c r="C155" s="40" t="s">
        <v>402</v>
      </c>
      <c r="D155" s="40">
        <v>63</v>
      </c>
      <c r="E155" s="41">
        <v>22924</v>
      </c>
      <c r="F155" s="40" t="s">
        <v>76</v>
      </c>
      <c r="G155" s="40" t="s">
        <v>208</v>
      </c>
      <c r="H155" s="40">
        <v>29000</v>
      </c>
      <c r="I155" s="42">
        <v>36500</v>
      </c>
      <c r="J155" s="40" t="s">
        <v>49</v>
      </c>
      <c r="K155" s="40">
        <v>38</v>
      </c>
      <c r="L155" s="40"/>
      <c r="M155" s="40" t="s">
        <v>49</v>
      </c>
      <c r="N155" s="40">
        <v>47000</v>
      </c>
    </row>
    <row r="156" spans="1:14">
      <c r="A156" s="40" t="s">
        <v>29</v>
      </c>
      <c r="B156" s="40" t="s">
        <v>403</v>
      </c>
      <c r="C156" s="40">
        <v>23700</v>
      </c>
      <c r="D156" s="40"/>
      <c r="E156" s="41">
        <v>19234</v>
      </c>
      <c r="F156" s="40" t="s">
        <v>122</v>
      </c>
      <c r="G156" s="40" t="s">
        <v>98</v>
      </c>
      <c r="H156" s="42">
        <v>8900</v>
      </c>
      <c r="I156" s="42">
        <v>4000</v>
      </c>
      <c r="J156" s="40" t="s">
        <v>49</v>
      </c>
      <c r="K156" s="40">
        <v>38</v>
      </c>
      <c r="L156" s="40"/>
      <c r="M156" s="40" t="s">
        <v>49</v>
      </c>
      <c r="N156" s="40">
        <v>22500</v>
      </c>
    </row>
    <row r="157" spans="1:14">
      <c r="A157" s="40"/>
      <c r="B157" s="40" t="s">
        <v>404</v>
      </c>
      <c r="C157" s="40" t="s">
        <v>405</v>
      </c>
      <c r="D157" s="40">
        <v>61</v>
      </c>
      <c r="E157" s="41">
        <v>23813</v>
      </c>
      <c r="F157" s="40" t="s">
        <v>76</v>
      </c>
      <c r="G157" s="40" t="s">
        <v>71</v>
      </c>
      <c r="H157" s="42">
        <v>26300</v>
      </c>
      <c r="I157" s="40">
        <v>40000</v>
      </c>
      <c r="J157" s="40" t="s">
        <v>28</v>
      </c>
      <c r="K157" s="40" t="s">
        <v>265</v>
      </c>
      <c r="L157" s="40"/>
      <c r="M157" s="40" t="s">
        <v>28</v>
      </c>
      <c r="N157" s="40">
        <v>16500</v>
      </c>
    </row>
    <row r="158" spans="1:14">
      <c r="A158" s="40" t="s">
        <v>23</v>
      </c>
      <c r="B158" s="40" t="s">
        <v>406</v>
      </c>
      <c r="C158" s="40" t="s">
        <v>407</v>
      </c>
      <c r="D158" s="40">
        <v>53</v>
      </c>
      <c r="E158" s="41">
        <v>26631</v>
      </c>
      <c r="F158" s="40" t="s">
        <v>194</v>
      </c>
      <c r="G158" s="40" t="s">
        <v>408</v>
      </c>
      <c r="H158" s="42">
        <v>22700</v>
      </c>
      <c r="I158" s="40">
        <v>42500</v>
      </c>
      <c r="J158" s="40" t="s">
        <v>28</v>
      </c>
      <c r="K158" s="40">
        <v>25</v>
      </c>
      <c r="L158" s="40"/>
      <c r="M158" s="40" t="s">
        <v>28</v>
      </c>
      <c r="N158" s="40">
        <v>86000</v>
      </c>
    </row>
    <row r="159" spans="1:14">
      <c r="A159" s="40" t="s">
        <v>23</v>
      </c>
      <c r="B159" s="40" t="s">
        <v>409</v>
      </c>
      <c r="C159" s="40" t="s">
        <v>410</v>
      </c>
      <c r="D159" s="40">
        <v>48</v>
      </c>
      <c r="E159" s="41">
        <v>28673</v>
      </c>
      <c r="F159" s="40" t="s">
        <v>194</v>
      </c>
      <c r="G159" s="40" t="s">
        <v>408</v>
      </c>
      <c r="H159" s="42">
        <v>2300</v>
      </c>
      <c r="I159" s="40">
        <v>26500</v>
      </c>
      <c r="J159" s="40" t="s">
        <v>41</v>
      </c>
      <c r="K159" s="40">
        <v>44</v>
      </c>
      <c r="L159" s="40"/>
      <c r="M159" s="40" t="s">
        <v>41</v>
      </c>
      <c r="N159" s="40">
        <v>81000</v>
      </c>
    </row>
    <row r="160" spans="1:14">
      <c r="A160" s="40" t="s">
        <v>29</v>
      </c>
      <c r="B160" s="40" t="s">
        <v>411</v>
      </c>
      <c r="C160" s="40" t="s">
        <v>412</v>
      </c>
      <c r="D160" s="40"/>
      <c r="E160" s="41">
        <v>38001</v>
      </c>
      <c r="F160" s="40" t="s">
        <v>111</v>
      </c>
      <c r="G160" s="40" t="s">
        <v>104</v>
      </c>
      <c r="H160" s="40">
        <v>2100</v>
      </c>
      <c r="I160" s="40">
        <v>79500</v>
      </c>
      <c r="J160" s="40" t="s">
        <v>28</v>
      </c>
      <c r="K160" s="40">
        <v>29</v>
      </c>
      <c r="L160" s="40"/>
      <c r="M160" s="40" t="s">
        <v>28</v>
      </c>
      <c r="N160" s="40">
        <v>64000</v>
      </c>
    </row>
    <row r="161" spans="1:14">
      <c r="A161" s="40" t="s">
        <v>29</v>
      </c>
      <c r="B161" s="40" t="s">
        <v>413</v>
      </c>
      <c r="C161" s="40" t="s">
        <v>414</v>
      </c>
      <c r="D161" s="40">
        <v>33</v>
      </c>
      <c r="E161" s="41">
        <v>33955</v>
      </c>
      <c r="F161" s="40" t="s">
        <v>119</v>
      </c>
      <c r="G161" s="40" t="s">
        <v>91</v>
      </c>
      <c r="H161" s="40">
        <v>25700</v>
      </c>
      <c r="I161" s="40">
        <v>35000</v>
      </c>
      <c r="J161" s="40" t="s">
        <v>49</v>
      </c>
      <c r="K161" s="40">
        <v>40</v>
      </c>
      <c r="L161" s="40"/>
      <c r="M161" s="40" t="s">
        <v>49</v>
      </c>
      <c r="N161" s="40">
        <v>1000</v>
      </c>
    </row>
    <row r="162" spans="1:14">
      <c r="A162" s="40" t="s">
        <v>29</v>
      </c>
      <c r="B162" s="40" t="s">
        <v>415</v>
      </c>
      <c r="C162" s="40">
        <v>27300</v>
      </c>
      <c r="D162" s="40">
        <v>66</v>
      </c>
      <c r="E162" s="41">
        <v>21873</v>
      </c>
      <c r="F162" s="40" t="s">
        <v>111</v>
      </c>
      <c r="G162" s="40" t="s">
        <v>91</v>
      </c>
      <c r="H162" s="42">
        <v>9900</v>
      </c>
      <c r="I162" s="40" t="s">
        <v>416</v>
      </c>
      <c r="J162" s="40" t="s">
        <v>49</v>
      </c>
      <c r="K162" s="40">
        <v>13</v>
      </c>
      <c r="L162" s="40"/>
      <c r="M162" s="40" t="s">
        <v>49</v>
      </c>
      <c r="N162" s="40">
        <v>37000</v>
      </c>
    </row>
    <row r="163" spans="1:14">
      <c r="A163" s="40" t="s">
        <v>123</v>
      </c>
      <c r="B163" s="40" t="s">
        <v>417</v>
      </c>
      <c r="C163" s="40">
        <v>33700</v>
      </c>
      <c r="D163" s="40">
        <v>44</v>
      </c>
      <c r="E163" s="41">
        <v>30167</v>
      </c>
      <c r="F163" s="40" t="s">
        <v>97</v>
      </c>
      <c r="G163" s="40"/>
      <c r="H163" s="40">
        <v>5500</v>
      </c>
      <c r="I163" s="42">
        <v>26000</v>
      </c>
      <c r="J163" s="40" t="s">
        <v>49</v>
      </c>
      <c r="K163" s="40" t="s">
        <v>418</v>
      </c>
      <c r="L163" s="40"/>
      <c r="M163" s="40" t="s">
        <v>49</v>
      </c>
      <c r="N163" s="40">
        <v>64000</v>
      </c>
    </row>
    <row r="164" spans="1:14">
      <c r="A164" s="40" t="s">
        <v>29</v>
      </c>
      <c r="B164" s="40" t="s">
        <v>419</v>
      </c>
      <c r="C164" s="40" t="s">
        <v>420</v>
      </c>
      <c r="D164" s="40">
        <v>33</v>
      </c>
      <c r="E164" s="41">
        <v>34154</v>
      </c>
      <c r="F164" s="40" t="s">
        <v>90</v>
      </c>
      <c r="G164" s="40" t="s">
        <v>91</v>
      </c>
      <c r="H164" s="40">
        <v>2400</v>
      </c>
      <c r="I164" s="42">
        <v>78000</v>
      </c>
      <c r="J164" s="40" t="s">
        <v>49</v>
      </c>
      <c r="K164" s="40">
        <v>6</v>
      </c>
      <c r="L164" s="40"/>
      <c r="M164" s="40" t="s">
        <v>49</v>
      </c>
      <c r="N164" s="40">
        <v>28000</v>
      </c>
    </row>
    <row r="165" spans="1:14">
      <c r="A165" s="40" t="s">
        <v>23</v>
      </c>
      <c r="B165" s="40" t="s">
        <v>421</v>
      </c>
      <c r="C165" s="40" t="s">
        <v>422</v>
      </c>
      <c r="D165" s="40">
        <v>51</v>
      </c>
      <c r="E165" s="41">
        <v>27505</v>
      </c>
      <c r="F165" s="40" t="s">
        <v>423</v>
      </c>
      <c r="G165" s="40"/>
      <c r="H165" s="42">
        <v>7200</v>
      </c>
      <c r="I165" s="40" t="s">
        <v>424</v>
      </c>
      <c r="J165" s="40" t="s">
        <v>28</v>
      </c>
      <c r="K165" s="40">
        <v>40</v>
      </c>
      <c r="L165" s="40"/>
      <c r="M165" s="40" t="s">
        <v>28</v>
      </c>
      <c r="N165" s="40">
        <v>5500</v>
      </c>
    </row>
    <row r="166" spans="1:14">
      <c r="A166" s="40" t="s">
        <v>395</v>
      </c>
      <c r="B166" s="40" t="s">
        <v>425</v>
      </c>
      <c r="C166" s="40"/>
      <c r="D166" s="40">
        <v>61</v>
      </c>
      <c r="E166" s="41">
        <v>23932</v>
      </c>
      <c r="F166" s="40" t="s">
        <v>87</v>
      </c>
      <c r="G166" s="40" t="s">
        <v>88</v>
      </c>
      <c r="H166" s="40">
        <v>4100</v>
      </c>
      <c r="I166" s="40">
        <v>78000</v>
      </c>
      <c r="J166" s="40" t="s">
        <v>49</v>
      </c>
      <c r="K166" s="40">
        <v>25</v>
      </c>
      <c r="L166" s="40"/>
      <c r="M166" s="40" t="s">
        <v>49</v>
      </c>
      <c r="N166" s="40">
        <v>48000</v>
      </c>
    </row>
    <row r="167" spans="1:14">
      <c r="A167" s="40" t="s">
        <v>23</v>
      </c>
      <c r="B167" s="40" t="s">
        <v>426</v>
      </c>
      <c r="C167" s="40">
        <v>18800</v>
      </c>
      <c r="D167" s="40">
        <v>43</v>
      </c>
      <c r="E167" s="41">
        <v>30355</v>
      </c>
      <c r="F167" s="40" t="s">
        <v>103</v>
      </c>
      <c r="G167" s="40" t="s">
        <v>91</v>
      </c>
      <c r="H167" s="42">
        <v>21700</v>
      </c>
      <c r="I167" s="40">
        <v>31000</v>
      </c>
      <c r="J167" s="40" t="s">
        <v>49</v>
      </c>
      <c r="K167" s="40">
        <v>27</v>
      </c>
      <c r="L167" s="40"/>
      <c r="M167" s="40" t="s">
        <v>49</v>
      </c>
      <c r="N167" s="40">
        <v>45500</v>
      </c>
    </row>
    <row r="168" spans="1:14">
      <c r="A168" s="40" t="s">
        <v>23</v>
      </c>
      <c r="B168" s="40" t="s">
        <v>427</v>
      </c>
      <c r="C168" s="40" t="s">
        <v>428</v>
      </c>
      <c r="D168" s="40">
        <v>56</v>
      </c>
      <c r="E168" s="41">
        <v>25808</v>
      </c>
      <c r="F168" s="40" t="s">
        <v>97</v>
      </c>
      <c r="G168" s="40" t="s">
        <v>98</v>
      </c>
      <c r="H168" s="40">
        <v>5400</v>
      </c>
      <c r="I168" s="40">
        <v>61000</v>
      </c>
      <c r="J168" s="40" t="s">
        <v>49</v>
      </c>
      <c r="K168" s="40">
        <v>12</v>
      </c>
      <c r="L168" s="40"/>
      <c r="M168" s="40" t="s">
        <v>49</v>
      </c>
      <c r="N168" s="40">
        <v>96500</v>
      </c>
    </row>
    <row r="169" spans="1:14">
      <c r="A169" s="40" t="s">
        <v>54</v>
      </c>
      <c r="B169" s="40" t="s">
        <v>429</v>
      </c>
      <c r="C169" s="40">
        <v>10200</v>
      </c>
      <c r="D169" s="40">
        <v>35</v>
      </c>
      <c r="E169" s="41">
        <v>33444</v>
      </c>
      <c r="F169" s="40" t="s">
        <v>37</v>
      </c>
      <c r="G169" s="40" t="s">
        <v>38</v>
      </c>
      <c r="H169" s="43">
        <v>8400</v>
      </c>
      <c r="I169" s="40">
        <v>62500</v>
      </c>
      <c r="J169" s="40" t="s">
        <v>49</v>
      </c>
      <c r="K169" s="40">
        <v>31</v>
      </c>
      <c r="L169" s="40"/>
      <c r="M169" s="40" t="s">
        <v>49</v>
      </c>
      <c r="N169" s="40">
        <v>83500</v>
      </c>
    </row>
    <row r="170" spans="1:14">
      <c r="A170" s="40" t="s">
        <v>29</v>
      </c>
      <c r="B170" s="40" t="s">
        <v>430</v>
      </c>
      <c r="C170" s="40" t="s">
        <v>431</v>
      </c>
      <c r="D170" s="40">
        <v>44</v>
      </c>
      <c r="E170" s="41">
        <v>29948</v>
      </c>
      <c r="F170" s="40" t="s">
        <v>133</v>
      </c>
      <c r="G170" s="40" t="s">
        <v>133</v>
      </c>
      <c r="H170" s="40"/>
      <c r="I170" s="40">
        <v>0</v>
      </c>
      <c r="J170" s="40" t="s">
        <v>49</v>
      </c>
      <c r="K170" s="40">
        <v>4</v>
      </c>
      <c r="L170" s="40"/>
      <c r="M170" s="40" t="s">
        <v>49</v>
      </c>
      <c r="N170" s="40">
        <v>80000</v>
      </c>
    </row>
    <row r="171" spans="1:14">
      <c r="A171" s="40" t="s">
        <v>29</v>
      </c>
      <c r="B171" s="40" t="s">
        <v>432</v>
      </c>
      <c r="C171" s="40" t="s">
        <v>433</v>
      </c>
      <c r="D171" s="40">
        <v>31</v>
      </c>
      <c r="E171" s="41">
        <v>34738</v>
      </c>
      <c r="F171" s="40" t="s">
        <v>97</v>
      </c>
      <c r="G171" s="40" t="s">
        <v>98</v>
      </c>
      <c r="H171" s="40">
        <v>22600</v>
      </c>
      <c r="I171" s="40">
        <v>58000</v>
      </c>
      <c r="J171" s="40" t="s">
        <v>140</v>
      </c>
      <c r="K171" s="40" t="s">
        <v>434</v>
      </c>
      <c r="L171" s="40"/>
      <c r="M171" s="40" t="s">
        <v>140</v>
      </c>
      <c r="N171" s="40">
        <v>26500</v>
      </c>
    </row>
    <row r="172" spans="1:14">
      <c r="A172" s="40" t="s">
        <v>29</v>
      </c>
      <c r="B172" s="40" t="s">
        <v>165</v>
      </c>
      <c r="C172" s="40">
        <v>4000</v>
      </c>
      <c r="D172" s="40">
        <v>48</v>
      </c>
      <c r="E172" s="41">
        <v>28663</v>
      </c>
      <c r="F172" s="40" t="s">
        <v>174</v>
      </c>
      <c r="G172" s="40" t="s">
        <v>38</v>
      </c>
      <c r="H172" s="40">
        <v>24700</v>
      </c>
      <c r="I172" s="40">
        <v>30500</v>
      </c>
      <c r="J172" s="40" t="s">
        <v>49</v>
      </c>
      <c r="K172" s="40">
        <v>34</v>
      </c>
      <c r="L172" s="40"/>
      <c r="M172" s="40" t="s">
        <v>49</v>
      </c>
      <c r="N172" s="40">
        <v>87500</v>
      </c>
    </row>
    <row r="173" spans="1:14">
      <c r="A173" s="40" t="s">
        <v>29</v>
      </c>
      <c r="B173" s="40" t="s">
        <v>435</v>
      </c>
      <c r="C173" s="40" t="s">
        <v>436</v>
      </c>
      <c r="D173" s="40">
        <v>30</v>
      </c>
      <c r="E173" s="41">
        <v>35213</v>
      </c>
      <c r="F173" s="40" t="s">
        <v>294</v>
      </c>
      <c r="G173" s="40"/>
      <c r="H173" s="40">
        <v>3900</v>
      </c>
      <c r="I173" s="40">
        <v>45000</v>
      </c>
      <c r="J173" s="40" t="s">
        <v>49</v>
      </c>
      <c r="K173" s="40">
        <v>34</v>
      </c>
      <c r="L173" s="40"/>
      <c r="M173" s="40" t="s">
        <v>49</v>
      </c>
      <c r="N173" s="40">
        <v>41500</v>
      </c>
    </row>
    <row r="174" spans="1:14">
      <c r="A174" s="40" t="s">
        <v>29</v>
      </c>
      <c r="B174" s="40" t="s">
        <v>437</v>
      </c>
      <c r="C174" s="40" t="s">
        <v>438</v>
      </c>
      <c r="D174" s="40">
        <v>21</v>
      </c>
      <c r="E174" s="41">
        <v>38328</v>
      </c>
      <c r="F174" s="40" t="s">
        <v>61</v>
      </c>
      <c r="G174" s="40" t="s">
        <v>216</v>
      </c>
      <c r="H174" s="40">
        <v>4400</v>
      </c>
      <c r="I174" s="40">
        <v>23500</v>
      </c>
      <c r="J174" s="40" t="s">
        <v>28</v>
      </c>
      <c r="K174" s="40">
        <v>31</v>
      </c>
      <c r="L174" s="40"/>
      <c r="M174" s="40" t="s">
        <v>28</v>
      </c>
      <c r="N174" s="40">
        <v>91000</v>
      </c>
    </row>
    <row r="175" spans="1:14">
      <c r="A175" s="40" t="s">
        <v>23</v>
      </c>
      <c r="B175" s="40" t="s">
        <v>439</v>
      </c>
      <c r="C175" s="40">
        <v>30000</v>
      </c>
      <c r="D175" s="40">
        <v>48</v>
      </c>
      <c r="E175" s="41">
        <v>28509</v>
      </c>
      <c r="F175" s="40" t="s">
        <v>118</v>
      </c>
      <c r="G175" s="40" t="s">
        <v>95</v>
      </c>
      <c r="H175" s="40" t="s">
        <v>440</v>
      </c>
      <c r="I175" s="42">
        <v>9000</v>
      </c>
      <c r="J175" s="40">
        <v>0</v>
      </c>
      <c r="K175" s="40">
        <v>28</v>
      </c>
      <c r="L175" s="40"/>
      <c r="M175" s="40">
        <v>0</v>
      </c>
      <c r="N175" s="40">
        <v>80000</v>
      </c>
    </row>
    <row r="176" spans="1:14">
      <c r="A176" s="40" t="s">
        <v>23</v>
      </c>
      <c r="B176" s="40" t="s">
        <v>441</v>
      </c>
      <c r="C176" s="40" t="s">
        <v>442</v>
      </c>
      <c r="D176" s="40"/>
      <c r="E176" s="41">
        <v>25925</v>
      </c>
      <c r="F176" s="40" t="s">
        <v>61</v>
      </c>
      <c r="G176" s="40" t="s">
        <v>216</v>
      </c>
      <c r="H176" s="42">
        <v>20200</v>
      </c>
      <c r="I176" s="40">
        <v>61000</v>
      </c>
      <c r="J176" s="40" t="s">
        <v>49</v>
      </c>
      <c r="K176" s="40">
        <v>10</v>
      </c>
      <c r="L176" s="40"/>
      <c r="M176" s="40" t="s">
        <v>49</v>
      </c>
      <c r="N176" s="40">
        <v>6500</v>
      </c>
    </row>
    <row r="177" spans="1:14">
      <c r="A177" s="40"/>
      <c r="B177" s="40" t="s">
        <v>443</v>
      </c>
      <c r="C177" s="40" t="s">
        <v>444</v>
      </c>
      <c r="D177" s="40">
        <v>56</v>
      </c>
      <c r="E177" s="41">
        <v>25705</v>
      </c>
      <c r="F177" s="40" t="s">
        <v>174</v>
      </c>
      <c r="G177" s="40" t="s">
        <v>38</v>
      </c>
      <c r="H177" s="42">
        <v>11100</v>
      </c>
      <c r="I177" s="42">
        <v>13000</v>
      </c>
      <c r="J177" s="40" t="s">
        <v>49</v>
      </c>
      <c r="K177" s="40">
        <v>38</v>
      </c>
      <c r="L177" s="40"/>
      <c r="M177" s="40" t="s">
        <v>49</v>
      </c>
      <c r="N177" s="40">
        <v>88000</v>
      </c>
    </row>
    <row r="178" spans="1:14">
      <c r="A178" s="40" t="s">
        <v>23</v>
      </c>
      <c r="B178" s="40" t="s">
        <v>445</v>
      </c>
      <c r="C178" s="40" t="s">
        <v>446</v>
      </c>
      <c r="D178" s="40">
        <v>62</v>
      </c>
      <c r="E178" s="41">
        <v>23337</v>
      </c>
      <c r="F178" s="40" t="s">
        <v>37</v>
      </c>
      <c r="G178" s="40" t="s">
        <v>38</v>
      </c>
      <c r="H178" s="40">
        <v>11900</v>
      </c>
      <c r="I178" s="43">
        <v>58500</v>
      </c>
      <c r="J178" s="40" t="s">
        <v>49</v>
      </c>
      <c r="K178" s="40">
        <v>37</v>
      </c>
      <c r="L178" s="40"/>
      <c r="M178" s="40" t="s">
        <v>49</v>
      </c>
      <c r="N178" s="40">
        <v>48000</v>
      </c>
    </row>
    <row r="179" spans="1:14">
      <c r="A179" s="40" t="s">
        <v>23</v>
      </c>
      <c r="B179" s="40" t="s">
        <v>447</v>
      </c>
      <c r="C179" s="40" t="s">
        <v>448</v>
      </c>
      <c r="D179" s="40">
        <v>26</v>
      </c>
      <c r="E179" s="41">
        <v>36619</v>
      </c>
      <c r="F179" s="40" t="s">
        <v>118</v>
      </c>
      <c r="G179" s="40" t="s">
        <v>88</v>
      </c>
      <c r="H179" s="40" t="s">
        <v>449</v>
      </c>
      <c r="I179" s="40">
        <v>42500</v>
      </c>
      <c r="J179" s="40" t="s">
        <v>28</v>
      </c>
      <c r="K179" s="40">
        <v>29</v>
      </c>
      <c r="L179" s="40"/>
      <c r="M179" s="40" t="s">
        <v>28</v>
      </c>
      <c r="N179" s="40">
        <v>66000</v>
      </c>
    </row>
    <row r="180" spans="1:14">
      <c r="A180" s="40" t="s">
        <v>23</v>
      </c>
      <c r="B180" s="40" t="s">
        <v>450</v>
      </c>
      <c r="C180" s="40" t="s">
        <v>451</v>
      </c>
      <c r="D180" s="40">
        <v>30</v>
      </c>
      <c r="E180" s="41">
        <v>35109</v>
      </c>
      <c r="F180" s="40" t="s">
        <v>31</v>
      </c>
      <c r="G180" s="40" t="s">
        <v>84</v>
      </c>
      <c r="H180" s="40">
        <v>2600</v>
      </c>
      <c r="I180" s="40">
        <v>62000</v>
      </c>
      <c r="J180" s="40" t="s">
        <v>49</v>
      </c>
      <c r="K180" s="40">
        <v>22</v>
      </c>
      <c r="L180" s="40"/>
      <c r="M180" s="40" t="s">
        <v>49</v>
      </c>
      <c r="N180" s="40">
        <v>62000</v>
      </c>
    </row>
    <row r="181" spans="1:14">
      <c r="A181" s="40" t="s">
        <v>23</v>
      </c>
      <c r="B181" s="40" t="s">
        <v>452</v>
      </c>
      <c r="C181" s="40" t="s">
        <v>453</v>
      </c>
      <c r="D181" s="40"/>
      <c r="E181" s="41">
        <v>19168</v>
      </c>
      <c r="F181" s="40" t="s">
        <v>61</v>
      </c>
      <c r="G181" s="40" t="s">
        <v>81</v>
      </c>
      <c r="H181" s="40">
        <v>25000</v>
      </c>
      <c r="I181" s="40">
        <v>0</v>
      </c>
      <c r="J181" s="40" t="s">
        <v>49</v>
      </c>
      <c r="K181" s="40">
        <v>3</v>
      </c>
      <c r="L181" s="40"/>
      <c r="M181" s="40" t="s">
        <v>49</v>
      </c>
      <c r="N181" s="40">
        <v>2500</v>
      </c>
    </row>
    <row r="182" spans="1:14">
      <c r="A182" s="40" t="s">
        <v>29</v>
      </c>
      <c r="B182" s="40" t="s">
        <v>454</v>
      </c>
      <c r="C182" s="40" t="s">
        <v>455</v>
      </c>
      <c r="D182" s="40">
        <v>65</v>
      </c>
      <c r="E182" s="41">
        <v>22205</v>
      </c>
      <c r="F182" s="40" t="s">
        <v>90</v>
      </c>
      <c r="G182" s="40" t="s">
        <v>91</v>
      </c>
      <c r="H182" s="40">
        <v>19800</v>
      </c>
      <c r="I182" s="43">
        <v>78500</v>
      </c>
      <c r="J182" s="40" t="s">
        <v>49</v>
      </c>
      <c r="K182" s="40">
        <v>34</v>
      </c>
      <c r="L182" s="40"/>
      <c r="M182" s="40" t="s">
        <v>49</v>
      </c>
      <c r="N182" s="40">
        <v>23000</v>
      </c>
    </row>
    <row r="183" spans="1:14">
      <c r="A183" s="40" t="s">
        <v>29</v>
      </c>
      <c r="B183" s="40" t="s">
        <v>456</v>
      </c>
      <c r="C183" s="40" t="s">
        <v>457</v>
      </c>
      <c r="D183" s="40">
        <v>58</v>
      </c>
      <c r="E183" s="41">
        <v>24726</v>
      </c>
      <c r="F183" s="40" t="s">
        <v>70</v>
      </c>
      <c r="G183" s="40" t="s">
        <v>71</v>
      </c>
      <c r="H183" s="40" t="s">
        <v>458</v>
      </c>
      <c r="I183" s="40">
        <v>40000</v>
      </c>
      <c r="J183" s="40" t="s">
        <v>49</v>
      </c>
      <c r="K183" s="40">
        <v>16</v>
      </c>
      <c r="L183" s="40"/>
      <c r="M183" s="40" t="s">
        <v>49</v>
      </c>
      <c r="N183" s="40">
        <v>98500</v>
      </c>
    </row>
    <row r="184" spans="1:14">
      <c r="A184" s="40" t="s">
        <v>23</v>
      </c>
      <c r="B184" s="40" t="s">
        <v>459</v>
      </c>
      <c r="C184" s="40" t="s">
        <v>460</v>
      </c>
      <c r="D184" s="40">
        <v>45</v>
      </c>
      <c r="E184" s="41">
        <v>29769</v>
      </c>
      <c r="F184" s="40" t="s">
        <v>31</v>
      </c>
      <c r="G184" s="40" t="s">
        <v>137</v>
      </c>
      <c r="H184" s="40">
        <v>24400</v>
      </c>
      <c r="I184" s="42">
        <v>7500</v>
      </c>
      <c r="J184" s="40" t="s">
        <v>140</v>
      </c>
      <c r="K184" s="40">
        <v>13</v>
      </c>
      <c r="L184" s="40"/>
      <c r="M184" s="40" t="s">
        <v>140</v>
      </c>
      <c r="N184" s="40">
        <v>95000</v>
      </c>
    </row>
    <row r="185" spans="1:14">
      <c r="A185" s="40" t="s">
        <v>23</v>
      </c>
      <c r="B185" s="40" t="s">
        <v>461</v>
      </c>
      <c r="C185" s="40">
        <v>34800</v>
      </c>
      <c r="D185" s="40">
        <v>26</v>
      </c>
      <c r="E185" s="41">
        <v>36596</v>
      </c>
      <c r="F185" s="40" t="s">
        <v>103</v>
      </c>
      <c r="G185" s="40" t="s">
        <v>126</v>
      </c>
      <c r="H185" s="40">
        <v>3500</v>
      </c>
      <c r="I185" s="40">
        <v>50000</v>
      </c>
      <c r="J185" s="40">
        <v>0</v>
      </c>
      <c r="K185" s="40">
        <v>40</v>
      </c>
      <c r="L185" s="40"/>
      <c r="M185" s="40">
        <v>0</v>
      </c>
      <c r="N185" s="40">
        <v>46500</v>
      </c>
    </row>
    <row r="186" spans="1:14">
      <c r="A186" s="40" t="s">
        <v>23</v>
      </c>
      <c r="B186" s="40" t="s">
        <v>462</v>
      </c>
      <c r="C186" s="40" t="s">
        <v>463</v>
      </c>
      <c r="D186" s="40">
        <v>42</v>
      </c>
      <c r="E186" s="41">
        <v>30898</v>
      </c>
      <c r="F186" s="40" t="s">
        <v>52</v>
      </c>
      <c r="G186" s="40"/>
      <c r="H186" s="40">
        <v>20800</v>
      </c>
      <c r="I186" s="42">
        <v>54000</v>
      </c>
      <c r="J186" s="40" t="s">
        <v>49</v>
      </c>
      <c r="K186" s="40">
        <v>4</v>
      </c>
      <c r="L186" s="40"/>
      <c r="M186" s="40" t="s">
        <v>49</v>
      </c>
      <c r="N186" s="40">
        <v>73500</v>
      </c>
    </row>
    <row r="187" spans="1:14">
      <c r="A187" s="40" t="s">
        <v>29</v>
      </c>
      <c r="B187" s="40" t="s">
        <v>464</v>
      </c>
      <c r="C187" s="40" t="s">
        <v>465</v>
      </c>
      <c r="D187" s="40">
        <v>66</v>
      </c>
      <c r="E187" s="41">
        <v>21954</v>
      </c>
      <c r="F187" s="40" t="s">
        <v>174</v>
      </c>
      <c r="G187" s="40" t="s">
        <v>114</v>
      </c>
      <c r="H187" s="40">
        <v>3400</v>
      </c>
      <c r="I187" s="40">
        <v>78000</v>
      </c>
      <c r="J187" s="40" t="s">
        <v>49</v>
      </c>
      <c r="K187" s="40">
        <v>9</v>
      </c>
      <c r="L187" s="40"/>
      <c r="M187" s="40" t="s">
        <v>49</v>
      </c>
      <c r="N187" s="40">
        <v>51500</v>
      </c>
    </row>
    <row r="188" spans="1:14">
      <c r="A188" s="40" t="s">
        <v>395</v>
      </c>
      <c r="B188" s="40" t="s">
        <v>466</v>
      </c>
      <c r="C188" s="40" t="s">
        <v>467</v>
      </c>
      <c r="D188" s="40">
        <v>49</v>
      </c>
      <c r="E188" s="41">
        <v>28049</v>
      </c>
      <c r="F188" s="40" t="s">
        <v>90</v>
      </c>
      <c r="G188" s="40" t="s">
        <v>91</v>
      </c>
      <c r="H188" s="40">
        <v>25200</v>
      </c>
      <c r="I188" s="40">
        <v>59500</v>
      </c>
      <c r="J188" s="40" t="s">
        <v>49</v>
      </c>
      <c r="K188" s="40">
        <v>37</v>
      </c>
      <c r="L188" s="40"/>
      <c r="M188" s="40" t="s">
        <v>49</v>
      </c>
      <c r="N188" s="40">
        <v>86500</v>
      </c>
    </row>
    <row r="189" spans="1:14">
      <c r="A189" s="40" t="s">
        <v>23</v>
      </c>
      <c r="B189" s="40" t="s">
        <v>468</v>
      </c>
      <c r="C189" s="40" t="s">
        <v>469</v>
      </c>
      <c r="D189" s="40">
        <v>60</v>
      </c>
      <c r="E189" s="41">
        <v>24021</v>
      </c>
      <c r="F189" s="40" t="s">
        <v>119</v>
      </c>
      <c r="G189" s="40" t="s">
        <v>104</v>
      </c>
      <c r="H189" s="40">
        <v>22900</v>
      </c>
      <c r="I189" s="40">
        <v>4500</v>
      </c>
      <c r="J189" s="40" t="s">
        <v>28</v>
      </c>
      <c r="K189" s="40">
        <v>29</v>
      </c>
      <c r="L189" s="40"/>
      <c r="M189" s="40" t="s">
        <v>28</v>
      </c>
      <c r="N189" s="40">
        <v>43500</v>
      </c>
    </row>
    <row r="190" spans="1:14">
      <c r="A190" s="40" t="s">
        <v>470</v>
      </c>
      <c r="B190" s="40" t="s">
        <v>471</v>
      </c>
      <c r="C190" s="40">
        <v>17500</v>
      </c>
      <c r="D190" s="40">
        <v>60</v>
      </c>
      <c r="E190" s="41">
        <v>24091</v>
      </c>
      <c r="F190" s="40" t="s">
        <v>52</v>
      </c>
      <c r="G190" s="40" t="s">
        <v>57</v>
      </c>
      <c r="H190" s="40">
        <v>10100</v>
      </c>
      <c r="I190" s="40">
        <v>55000</v>
      </c>
      <c r="J190" s="40" t="s">
        <v>49</v>
      </c>
      <c r="K190" s="40">
        <v>26</v>
      </c>
      <c r="L190" s="40"/>
      <c r="M190" s="40" t="s">
        <v>49</v>
      </c>
      <c r="N190" s="40">
        <v>54000</v>
      </c>
    </row>
    <row r="191" spans="1:14">
      <c r="A191" s="40" t="s">
        <v>23</v>
      </c>
      <c r="B191" s="40" t="s">
        <v>472</v>
      </c>
      <c r="C191" s="40">
        <v>16300</v>
      </c>
      <c r="D191" s="40" t="s">
        <v>473</v>
      </c>
      <c r="E191" s="41">
        <v>36255</v>
      </c>
      <c r="F191" s="40" t="s">
        <v>90</v>
      </c>
      <c r="G191" s="40" t="s">
        <v>91</v>
      </c>
      <c r="H191" s="40">
        <v>14000</v>
      </c>
      <c r="I191" s="40">
        <v>63500</v>
      </c>
      <c r="J191" s="40" t="s">
        <v>49</v>
      </c>
      <c r="K191" s="40">
        <v>24</v>
      </c>
      <c r="L191" s="40"/>
      <c r="M191" s="40" t="s">
        <v>49</v>
      </c>
      <c r="N191" s="40">
        <v>87000</v>
      </c>
    </row>
    <row r="192" spans="1:14">
      <c r="A192" s="40" t="s">
        <v>23</v>
      </c>
      <c r="B192" s="40" t="s">
        <v>474</v>
      </c>
      <c r="C192" s="40" t="s">
        <v>475</v>
      </c>
      <c r="D192" s="40">
        <v>53</v>
      </c>
      <c r="E192" s="41">
        <v>26898</v>
      </c>
      <c r="F192" s="40" t="s">
        <v>111</v>
      </c>
      <c r="G192" s="40" t="s">
        <v>91</v>
      </c>
      <c r="H192" s="40">
        <v>27100</v>
      </c>
      <c r="I192" s="40">
        <v>68000</v>
      </c>
      <c r="J192" s="40" t="s">
        <v>49</v>
      </c>
      <c r="K192" s="40" t="s">
        <v>476</v>
      </c>
      <c r="L192" s="40"/>
      <c r="M192" s="40" t="s">
        <v>49</v>
      </c>
      <c r="N192" s="40">
        <v>49500</v>
      </c>
    </row>
    <row r="193" spans="1:14">
      <c r="A193" s="40" t="s">
        <v>23</v>
      </c>
      <c r="B193" s="40" t="s">
        <v>477</v>
      </c>
      <c r="C193" s="40" t="s">
        <v>478</v>
      </c>
      <c r="D193" s="40">
        <v>37</v>
      </c>
      <c r="E193" s="41">
        <v>32414</v>
      </c>
      <c r="F193" s="40" t="s">
        <v>479</v>
      </c>
      <c r="G193" s="40"/>
      <c r="H193" s="40">
        <v>12800</v>
      </c>
      <c r="I193" s="40">
        <v>76500</v>
      </c>
      <c r="J193" s="40" t="s">
        <v>49</v>
      </c>
      <c r="K193" s="40" t="s">
        <v>418</v>
      </c>
      <c r="L193" s="40"/>
      <c r="M193" s="40" t="s">
        <v>49</v>
      </c>
      <c r="N193" s="40">
        <v>18500</v>
      </c>
    </row>
    <row r="194" spans="1:14">
      <c r="A194" s="40" t="s">
        <v>23</v>
      </c>
      <c r="B194" s="40" t="s">
        <v>480</v>
      </c>
      <c r="C194" s="40">
        <v>35000</v>
      </c>
      <c r="D194" s="40">
        <v>18</v>
      </c>
      <c r="E194" s="41">
        <v>39342</v>
      </c>
      <c r="F194" s="40" t="s">
        <v>97</v>
      </c>
      <c r="G194" s="40" t="s">
        <v>98</v>
      </c>
      <c r="H194" s="40">
        <v>28900</v>
      </c>
      <c r="I194" s="40">
        <v>22000</v>
      </c>
      <c r="J194" s="40" t="s">
        <v>49</v>
      </c>
      <c r="K194" s="40">
        <v>23</v>
      </c>
      <c r="L194" s="40"/>
      <c r="M194" s="40" t="s">
        <v>49</v>
      </c>
      <c r="N194" s="40">
        <v>90000</v>
      </c>
    </row>
    <row r="195" spans="1:14">
      <c r="A195" s="40" t="s">
        <v>23</v>
      </c>
      <c r="B195" s="40" t="s">
        <v>243</v>
      </c>
      <c r="C195" s="40" t="s">
        <v>244</v>
      </c>
      <c r="D195" s="40">
        <v>27</v>
      </c>
      <c r="E195" s="41">
        <v>36308</v>
      </c>
      <c r="F195" s="40" t="s">
        <v>87</v>
      </c>
      <c r="G195" s="40" t="s">
        <v>88</v>
      </c>
      <c r="H195" s="40">
        <v>5300</v>
      </c>
      <c r="I195" s="40" t="s">
        <v>245</v>
      </c>
      <c r="J195" s="40" t="s">
        <v>196</v>
      </c>
      <c r="K195" s="40">
        <v>11</v>
      </c>
      <c r="L195" s="40"/>
      <c r="M195" s="40" t="s">
        <v>196</v>
      </c>
      <c r="N195" s="40">
        <v>4500</v>
      </c>
    </row>
    <row r="196" spans="1:14">
      <c r="A196" s="40" t="s">
        <v>23</v>
      </c>
      <c r="B196" s="40" t="s">
        <v>481</v>
      </c>
      <c r="C196" s="40" t="s">
        <v>482</v>
      </c>
      <c r="D196" s="40">
        <v>25</v>
      </c>
      <c r="E196" s="41">
        <v>36824</v>
      </c>
      <c r="F196" s="40" t="s">
        <v>90</v>
      </c>
      <c r="G196" s="40" t="s">
        <v>91</v>
      </c>
      <c r="H196" s="40">
        <v>18300</v>
      </c>
      <c r="I196" s="40">
        <v>41000</v>
      </c>
      <c r="J196" s="40" t="s">
        <v>49</v>
      </c>
      <c r="K196" s="40">
        <v>9</v>
      </c>
      <c r="L196" s="40"/>
      <c r="M196" s="40" t="s">
        <v>49</v>
      </c>
      <c r="N196" s="40">
        <v>32500</v>
      </c>
    </row>
    <row r="197" spans="1:14">
      <c r="A197" s="40" t="s">
        <v>23</v>
      </c>
      <c r="B197" s="40" t="s">
        <v>483</v>
      </c>
      <c r="C197" s="40" t="s">
        <v>484</v>
      </c>
      <c r="D197" s="40">
        <v>55</v>
      </c>
      <c r="E197" s="41">
        <v>26103</v>
      </c>
      <c r="F197" s="40" t="s">
        <v>31</v>
      </c>
      <c r="G197" s="40" t="s">
        <v>32</v>
      </c>
      <c r="H197" s="40">
        <v>9600</v>
      </c>
      <c r="I197" s="40">
        <v>43000</v>
      </c>
      <c r="J197" s="40" t="s">
        <v>49</v>
      </c>
      <c r="K197" s="40">
        <v>36</v>
      </c>
      <c r="L197" s="40"/>
      <c r="M197" s="40" t="s">
        <v>49</v>
      </c>
      <c r="N197" s="40">
        <v>67500</v>
      </c>
    </row>
    <row r="198" spans="1:14">
      <c r="A198" s="40" t="s">
        <v>23</v>
      </c>
      <c r="B198" s="40" t="s">
        <v>485</v>
      </c>
      <c r="C198" s="40" t="s">
        <v>486</v>
      </c>
      <c r="D198" s="40">
        <v>23</v>
      </c>
      <c r="E198" s="41">
        <v>37530</v>
      </c>
      <c r="F198" s="40" t="s">
        <v>44</v>
      </c>
      <c r="G198" s="40"/>
      <c r="H198" s="40">
        <v>10700</v>
      </c>
      <c r="I198" s="40">
        <v>15000</v>
      </c>
      <c r="J198" s="40" t="s">
        <v>49</v>
      </c>
      <c r="K198" s="40">
        <v>42</v>
      </c>
      <c r="L198" s="40"/>
      <c r="M198" s="40" t="s">
        <v>49</v>
      </c>
      <c r="N198" s="40">
        <v>81500</v>
      </c>
    </row>
    <row r="199" spans="1:14">
      <c r="A199" s="40" t="s">
        <v>29</v>
      </c>
      <c r="B199" s="40" t="s">
        <v>487</v>
      </c>
      <c r="C199" s="40" t="s">
        <v>488</v>
      </c>
      <c r="D199" s="40">
        <v>58</v>
      </c>
      <c r="E199" s="41">
        <v>24872</v>
      </c>
      <c r="F199" s="40" t="s">
        <v>61</v>
      </c>
      <c r="G199" s="40" t="s">
        <v>216</v>
      </c>
      <c r="H199" s="42">
        <v>12500</v>
      </c>
      <c r="I199" s="43">
        <v>44500</v>
      </c>
      <c r="J199" s="40" t="s">
        <v>196</v>
      </c>
      <c r="K199" s="40">
        <v>13</v>
      </c>
      <c r="L199" s="40"/>
      <c r="M199" s="40" t="s">
        <v>196</v>
      </c>
      <c r="N199" s="40">
        <v>16000</v>
      </c>
    </row>
    <row r="200" spans="1:14">
      <c r="A200" s="40" t="s">
        <v>23</v>
      </c>
      <c r="B200" s="40" t="s">
        <v>489</v>
      </c>
      <c r="C200" s="40"/>
      <c r="D200" s="40">
        <v>24</v>
      </c>
      <c r="E200" s="40"/>
      <c r="F200" s="40" t="s">
        <v>37</v>
      </c>
      <c r="G200" s="40" t="s">
        <v>365</v>
      </c>
      <c r="H200" s="40">
        <v>17000</v>
      </c>
      <c r="I200" s="40">
        <v>41000</v>
      </c>
      <c r="J200" s="40" t="s">
        <v>49</v>
      </c>
      <c r="K200" s="40">
        <v>37</v>
      </c>
      <c r="L200" s="40"/>
      <c r="M200" s="40" t="s">
        <v>49</v>
      </c>
      <c r="N200" s="40">
        <v>33000</v>
      </c>
    </row>
    <row r="201" spans="1:14">
      <c r="A201" s="40" t="s">
        <v>23</v>
      </c>
      <c r="B201" s="40" t="s">
        <v>490</v>
      </c>
      <c r="C201" s="40">
        <v>7700</v>
      </c>
      <c r="D201" s="40"/>
      <c r="E201" s="41">
        <v>31337</v>
      </c>
      <c r="F201" s="40" t="s">
        <v>118</v>
      </c>
      <c r="G201" s="40" t="s">
        <v>88</v>
      </c>
      <c r="H201" s="40">
        <v>14000</v>
      </c>
      <c r="I201" s="40">
        <v>0</v>
      </c>
      <c r="J201" s="40" t="s">
        <v>140</v>
      </c>
      <c r="K201" s="40">
        <v>24</v>
      </c>
      <c r="L201" s="40"/>
      <c r="M201" s="40" t="s">
        <v>140</v>
      </c>
      <c r="N201" s="40">
        <v>82000</v>
      </c>
    </row>
    <row r="202" spans="1:14">
      <c r="A202" s="40" t="s">
        <v>23</v>
      </c>
      <c r="B202" s="40" t="s">
        <v>80</v>
      </c>
      <c r="C202" s="40" t="s">
        <v>491</v>
      </c>
      <c r="D202" s="40">
        <v>59</v>
      </c>
      <c r="E202" s="41">
        <v>24710</v>
      </c>
      <c r="F202" s="40" t="s">
        <v>492</v>
      </c>
      <c r="G202" s="40"/>
      <c r="H202" s="43">
        <v>19900</v>
      </c>
      <c r="I202" s="43">
        <v>55000</v>
      </c>
      <c r="J202" s="40" t="s">
        <v>49</v>
      </c>
      <c r="K202" s="40">
        <v>26</v>
      </c>
      <c r="L202" s="40"/>
      <c r="M202" s="40" t="s">
        <v>49</v>
      </c>
      <c r="N202" s="40">
        <v>100000</v>
      </c>
    </row>
    <row r="203" spans="1:14">
      <c r="A203" s="40" t="s">
        <v>29</v>
      </c>
      <c r="B203" s="40" t="s">
        <v>493</v>
      </c>
      <c r="C203" s="40" t="s">
        <v>494</v>
      </c>
      <c r="D203" s="40">
        <v>74</v>
      </c>
      <c r="E203" s="41">
        <v>19073</v>
      </c>
      <c r="F203" s="40" t="s">
        <v>52</v>
      </c>
      <c r="G203" s="40"/>
      <c r="H203" s="40">
        <v>7100</v>
      </c>
      <c r="I203" s="40">
        <v>61500</v>
      </c>
      <c r="J203" s="40" t="s">
        <v>49</v>
      </c>
      <c r="K203" s="40" t="s">
        <v>115</v>
      </c>
      <c r="L203" s="40"/>
      <c r="M203" s="40" t="s">
        <v>49</v>
      </c>
      <c r="N203" s="40">
        <v>50500</v>
      </c>
    </row>
    <row r="204" spans="1:14">
      <c r="A204" s="40" t="s">
        <v>23</v>
      </c>
      <c r="B204" s="40" t="s">
        <v>495</v>
      </c>
      <c r="C204" s="40" t="s">
        <v>496</v>
      </c>
      <c r="D204" s="40">
        <v>64</v>
      </c>
      <c r="E204" s="41">
        <v>22886</v>
      </c>
      <c r="F204" s="40" t="s">
        <v>61</v>
      </c>
      <c r="G204" s="40" t="s">
        <v>81</v>
      </c>
      <c r="H204" s="43">
        <v>8800</v>
      </c>
      <c r="I204" s="42">
        <v>66000</v>
      </c>
      <c r="J204" s="40" t="s">
        <v>49</v>
      </c>
      <c r="K204" s="40">
        <v>28</v>
      </c>
      <c r="L204" s="40"/>
      <c r="M204" s="40" t="s">
        <v>49</v>
      </c>
      <c r="N204" s="40">
        <v>5000</v>
      </c>
    </row>
    <row r="205" spans="1:14">
      <c r="A205" s="40" t="s">
        <v>29</v>
      </c>
      <c r="B205" s="40" t="s">
        <v>487</v>
      </c>
      <c r="C205" s="40" t="s">
        <v>488</v>
      </c>
      <c r="D205" s="40">
        <v>58</v>
      </c>
      <c r="E205" s="41">
        <v>24872</v>
      </c>
      <c r="F205" s="40" t="s">
        <v>61</v>
      </c>
      <c r="G205" s="40" t="s">
        <v>216</v>
      </c>
      <c r="H205" s="42">
        <v>12500</v>
      </c>
      <c r="I205" s="43">
        <v>44500</v>
      </c>
      <c r="J205" s="40" t="s">
        <v>196</v>
      </c>
      <c r="K205" s="40">
        <v>13</v>
      </c>
      <c r="L205" s="40"/>
      <c r="M205" s="40" t="s">
        <v>196</v>
      </c>
      <c r="N205" s="40">
        <v>98500</v>
      </c>
    </row>
    <row r="206" spans="1:14">
      <c r="A206" s="40" t="s">
        <v>23</v>
      </c>
      <c r="B206" s="40" t="s">
        <v>497</v>
      </c>
      <c r="C206" s="40">
        <v>23300</v>
      </c>
      <c r="D206" s="40">
        <v>38</v>
      </c>
      <c r="E206" s="41">
        <v>32066</v>
      </c>
      <c r="F206" s="40" t="s">
        <v>70</v>
      </c>
      <c r="G206" s="40" t="s">
        <v>71</v>
      </c>
      <c r="H206" s="40">
        <v>9700</v>
      </c>
      <c r="I206" s="43">
        <v>25000</v>
      </c>
      <c r="J206" s="40" t="s">
        <v>49</v>
      </c>
      <c r="K206" s="40">
        <v>0</v>
      </c>
      <c r="L206" s="40"/>
      <c r="M206" s="40" t="s">
        <v>49</v>
      </c>
      <c r="N206" s="40">
        <v>55500</v>
      </c>
    </row>
    <row r="207" spans="1:14">
      <c r="A207" s="40" t="s">
        <v>23</v>
      </c>
      <c r="B207" s="40" t="s">
        <v>498</v>
      </c>
      <c r="C207" s="40">
        <v>9600</v>
      </c>
      <c r="D207" s="40">
        <v>49</v>
      </c>
      <c r="E207" s="41">
        <v>28330</v>
      </c>
      <c r="F207" s="40" t="s">
        <v>76</v>
      </c>
      <c r="G207" s="40" t="s">
        <v>71</v>
      </c>
      <c r="H207" s="40">
        <v>11500</v>
      </c>
      <c r="I207" s="40">
        <v>44500</v>
      </c>
      <c r="J207" s="40" t="s">
        <v>49</v>
      </c>
      <c r="K207" s="40">
        <v>45</v>
      </c>
      <c r="L207" s="40"/>
      <c r="M207" s="40" t="s">
        <v>49</v>
      </c>
      <c r="N207" s="40">
        <v>3000</v>
      </c>
    </row>
    <row r="208" spans="1:14">
      <c r="A208" s="40" t="s">
        <v>23</v>
      </c>
      <c r="B208" s="40" t="s">
        <v>499</v>
      </c>
      <c r="C208" s="40">
        <v>19000</v>
      </c>
      <c r="D208" s="40">
        <v>42</v>
      </c>
      <c r="E208" s="41">
        <v>30724</v>
      </c>
      <c r="F208" s="40" t="s">
        <v>103</v>
      </c>
      <c r="G208" s="40" t="s">
        <v>91</v>
      </c>
      <c r="H208" s="40">
        <v>18500</v>
      </c>
      <c r="I208" s="42">
        <v>59000</v>
      </c>
      <c r="J208" s="40" t="s">
        <v>49</v>
      </c>
      <c r="K208" s="40">
        <v>44</v>
      </c>
      <c r="L208" s="40"/>
      <c r="M208" s="40" t="s">
        <v>49</v>
      </c>
      <c r="N208" s="40">
        <v>16500</v>
      </c>
    </row>
    <row r="209" spans="1:14">
      <c r="A209" s="40" t="s">
        <v>23</v>
      </c>
      <c r="B209" s="40" t="s">
        <v>500</v>
      </c>
      <c r="C209" s="40" t="s">
        <v>501</v>
      </c>
      <c r="D209" s="40">
        <v>18</v>
      </c>
      <c r="E209" s="41">
        <v>39338</v>
      </c>
      <c r="F209" s="40" t="s">
        <v>111</v>
      </c>
      <c r="G209" s="40" t="s">
        <v>104</v>
      </c>
      <c r="H209" s="43">
        <v>14100</v>
      </c>
      <c r="I209" s="40">
        <v>38500</v>
      </c>
      <c r="J209" s="40" t="s">
        <v>49</v>
      </c>
      <c r="K209" s="40">
        <v>7</v>
      </c>
      <c r="L209" s="40"/>
      <c r="M209" s="40" t="s">
        <v>49</v>
      </c>
      <c r="N209" s="40">
        <v>11000</v>
      </c>
    </row>
    <row r="210" spans="1:14">
      <c r="A210" s="40" t="s">
        <v>23</v>
      </c>
      <c r="B210" s="40" t="s">
        <v>502</v>
      </c>
      <c r="C210" s="40">
        <v>4900</v>
      </c>
      <c r="D210" s="40">
        <v>18</v>
      </c>
      <c r="E210" s="41">
        <v>39369</v>
      </c>
      <c r="F210" s="40" t="s">
        <v>70</v>
      </c>
      <c r="G210" s="40" t="s">
        <v>225</v>
      </c>
      <c r="H210" s="40">
        <v>18500</v>
      </c>
      <c r="I210" s="40">
        <v>74500</v>
      </c>
      <c r="J210" s="40" t="s">
        <v>28</v>
      </c>
      <c r="K210" s="40">
        <v>20</v>
      </c>
      <c r="L210" s="40"/>
      <c r="M210" s="40" t="s">
        <v>28</v>
      </c>
      <c r="N210" s="40">
        <v>45500</v>
      </c>
    </row>
    <row r="211" spans="1:14">
      <c r="A211" s="40" t="s">
        <v>29</v>
      </c>
      <c r="B211" s="40" t="s">
        <v>503</v>
      </c>
      <c r="C211" s="40" t="s">
        <v>504</v>
      </c>
      <c r="D211" s="40">
        <v>66</v>
      </c>
      <c r="E211" s="41">
        <v>22039</v>
      </c>
      <c r="F211" s="40" t="s">
        <v>133</v>
      </c>
      <c r="G211" s="40" t="s">
        <v>248</v>
      </c>
      <c r="H211" s="40" t="s">
        <v>505</v>
      </c>
      <c r="I211" s="40" t="s">
        <v>506</v>
      </c>
      <c r="J211" s="40" t="s">
        <v>49</v>
      </c>
      <c r="K211" s="40">
        <v>28</v>
      </c>
      <c r="L211" s="40"/>
      <c r="M211" s="40" t="s">
        <v>49</v>
      </c>
      <c r="N211" s="40">
        <v>74500</v>
      </c>
    </row>
    <row r="212" spans="1:14">
      <c r="A212" s="40" t="s">
        <v>23</v>
      </c>
      <c r="B212" s="40" t="s">
        <v>507</v>
      </c>
      <c r="C212" s="40" t="s">
        <v>508</v>
      </c>
      <c r="D212" s="40">
        <v>35</v>
      </c>
      <c r="E212" s="41">
        <v>33336</v>
      </c>
      <c r="F212" s="40" t="s">
        <v>26</v>
      </c>
      <c r="G212" s="40" t="s">
        <v>27</v>
      </c>
      <c r="H212" s="40" t="s">
        <v>509</v>
      </c>
      <c r="I212" s="40">
        <v>54000</v>
      </c>
      <c r="J212" s="40">
        <v>0</v>
      </c>
      <c r="K212" s="40">
        <v>44</v>
      </c>
      <c r="L212" s="40"/>
      <c r="M212" s="40">
        <v>0</v>
      </c>
      <c r="N212" s="40">
        <v>18000</v>
      </c>
    </row>
    <row r="213" spans="1:14">
      <c r="A213" s="40" t="s">
        <v>23</v>
      </c>
      <c r="B213" s="40" t="s">
        <v>510</v>
      </c>
      <c r="C213" s="40">
        <v>27800</v>
      </c>
      <c r="D213" s="40">
        <v>38</v>
      </c>
      <c r="E213" s="41">
        <v>32152</v>
      </c>
      <c r="F213" s="40" t="s">
        <v>511</v>
      </c>
      <c r="G213" s="40"/>
      <c r="H213" s="40">
        <v>2000</v>
      </c>
      <c r="I213" s="40">
        <v>60000</v>
      </c>
      <c r="J213" s="40" t="s">
        <v>49</v>
      </c>
      <c r="K213" s="40" t="s">
        <v>512</v>
      </c>
      <c r="L213" s="40"/>
      <c r="M213" s="40" t="s">
        <v>49</v>
      </c>
      <c r="N213" s="40">
        <v>54000</v>
      </c>
    </row>
    <row r="214" spans="1:14">
      <c r="A214" s="40" t="s">
        <v>29</v>
      </c>
      <c r="B214" s="40" t="s">
        <v>212</v>
      </c>
      <c r="C214" s="40" t="s">
        <v>213</v>
      </c>
      <c r="D214" s="40" t="s">
        <v>214</v>
      </c>
      <c r="E214" s="41">
        <v>29113</v>
      </c>
      <c r="F214" s="40" t="s">
        <v>111</v>
      </c>
      <c r="G214" s="40" t="s">
        <v>91</v>
      </c>
      <c r="H214" s="40">
        <v>15000</v>
      </c>
      <c r="I214" s="40">
        <v>0</v>
      </c>
      <c r="J214" s="40" t="s">
        <v>49</v>
      </c>
      <c r="K214" s="40">
        <v>40</v>
      </c>
      <c r="L214" s="40"/>
      <c r="M214" s="40" t="s">
        <v>49</v>
      </c>
      <c r="N214" s="40">
        <v>90500</v>
      </c>
    </row>
    <row r="215" spans="1:14">
      <c r="A215" s="40" t="s">
        <v>23</v>
      </c>
      <c r="B215" s="40" t="s">
        <v>513</v>
      </c>
      <c r="C215" s="40" t="s">
        <v>514</v>
      </c>
      <c r="D215" s="40">
        <v>72</v>
      </c>
      <c r="E215" s="41">
        <v>19800</v>
      </c>
      <c r="F215" s="40" t="s">
        <v>87</v>
      </c>
      <c r="G215" s="40" t="s">
        <v>88</v>
      </c>
      <c r="H215" s="40">
        <v>24300</v>
      </c>
      <c r="I215" s="40">
        <v>13500</v>
      </c>
      <c r="J215" s="40" t="s">
        <v>49</v>
      </c>
      <c r="K215" s="40">
        <v>33</v>
      </c>
      <c r="L215" s="40"/>
      <c r="M215" s="40" t="s">
        <v>49</v>
      </c>
      <c r="N215" s="40">
        <v>14500</v>
      </c>
    </row>
    <row r="216" spans="1:14">
      <c r="A216" s="40" t="s">
        <v>23</v>
      </c>
      <c r="B216" s="40" t="s">
        <v>515</v>
      </c>
      <c r="C216" s="40" t="s">
        <v>516</v>
      </c>
      <c r="D216" s="40">
        <v>69</v>
      </c>
      <c r="E216" s="40"/>
      <c r="F216" s="40" t="s">
        <v>76</v>
      </c>
      <c r="G216" s="40" t="s">
        <v>71</v>
      </c>
      <c r="H216" s="43">
        <v>4500</v>
      </c>
      <c r="I216" s="40">
        <v>0</v>
      </c>
      <c r="J216" s="40" t="s">
        <v>28</v>
      </c>
      <c r="K216" s="40">
        <v>32</v>
      </c>
      <c r="L216" s="40"/>
      <c r="M216" s="40" t="s">
        <v>28</v>
      </c>
      <c r="N216" s="40">
        <v>56500</v>
      </c>
    </row>
    <row r="217" spans="1:14">
      <c r="A217" s="40" t="s">
        <v>23</v>
      </c>
      <c r="B217" s="40" t="s">
        <v>517</v>
      </c>
      <c r="C217" s="40" t="s">
        <v>518</v>
      </c>
      <c r="D217" s="40">
        <v>22</v>
      </c>
      <c r="E217" s="41">
        <v>38079</v>
      </c>
      <c r="F217" s="40" t="s">
        <v>31</v>
      </c>
      <c r="G217" s="40" t="s">
        <v>32</v>
      </c>
      <c r="H217" s="40">
        <v>9200</v>
      </c>
      <c r="I217" s="42">
        <v>5000</v>
      </c>
      <c r="J217" s="40" t="s">
        <v>49</v>
      </c>
      <c r="K217" s="40">
        <v>42</v>
      </c>
      <c r="L217" s="40"/>
      <c r="M217" s="40" t="s">
        <v>49</v>
      </c>
      <c r="N217" s="40">
        <v>63500</v>
      </c>
    </row>
    <row r="218" spans="1:14">
      <c r="A218" s="40" t="s">
        <v>23</v>
      </c>
      <c r="B218" s="40" t="s">
        <v>519</v>
      </c>
      <c r="C218" s="40" t="s">
        <v>520</v>
      </c>
      <c r="D218" s="40">
        <v>39</v>
      </c>
      <c r="E218" s="41">
        <v>31972</v>
      </c>
      <c r="F218" s="40" t="s">
        <v>87</v>
      </c>
      <c r="G218" s="40" t="s">
        <v>95</v>
      </c>
      <c r="H218" s="40">
        <v>8700</v>
      </c>
      <c r="I218" s="40" t="s">
        <v>183</v>
      </c>
      <c r="J218" s="40" t="s">
        <v>49</v>
      </c>
      <c r="K218" s="40">
        <v>16</v>
      </c>
      <c r="L218" s="40"/>
      <c r="M218" s="40" t="s">
        <v>49</v>
      </c>
      <c r="N218" s="40">
        <v>93500</v>
      </c>
    </row>
    <row r="219" spans="1:14">
      <c r="A219" s="40" t="s">
        <v>23</v>
      </c>
      <c r="B219" s="40" t="s">
        <v>521</v>
      </c>
      <c r="C219" s="40">
        <v>9800</v>
      </c>
      <c r="D219" s="40">
        <v>35</v>
      </c>
      <c r="E219" s="41">
        <v>33440</v>
      </c>
      <c r="F219" s="40" t="s">
        <v>61</v>
      </c>
      <c r="G219" s="40" t="s">
        <v>216</v>
      </c>
      <c r="H219" s="42">
        <v>2000</v>
      </c>
      <c r="I219" s="42">
        <v>5500</v>
      </c>
      <c r="J219" s="40" t="s">
        <v>49</v>
      </c>
      <c r="K219" s="40">
        <v>34</v>
      </c>
      <c r="L219" s="40"/>
      <c r="M219" s="40" t="s">
        <v>49</v>
      </c>
      <c r="N219" s="40">
        <v>71000</v>
      </c>
    </row>
    <row r="220" spans="1:14">
      <c r="A220" s="40" t="s">
        <v>23</v>
      </c>
      <c r="B220" s="40" t="s">
        <v>522</v>
      </c>
      <c r="C220" s="40" t="s">
        <v>523</v>
      </c>
      <c r="D220" s="40">
        <v>72</v>
      </c>
      <c r="E220" s="41">
        <v>19623</v>
      </c>
      <c r="F220" s="40" t="s">
        <v>52</v>
      </c>
      <c r="G220" s="40" t="s">
        <v>57</v>
      </c>
      <c r="H220" s="43">
        <v>12600</v>
      </c>
      <c r="I220" s="43">
        <v>5500</v>
      </c>
      <c r="J220" s="40" t="s">
        <v>49</v>
      </c>
      <c r="K220" s="40">
        <v>35</v>
      </c>
      <c r="L220" s="40"/>
      <c r="M220" s="40" t="s">
        <v>49</v>
      </c>
      <c r="N220" s="40">
        <v>21000</v>
      </c>
    </row>
    <row r="221" spans="1:14">
      <c r="A221" s="40" t="s">
        <v>23</v>
      </c>
      <c r="B221" s="40" t="s">
        <v>524</v>
      </c>
      <c r="C221" s="40" t="s">
        <v>525</v>
      </c>
      <c r="D221" s="40">
        <v>24</v>
      </c>
      <c r="E221" s="40"/>
      <c r="F221" s="40" t="s">
        <v>90</v>
      </c>
      <c r="G221" s="40" t="s">
        <v>91</v>
      </c>
      <c r="H221" s="40">
        <v>29300</v>
      </c>
      <c r="I221" s="40">
        <v>32000</v>
      </c>
      <c r="J221" s="40" t="s">
        <v>28</v>
      </c>
      <c r="K221" s="40">
        <v>26</v>
      </c>
      <c r="L221" s="40"/>
      <c r="M221" s="40" t="s">
        <v>28</v>
      </c>
      <c r="N221" s="40">
        <v>59000</v>
      </c>
    </row>
    <row r="222" spans="1:14">
      <c r="A222" s="40" t="s">
        <v>29</v>
      </c>
      <c r="B222" s="40" t="s">
        <v>526</v>
      </c>
      <c r="C222" s="40" t="s">
        <v>527</v>
      </c>
      <c r="D222" s="40">
        <v>26</v>
      </c>
      <c r="E222" s="41">
        <v>36540</v>
      </c>
      <c r="F222" s="40" t="s">
        <v>37</v>
      </c>
      <c r="G222" s="40" t="s">
        <v>114</v>
      </c>
      <c r="H222" s="40">
        <v>24000</v>
      </c>
      <c r="I222" s="40" t="s">
        <v>528</v>
      </c>
      <c r="J222" s="40" t="s">
        <v>49</v>
      </c>
      <c r="K222" s="40">
        <v>30</v>
      </c>
      <c r="L222" s="40"/>
      <c r="M222" s="40" t="s">
        <v>49</v>
      </c>
      <c r="N222" s="40">
        <v>62500</v>
      </c>
    </row>
    <row r="223" spans="1:14">
      <c r="A223" s="40" t="s">
        <v>23</v>
      </c>
      <c r="B223" s="40" t="s">
        <v>529</v>
      </c>
      <c r="C223" s="40" t="s">
        <v>530</v>
      </c>
      <c r="D223" s="40">
        <v>35</v>
      </c>
      <c r="E223" s="41">
        <v>33309</v>
      </c>
      <c r="F223" s="40" t="s">
        <v>87</v>
      </c>
      <c r="G223" s="40" t="s">
        <v>88</v>
      </c>
      <c r="H223" s="40">
        <v>28500</v>
      </c>
      <c r="I223" s="42">
        <v>48500</v>
      </c>
      <c r="J223" s="40" t="s">
        <v>49</v>
      </c>
      <c r="K223" s="40">
        <v>24</v>
      </c>
      <c r="L223" s="40"/>
      <c r="M223" s="40" t="s">
        <v>49</v>
      </c>
      <c r="N223" s="40">
        <v>80500</v>
      </c>
    </row>
    <row r="224" spans="1:14">
      <c r="A224" s="40" t="s">
        <v>23</v>
      </c>
      <c r="B224" s="40" t="s">
        <v>531</v>
      </c>
      <c r="C224" s="40" t="s">
        <v>532</v>
      </c>
      <c r="D224" s="40">
        <v>23</v>
      </c>
      <c r="E224" s="41">
        <v>37785</v>
      </c>
      <c r="F224" s="40" t="s">
        <v>174</v>
      </c>
      <c r="G224" s="40" t="s">
        <v>365</v>
      </c>
      <c r="H224" s="43">
        <v>17900</v>
      </c>
      <c r="I224" s="40">
        <v>28000</v>
      </c>
      <c r="J224" s="40" t="s">
        <v>49</v>
      </c>
      <c r="K224" s="40">
        <v>41</v>
      </c>
      <c r="L224" s="40"/>
      <c r="M224" s="40" t="s">
        <v>49</v>
      </c>
      <c r="N224" s="40">
        <v>52500</v>
      </c>
    </row>
    <row r="225" spans="1:14">
      <c r="A225" s="40" t="s">
        <v>29</v>
      </c>
      <c r="B225" s="40" t="s">
        <v>533</v>
      </c>
      <c r="C225" s="40" t="s">
        <v>534</v>
      </c>
      <c r="D225" s="40">
        <v>33</v>
      </c>
      <c r="E225" s="41">
        <v>33902</v>
      </c>
      <c r="F225" s="40" t="s">
        <v>122</v>
      </c>
      <c r="G225" s="40" t="s">
        <v>167</v>
      </c>
      <c r="H225" s="40">
        <v>12500</v>
      </c>
      <c r="I225" s="40">
        <v>51500</v>
      </c>
      <c r="J225" s="40" t="s">
        <v>28</v>
      </c>
      <c r="K225" s="40">
        <v>44</v>
      </c>
      <c r="L225" s="40"/>
      <c r="M225" s="40" t="s">
        <v>28</v>
      </c>
      <c r="N225" s="40">
        <v>24000</v>
      </c>
    </row>
    <row r="226" spans="1:14">
      <c r="A226" s="40" t="s">
        <v>23</v>
      </c>
      <c r="B226" s="40" t="s">
        <v>522</v>
      </c>
      <c r="C226" s="40" t="s">
        <v>535</v>
      </c>
      <c r="D226" s="40">
        <v>63</v>
      </c>
      <c r="E226" s="41">
        <v>22900</v>
      </c>
      <c r="F226" s="40" t="s">
        <v>133</v>
      </c>
      <c r="G226" s="40" t="s">
        <v>133</v>
      </c>
      <c r="H226" s="40">
        <v>5500</v>
      </c>
      <c r="I226" s="42">
        <v>41000</v>
      </c>
      <c r="J226" s="40" t="s">
        <v>49</v>
      </c>
      <c r="K226" s="40">
        <v>2</v>
      </c>
      <c r="L226" s="40"/>
      <c r="M226" s="40" t="s">
        <v>49</v>
      </c>
      <c r="N226" s="40">
        <v>54500</v>
      </c>
    </row>
    <row r="227" spans="1:14">
      <c r="A227" s="40" t="s">
        <v>29</v>
      </c>
      <c r="B227" s="40" t="s">
        <v>536</v>
      </c>
      <c r="C227" s="40" t="s">
        <v>537</v>
      </c>
      <c r="D227" s="40">
        <v>31</v>
      </c>
      <c r="E227" s="41">
        <v>34885</v>
      </c>
      <c r="F227" s="40" t="s">
        <v>37</v>
      </c>
      <c r="G227" s="40" t="s">
        <v>38</v>
      </c>
      <c r="H227" s="43">
        <v>16400</v>
      </c>
      <c r="I227" s="40" t="s">
        <v>538</v>
      </c>
      <c r="J227" s="40" t="s">
        <v>41</v>
      </c>
      <c r="K227" s="40">
        <v>6</v>
      </c>
      <c r="L227" s="40"/>
      <c r="M227" s="40" t="s">
        <v>41</v>
      </c>
      <c r="N227" s="40">
        <v>49500</v>
      </c>
    </row>
    <row r="228" spans="1:14">
      <c r="A228" s="40" t="s">
        <v>54</v>
      </c>
      <c r="B228" s="40" t="s">
        <v>539</v>
      </c>
      <c r="C228" s="40" t="s">
        <v>540</v>
      </c>
      <c r="D228" s="40">
        <v>71</v>
      </c>
      <c r="E228" s="41">
        <v>20000</v>
      </c>
      <c r="F228" s="40" t="s">
        <v>194</v>
      </c>
      <c r="G228" s="40" t="s">
        <v>195</v>
      </c>
      <c r="H228" s="40">
        <v>15100</v>
      </c>
      <c r="I228" s="40" t="s">
        <v>40</v>
      </c>
      <c r="J228" s="40" t="s">
        <v>49</v>
      </c>
      <c r="K228" s="40">
        <v>42</v>
      </c>
      <c r="L228" s="40"/>
      <c r="M228" s="40" t="s">
        <v>49</v>
      </c>
      <c r="N228" s="40">
        <v>77000</v>
      </c>
    </row>
    <row r="229" spans="1:14">
      <c r="A229" s="40" t="s">
        <v>23</v>
      </c>
      <c r="B229" s="40" t="s">
        <v>541</v>
      </c>
      <c r="C229" s="40">
        <v>21900</v>
      </c>
      <c r="D229" s="40">
        <v>67</v>
      </c>
      <c r="E229" s="41">
        <v>21619</v>
      </c>
      <c r="F229" s="40" t="s">
        <v>31</v>
      </c>
      <c r="G229" s="40" t="s">
        <v>84</v>
      </c>
      <c r="H229" s="40">
        <v>20200</v>
      </c>
      <c r="I229" s="40">
        <v>6500</v>
      </c>
      <c r="J229" s="40" t="s">
        <v>49</v>
      </c>
      <c r="K229" s="40">
        <v>1</v>
      </c>
      <c r="L229" s="40"/>
      <c r="M229" s="40" t="s">
        <v>49</v>
      </c>
      <c r="N229" s="40">
        <v>98500</v>
      </c>
    </row>
    <row r="230" spans="1:14">
      <c r="A230" s="40" t="s">
        <v>23</v>
      </c>
      <c r="B230" s="40" t="s">
        <v>542</v>
      </c>
      <c r="C230" s="40" t="s">
        <v>543</v>
      </c>
      <c r="D230" s="40">
        <v>27</v>
      </c>
      <c r="E230" s="41">
        <v>36288</v>
      </c>
      <c r="F230" s="40" t="s">
        <v>119</v>
      </c>
      <c r="G230" s="40" t="s">
        <v>91</v>
      </c>
      <c r="H230" s="40">
        <v>29700</v>
      </c>
      <c r="I230" s="40">
        <v>12000</v>
      </c>
      <c r="J230" s="40" t="s">
        <v>49</v>
      </c>
      <c r="K230" s="40">
        <v>37</v>
      </c>
      <c r="L230" s="40"/>
      <c r="M230" s="40" t="s">
        <v>49</v>
      </c>
      <c r="N230" s="40">
        <v>49000</v>
      </c>
    </row>
    <row r="231" spans="1:14">
      <c r="A231" s="40" t="s">
        <v>23</v>
      </c>
      <c r="B231" s="40" t="s">
        <v>544</v>
      </c>
      <c r="C231" s="40" t="s">
        <v>545</v>
      </c>
      <c r="D231" s="40">
        <v>25</v>
      </c>
      <c r="E231" s="41">
        <v>37056</v>
      </c>
      <c r="F231" s="40" t="s">
        <v>111</v>
      </c>
      <c r="G231" s="40" t="s">
        <v>91</v>
      </c>
      <c r="H231" s="40">
        <v>25400</v>
      </c>
      <c r="I231" s="40">
        <v>4000</v>
      </c>
      <c r="J231" s="40" t="s">
        <v>49</v>
      </c>
      <c r="K231" s="40">
        <v>4</v>
      </c>
      <c r="L231" s="40"/>
      <c r="M231" s="40" t="s">
        <v>49</v>
      </c>
      <c r="N231" s="40">
        <v>8500</v>
      </c>
    </row>
    <row r="232" spans="1:14">
      <c r="A232" s="40" t="s">
        <v>23</v>
      </c>
      <c r="B232" s="40" t="s">
        <v>546</v>
      </c>
      <c r="C232" s="40" t="s">
        <v>547</v>
      </c>
      <c r="D232" s="40">
        <v>70</v>
      </c>
      <c r="E232" s="41">
        <v>20533</v>
      </c>
      <c r="F232" s="40" t="s">
        <v>194</v>
      </c>
      <c r="G232" s="40" t="s">
        <v>408</v>
      </c>
      <c r="H232" s="40">
        <v>9100</v>
      </c>
      <c r="I232" s="40">
        <v>40500</v>
      </c>
      <c r="J232" s="40" t="s">
        <v>49</v>
      </c>
      <c r="K232" s="40">
        <v>35</v>
      </c>
      <c r="L232" s="40"/>
      <c r="M232" s="40" t="s">
        <v>49</v>
      </c>
      <c r="N232" s="40">
        <v>53000</v>
      </c>
    </row>
    <row r="233" spans="1:14">
      <c r="A233" s="40" t="s">
        <v>29</v>
      </c>
      <c r="B233" s="40" t="s">
        <v>548</v>
      </c>
      <c r="C233" s="40" t="s">
        <v>549</v>
      </c>
      <c r="D233" s="40">
        <v>57</v>
      </c>
      <c r="E233" s="41">
        <v>25324</v>
      </c>
      <c r="F233" s="40" t="s">
        <v>103</v>
      </c>
      <c r="G233" s="40" t="s">
        <v>104</v>
      </c>
      <c r="H233" s="40">
        <v>9500</v>
      </c>
      <c r="I233" s="40">
        <v>58000</v>
      </c>
      <c r="J233" s="40" t="s">
        <v>140</v>
      </c>
      <c r="K233" s="40">
        <v>23</v>
      </c>
      <c r="L233" s="40"/>
      <c r="M233" s="40" t="s">
        <v>140</v>
      </c>
      <c r="N233" s="40">
        <v>81500</v>
      </c>
    </row>
    <row r="234" spans="1:14">
      <c r="A234" s="40" t="s">
        <v>29</v>
      </c>
      <c r="B234" s="40" t="s">
        <v>550</v>
      </c>
      <c r="C234" s="40" t="s">
        <v>551</v>
      </c>
      <c r="D234" s="40">
        <v>58</v>
      </c>
      <c r="E234" s="41">
        <v>25054</v>
      </c>
      <c r="F234" s="40" t="s">
        <v>174</v>
      </c>
      <c r="G234" s="40" t="s">
        <v>114</v>
      </c>
      <c r="H234" s="42">
        <v>4500</v>
      </c>
      <c r="I234" s="42">
        <v>20000</v>
      </c>
      <c r="J234" s="40" t="s">
        <v>28</v>
      </c>
      <c r="K234" s="40">
        <v>9</v>
      </c>
      <c r="L234" s="40"/>
      <c r="M234" s="40" t="s">
        <v>28</v>
      </c>
      <c r="N234" s="40">
        <v>49000</v>
      </c>
    </row>
    <row r="235" spans="1:14">
      <c r="A235" s="40" t="s">
        <v>29</v>
      </c>
      <c r="B235" s="40" t="s">
        <v>552</v>
      </c>
      <c r="C235" s="40">
        <v>6400</v>
      </c>
      <c r="D235" s="40">
        <v>57</v>
      </c>
      <c r="E235" s="41">
        <v>25206</v>
      </c>
      <c r="F235" s="40" t="s">
        <v>87</v>
      </c>
      <c r="G235" s="40" t="s">
        <v>305</v>
      </c>
      <c r="H235" s="40">
        <v>3400</v>
      </c>
      <c r="I235" s="40">
        <v>0</v>
      </c>
      <c r="J235" s="40" t="s">
        <v>49</v>
      </c>
      <c r="K235" s="40">
        <v>20</v>
      </c>
      <c r="L235" s="40"/>
      <c r="M235" s="40" t="s">
        <v>49</v>
      </c>
      <c r="N235" s="40">
        <v>19500</v>
      </c>
    </row>
    <row r="236" spans="1:14">
      <c r="A236" s="40" t="s">
        <v>23</v>
      </c>
      <c r="B236" s="40" t="s">
        <v>553</v>
      </c>
      <c r="C236" s="40" t="s">
        <v>554</v>
      </c>
      <c r="D236" s="40">
        <v>65</v>
      </c>
      <c r="E236" s="41">
        <v>22366</v>
      </c>
      <c r="F236" s="40" t="s">
        <v>122</v>
      </c>
      <c r="G236" s="40" t="s">
        <v>167</v>
      </c>
      <c r="H236" s="43">
        <v>18000</v>
      </c>
      <c r="I236" s="40">
        <v>0</v>
      </c>
      <c r="J236" s="40" t="s">
        <v>49</v>
      </c>
      <c r="K236" s="40">
        <v>27</v>
      </c>
      <c r="L236" s="40"/>
      <c r="M236" s="40" t="s">
        <v>49</v>
      </c>
      <c r="N236" s="40">
        <v>38500</v>
      </c>
    </row>
    <row r="237" spans="1:14">
      <c r="A237" s="40" t="s">
        <v>23</v>
      </c>
      <c r="B237" s="40" t="s">
        <v>555</v>
      </c>
      <c r="C237" s="40" t="s">
        <v>556</v>
      </c>
      <c r="D237" s="40">
        <v>39</v>
      </c>
      <c r="E237" s="41">
        <v>31814</v>
      </c>
      <c r="F237" s="40" t="s">
        <v>103</v>
      </c>
      <c r="G237" s="40" t="s">
        <v>91</v>
      </c>
      <c r="H237" s="42">
        <v>9300</v>
      </c>
      <c r="I237" s="42">
        <v>36500</v>
      </c>
      <c r="J237" s="40" t="s">
        <v>49</v>
      </c>
      <c r="K237" s="40"/>
      <c r="L237" s="40"/>
      <c r="M237" s="40" t="s">
        <v>49</v>
      </c>
      <c r="N237" s="40">
        <v>3000</v>
      </c>
    </row>
    <row r="238" spans="1:14">
      <c r="A238" s="40" t="s">
        <v>23</v>
      </c>
      <c r="B238" s="40" t="s">
        <v>557</v>
      </c>
      <c r="C238" s="40">
        <v>30500</v>
      </c>
      <c r="D238" s="40">
        <v>62</v>
      </c>
      <c r="E238" s="41">
        <v>23278</v>
      </c>
      <c r="F238" s="40" t="s">
        <v>90</v>
      </c>
      <c r="G238" s="40" t="s">
        <v>91</v>
      </c>
      <c r="H238" s="40">
        <v>17000</v>
      </c>
      <c r="I238" s="40">
        <v>64000</v>
      </c>
      <c r="J238" s="40" t="s">
        <v>28</v>
      </c>
      <c r="K238" s="40">
        <v>21</v>
      </c>
      <c r="L238" s="40"/>
      <c r="M238" s="40" t="s">
        <v>28</v>
      </c>
      <c r="N238" s="40">
        <v>19000</v>
      </c>
    </row>
    <row r="239" spans="1:14">
      <c r="A239" s="40" t="s">
        <v>29</v>
      </c>
      <c r="B239" s="40" t="s">
        <v>558</v>
      </c>
      <c r="C239" s="40" t="s">
        <v>559</v>
      </c>
      <c r="D239" s="40">
        <v>69</v>
      </c>
      <c r="E239" s="41">
        <v>20785</v>
      </c>
      <c r="F239" s="40" t="s">
        <v>90</v>
      </c>
      <c r="G239" s="40" t="s">
        <v>104</v>
      </c>
      <c r="H239" s="40">
        <v>16000</v>
      </c>
      <c r="I239" s="42">
        <v>48000</v>
      </c>
      <c r="J239" s="40" t="s">
        <v>49</v>
      </c>
      <c r="K239" s="40">
        <v>29</v>
      </c>
      <c r="L239" s="40"/>
      <c r="M239" s="40" t="s">
        <v>49</v>
      </c>
      <c r="N239" s="40">
        <v>74500</v>
      </c>
    </row>
    <row r="240" spans="1:14">
      <c r="A240" s="40" t="s">
        <v>29</v>
      </c>
      <c r="B240" s="40" t="s">
        <v>560</v>
      </c>
      <c r="C240" s="40">
        <v>27100</v>
      </c>
      <c r="D240" s="40">
        <v>55</v>
      </c>
      <c r="E240" s="41">
        <v>25895</v>
      </c>
      <c r="F240" s="40" t="s">
        <v>70</v>
      </c>
      <c r="G240" s="40" t="s">
        <v>71</v>
      </c>
      <c r="H240" s="40">
        <v>6800</v>
      </c>
      <c r="I240" s="40">
        <v>12000</v>
      </c>
      <c r="J240" s="40" t="s">
        <v>49</v>
      </c>
      <c r="K240" s="40">
        <v>6</v>
      </c>
      <c r="L240" s="40"/>
      <c r="M240" s="40" t="s">
        <v>49</v>
      </c>
      <c r="N240" s="40">
        <v>11000</v>
      </c>
    </row>
    <row r="241" spans="1:14">
      <c r="A241" s="40" t="s">
        <v>23</v>
      </c>
      <c r="B241" s="40" t="s">
        <v>561</v>
      </c>
      <c r="C241" s="40" t="s">
        <v>562</v>
      </c>
      <c r="D241" s="40">
        <v>25</v>
      </c>
      <c r="E241" s="41">
        <v>37026</v>
      </c>
      <c r="F241" s="40" t="s">
        <v>254</v>
      </c>
      <c r="G241" s="40" t="s">
        <v>32</v>
      </c>
      <c r="H241" s="40">
        <v>28200</v>
      </c>
      <c r="I241" s="40">
        <v>0</v>
      </c>
      <c r="J241" s="40" t="s">
        <v>49</v>
      </c>
      <c r="K241" s="40">
        <v>29</v>
      </c>
      <c r="L241" s="40"/>
      <c r="M241" s="40" t="s">
        <v>49</v>
      </c>
      <c r="N241" s="40">
        <v>92500</v>
      </c>
    </row>
    <row r="242" spans="1:14">
      <c r="A242" s="40" t="s">
        <v>29</v>
      </c>
      <c r="B242" s="40" t="s">
        <v>316</v>
      </c>
      <c r="C242" s="40">
        <v>34900</v>
      </c>
      <c r="D242" s="40" t="s">
        <v>563</v>
      </c>
      <c r="E242" s="41">
        <v>34387</v>
      </c>
      <c r="F242" s="40" t="s">
        <v>90</v>
      </c>
      <c r="G242" s="40" t="s">
        <v>91</v>
      </c>
      <c r="H242" s="40">
        <v>20500</v>
      </c>
      <c r="I242" s="40">
        <v>0</v>
      </c>
      <c r="J242" s="40" t="s">
        <v>49</v>
      </c>
      <c r="K242" s="40" t="s">
        <v>373</v>
      </c>
      <c r="L242" s="40"/>
      <c r="M242" s="40" t="s">
        <v>49</v>
      </c>
      <c r="N242" s="40">
        <v>54500</v>
      </c>
    </row>
    <row r="243" spans="1:14">
      <c r="A243" s="40" t="s">
        <v>23</v>
      </c>
      <c r="B243" s="40" t="s">
        <v>564</v>
      </c>
      <c r="C243" s="40" t="s">
        <v>565</v>
      </c>
      <c r="D243" s="40">
        <v>53</v>
      </c>
      <c r="E243" s="41">
        <v>26620</v>
      </c>
      <c r="F243" s="40" t="s">
        <v>26</v>
      </c>
      <c r="G243" s="40" t="s">
        <v>48</v>
      </c>
      <c r="H243" s="42">
        <v>21300</v>
      </c>
      <c r="I243" s="40">
        <v>79500</v>
      </c>
      <c r="J243" s="40" t="s">
        <v>49</v>
      </c>
      <c r="K243" s="40" t="s">
        <v>512</v>
      </c>
      <c r="L243" s="40"/>
      <c r="M243" s="40" t="s">
        <v>49</v>
      </c>
      <c r="N243" s="40">
        <v>19000</v>
      </c>
    </row>
    <row r="244" spans="1:14">
      <c r="A244" s="40" t="s">
        <v>23</v>
      </c>
      <c r="B244" s="40" t="s">
        <v>566</v>
      </c>
      <c r="C244" s="40" t="s">
        <v>567</v>
      </c>
      <c r="D244" s="40">
        <v>69</v>
      </c>
      <c r="E244" s="41">
        <v>20943</v>
      </c>
      <c r="F244" s="40" t="s">
        <v>479</v>
      </c>
      <c r="G244" s="40"/>
      <c r="H244" s="40">
        <v>13800</v>
      </c>
      <c r="I244" s="40">
        <v>62000</v>
      </c>
      <c r="J244" s="40" t="s">
        <v>49</v>
      </c>
      <c r="K244" s="40">
        <v>31</v>
      </c>
      <c r="L244" s="40"/>
      <c r="M244" s="40" t="s">
        <v>49</v>
      </c>
      <c r="N244" s="40">
        <v>60500</v>
      </c>
    </row>
    <row r="245" spans="1:14">
      <c r="A245" s="40" t="s">
        <v>23</v>
      </c>
      <c r="B245" s="40" t="s">
        <v>568</v>
      </c>
      <c r="C245" s="40" t="s">
        <v>569</v>
      </c>
      <c r="D245" s="40">
        <v>27</v>
      </c>
      <c r="E245" s="41">
        <v>36316</v>
      </c>
      <c r="F245" s="40" t="s">
        <v>97</v>
      </c>
      <c r="G245" s="40" t="s">
        <v>167</v>
      </c>
      <c r="H245" s="43">
        <v>10700</v>
      </c>
      <c r="I245" s="40" t="s">
        <v>570</v>
      </c>
      <c r="J245" s="40" t="s">
        <v>49</v>
      </c>
      <c r="K245" s="40">
        <v>44</v>
      </c>
      <c r="L245" s="40"/>
      <c r="M245" s="40" t="s">
        <v>49</v>
      </c>
      <c r="N245" s="40">
        <v>48000</v>
      </c>
    </row>
    <row r="246" spans="1:14">
      <c r="A246" s="40" t="s">
        <v>23</v>
      </c>
      <c r="B246" s="40" t="s">
        <v>571</v>
      </c>
      <c r="C246" s="40">
        <v>19300</v>
      </c>
      <c r="D246" s="40">
        <v>74</v>
      </c>
      <c r="E246" s="41">
        <v>19131</v>
      </c>
      <c r="F246" s="40" t="s">
        <v>174</v>
      </c>
      <c r="G246" s="40" t="s">
        <v>283</v>
      </c>
      <c r="H246" s="40">
        <v>20700</v>
      </c>
      <c r="I246" s="42">
        <v>17500</v>
      </c>
      <c r="J246" s="40" t="s">
        <v>49</v>
      </c>
      <c r="K246" s="40">
        <v>35</v>
      </c>
      <c r="L246" s="40"/>
      <c r="M246" s="40" t="s">
        <v>49</v>
      </c>
      <c r="N246" s="40">
        <v>65000</v>
      </c>
    </row>
    <row r="247" spans="1:14">
      <c r="A247" s="40" t="s">
        <v>209</v>
      </c>
      <c r="B247" s="40" t="s">
        <v>572</v>
      </c>
      <c r="C247" s="40" t="s">
        <v>573</v>
      </c>
      <c r="D247" s="40"/>
      <c r="E247" s="41">
        <v>39230</v>
      </c>
      <c r="F247" s="40" t="s">
        <v>122</v>
      </c>
      <c r="G247" s="40" t="s">
        <v>98</v>
      </c>
      <c r="H247" s="40" t="s">
        <v>574</v>
      </c>
      <c r="I247" s="43">
        <v>49500</v>
      </c>
      <c r="J247" s="40" t="s">
        <v>49</v>
      </c>
      <c r="K247" s="40">
        <v>25</v>
      </c>
      <c r="L247" s="40"/>
      <c r="M247" s="40" t="s">
        <v>49</v>
      </c>
      <c r="N247" s="40">
        <v>46500</v>
      </c>
    </row>
    <row r="248" spans="1:14">
      <c r="A248" s="40" t="s">
        <v>29</v>
      </c>
      <c r="B248" s="40" t="s">
        <v>526</v>
      </c>
      <c r="C248" s="40" t="s">
        <v>527</v>
      </c>
      <c r="D248" s="40">
        <v>26</v>
      </c>
      <c r="E248" s="41">
        <v>36540</v>
      </c>
      <c r="F248" s="40" t="s">
        <v>37</v>
      </c>
      <c r="G248" s="40" t="s">
        <v>114</v>
      </c>
      <c r="H248" s="40">
        <v>24000</v>
      </c>
      <c r="I248" s="40" t="s">
        <v>528</v>
      </c>
      <c r="J248" s="40" t="s">
        <v>49</v>
      </c>
      <c r="K248" s="40">
        <v>30</v>
      </c>
      <c r="L248" s="40"/>
      <c r="M248" s="40" t="s">
        <v>49</v>
      </c>
      <c r="N248" s="40">
        <v>11500</v>
      </c>
    </row>
    <row r="249" spans="1:14">
      <c r="A249" s="40" t="s">
        <v>23</v>
      </c>
      <c r="B249" s="40" t="s">
        <v>575</v>
      </c>
      <c r="C249" s="40" t="s">
        <v>576</v>
      </c>
      <c r="D249" s="40">
        <v>47</v>
      </c>
      <c r="E249" s="41">
        <v>28841</v>
      </c>
      <c r="F249" s="40" t="s">
        <v>133</v>
      </c>
      <c r="G249" s="40" t="s">
        <v>133</v>
      </c>
      <c r="H249" s="40" t="s">
        <v>577</v>
      </c>
      <c r="I249" s="43">
        <v>62000</v>
      </c>
      <c r="J249" s="40" t="s">
        <v>28</v>
      </c>
      <c r="K249" s="40">
        <v>37</v>
      </c>
      <c r="L249" s="40"/>
      <c r="M249" s="40" t="s">
        <v>28</v>
      </c>
      <c r="N249" s="40">
        <v>92500</v>
      </c>
    </row>
    <row r="250" spans="1:14">
      <c r="A250" s="40" t="s">
        <v>23</v>
      </c>
      <c r="B250" s="40" t="s">
        <v>578</v>
      </c>
      <c r="C250" s="40" t="s">
        <v>579</v>
      </c>
      <c r="D250" s="40">
        <v>34</v>
      </c>
      <c r="E250" s="41">
        <v>33746</v>
      </c>
      <c r="F250" s="40" t="s">
        <v>133</v>
      </c>
      <c r="G250" s="40" t="s">
        <v>133</v>
      </c>
      <c r="H250" s="40">
        <v>28900</v>
      </c>
      <c r="I250" s="40">
        <v>37000</v>
      </c>
      <c r="J250" s="40" t="s">
        <v>49</v>
      </c>
      <c r="K250" s="40">
        <v>21</v>
      </c>
      <c r="L250" s="40"/>
      <c r="M250" s="40" t="s">
        <v>49</v>
      </c>
      <c r="N250" s="40">
        <v>97500</v>
      </c>
    </row>
    <row r="251" spans="1:14">
      <c r="A251" s="40" t="s">
        <v>23</v>
      </c>
      <c r="B251" s="40" t="s">
        <v>580</v>
      </c>
      <c r="C251" s="40" t="s">
        <v>581</v>
      </c>
      <c r="D251" s="40">
        <v>30</v>
      </c>
      <c r="E251" s="41">
        <v>35180</v>
      </c>
      <c r="F251" s="40" t="s">
        <v>103</v>
      </c>
      <c r="G251" s="40" t="s">
        <v>91</v>
      </c>
      <c r="H251" s="42">
        <v>13800</v>
      </c>
      <c r="I251" s="40">
        <v>42000</v>
      </c>
      <c r="J251" s="40"/>
      <c r="K251" s="40">
        <v>29</v>
      </c>
      <c r="L251" s="40"/>
      <c r="M251" s="40"/>
      <c r="N251" s="40">
        <v>7000</v>
      </c>
    </row>
    <row r="252" spans="1:14">
      <c r="A252" s="40" t="s">
        <v>29</v>
      </c>
      <c r="B252" s="40" t="s">
        <v>582</v>
      </c>
      <c r="C252" s="40" t="s">
        <v>583</v>
      </c>
      <c r="D252" s="40">
        <v>67</v>
      </c>
      <c r="E252" s="41">
        <v>21674</v>
      </c>
      <c r="F252" s="40" t="s">
        <v>194</v>
      </c>
      <c r="G252" s="40" t="s">
        <v>408</v>
      </c>
      <c r="H252" s="40">
        <v>15200</v>
      </c>
      <c r="I252" s="40">
        <v>67500</v>
      </c>
      <c r="J252" s="40" t="s">
        <v>49</v>
      </c>
      <c r="K252" s="40">
        <v>12</v>
      </c>
      <c r="L252" s="40"/>
      <c r="M252" s="40" t="s">
        <v>49</v>
      </c>
      <c r="N252" s="40">
        <v>97500</v>
      </c>
    </row>
    <row r="253" spans="1:14">
      <c r="A253" s="40" t="s">
        <v>23</v>
      </c>
      <c r="B253" s="40" t="s">
        <v>584</v>
      </c>
      <c r="C253" s="40" t="s">
        <v>585</v>
      </c>
      <c r="D253" s="40">
        <v>59</v>
      </c>
      <c r="E253" s="41">
        <v>24578</v>
      </c>
      <c r="F253" s="40" t="s">
        <v>194</v>
      </c>
      <c r="G253" s="40"/>
      <c r="H253" s="40">
        <v>6600</v>
      </c>
      <c r="I253" s="40">
        <v>50000</v>
      </c>
      <c r="J253" s="40" t="s">
        <v>28</v>
      </c>
      <c r="K253" s="40">
        <v>9</v>
      </c>
      <c r="L253" s="40"/>
      <c r="M253" s="40" t="s">
        <v>28</v>
      </c>
      <c r="N253" s="40">
        <v>25000</v>
      </c>
    </row>
    <row r="254" spans="1:14">
      <c r="A254" s="40" t="s">
        <v>29</v>
      </c>
      <c r="B254" s="40" t="s">
        <v>586</v>
      </c>
      <c r="C254" s="40">
        <v>24300</v>
      </c>
      <c r="D254" s="40">
        <v>25</v>
      </c>
      <c r="E254" s="41">
        <v>37131</v>
      </c>
      <c r="F254" s="40" t="s">
        <v>52</v>
      </c>
      <c r="G254" s="40" t="s">
        <v>57</v>
      </c>
      <c r="H254" s="42">
        <v>24500</v>
      </c>
      <c r="I254" s="40" t="s">
        <v>40</v>
      </c>
      <c r="J254" s="40">
        <v>0</v>
      </c>
      <c r="K254" s="40">
        <v>0</v>
      </c>
      <c r="L254" s="40"/>
      <c r="M254" s="40">
        <v>0</v>
      </c>
      <c r="N254" s="40">
        <v>55000</v>
      </c>
    </row>
    <row r="255" spans="1:14">
      <c r="A255" s="40" t="s">
        <v>23</v>
      </c>
      <c r="B255" s="40" t="s">
        <v>587</v>
      </c>
      <c r="C255" s="40" t="s">
        <v>588</v>
      </c>
      <c r="D255" s="40"/>
      <c r="E255" s="41">
        <v>32796</v>
      </c>
      <c r="F255" s="40" t="s">
        <v>37</v>
      </c>
      <c r="G255" s="40" t="s">
        <v>38</v>
      </c>
      <c r="H255" s="40">
        <v>28600</v>
      </c>
      <c r="I255" s="40"/>
      <c r="J255" s="40" t="s">
        <v>49</v>
      </c>
      <c r="K255" s="40">
        <v>19</v>
      </c>
      <c r="L255" s="40"/>
      <c r="M255" s="40" t="s">
        <v>49</v>
      </c>
      <c r="N255" s="40">
        <v>90000</v>
      </c>
    </row>
    <row r="256" spans="1:14">
      <c r="A256" s="40" t="s">
        <v>29</v>
      </c>
      <c r="B256" s="40" t="s">
        <v>589</v>
      </c>
      <c r="C256" s="40" t="s">
        <v>590</v>
      </c>
      <c r="D256" s="40">
        <v>36</v>
      </c>
      <c r="E256" s="41">
        <v>32914</v>
      </c>
      <c r="F256" s="40" t="s">
        <v>194</v>
      </c>
      <c r="G256" s="40" t="s">
        <v>408</v>
      </c>
      <c r="H256" s="40">
        <v>27600</v>
      </c>
      <c r="I256" s="40">
        <v>37000</v>
      </c>
      <c r="J256" s="40" t="s">
        <v>49</v>
      </c>
      <c r="K256" s="40">
        <v>15</v>
      </c>
      <c r="L256" s="40"/>
      <c r="M256" s="40" t="s">
        <v>49</v>
      </c>
      <c r="N256" s="40">
        <v>41500</v>
      </c>
    </row>
    <row r="257" spans="1:14">
      <c r="A257" s="40" t="s">
        <v>29</v>
      </c>
      <c r="B257" s="40" t="s">
        <v>591</v>
      </c>
      <c r="C257" s="40">
        <v>17100</v>
      </c>
      <c r="D257" s="40">
        <v>45</v>
      </c>
      <c r="E257" s="41">
        <v>29506</v>
      </c>
      <c r="F257" s="40" t="s">
        <v>254</v>
      </c>
      <c r="G257" s="40" t="s">
        <v>32</v>
      </c>
      <c r="H257" s="40">
        <v>5100</v>
      </c>
      <c r="I257" s="42">
        <v>25000</v>
      </c>
      <c r="J257" s="40" t="s">
        <v>49</v>
      </c>
      <c r="K257" s="40">
        <v>29</v>
      </c>
      <c r="L257" s="40"/>
      <c r="M257" s="40" t="s">
        <v>49</v>
      </c>
      <c r="N257" s="40">
        <v>88000</v>
      </c>
    </row>
    <row r="258" spans="1:14">
      <c r="A258" s="40" t="s">
        <v>54</v>
      </c>
      <c r="B258" s="40" t="s">
        <v>592</v>
      </c>
      <c r="C258" s="40" t="s">
        <v>593</v>
      </c>
      <c r="D258" s="40">
        <v>56</v>
      </c>
      <c r="E258" s="41">
        <v>25551</v>
      </c>
      <c r="F258" s="40" t="s">
        <v>133</v>
      </c>
      <c r="G258" s="40" t="s">
        <v>133</v>
      </c>
      <c r="H258" s="43">
        <v>22600</v>
      </c>
      <c r="I258" s="40">
        <v>63000</v>
      </c>
      <c r="J258" s="40" t="s">
        <v>49</v>
      </c>
      <c r="K258" s="40">
        <v>33</v>
      </c>
      <c r="L258" s="40"/>
      <c r="M258" s="40" t="s">
        <v>49</v>
      </c>
      <c r="N258" s="40">
        <v>53000</v>
      </c>
    </row>
    <row r="259" spans="1:14">
      <c r="A259" s="40" t="s">
        <v>23</v>
      </c>
      <c r="B259" s="40" t="s">
        <v>594</v>
      </c>
      <c r="C259" s="40" t="s">
        <v>595</v>
      </c>
      <c r="D259" s="40">
        <v>47</v>
      </c>
      <c r="E259" s="41">
        <v>29007</v>
      </c>
      <c r="F259" s="40" t="s">
        <v>70</v>
      </c>
      <c r="G259" s="40" t="s">
        <v>71</v>
      </c>
      <c r="H259" s="40">
        <v>5000</v>
      </c>
      <c r="I259" s="43">
        <v>75500</v>
      </c>
      <c r="J259" s="40" t="s">
        <v>28</v>
      </c>
      <c r="K259" s="40">
        <v>2</v>
      </c>
      <c r="L259" s="40"/>
      <c r="M259" s="40" t="s">
        <v>28</v>
      </c>
      <c r="N259" s="40">
        <v>89500</v>
      </c>
    </row>
    <row r="260" spans="1:14">
      <c r="A260" s="40" t="s">
        <v>23</v>
      </c>
      <c r="B260" s="40" t="s">
        <v>112</v>
      </c>
      <c r="C260" s="40" t="s">
        <v>596</v>
      </c>
      <c r="D260" s="40">
        <v>44</v>
      </c>
      <c r="E260" s="41">
        <v>30069</v>
      </c>
      <c r="F260" s="40" t="s">
        <v>87</v>
      </c>
      <c r="G260" s="40" t="s">
        <v>88</v>
      </c>
      <c r="H260" s="40">
        <v>21700</v>
      </c>
      <c r="I260" s="40">
        <v>34500</v>
      </c>
      <c r="J260" s="40" t="s">
        <v>196</v>
      </c>
      <c r="K260" s="40">
        <v>29</v>
      </c>
      <c r="L260" s="40"/>
      <c r="M260" s="40" t="s">
        <v>196</v>
      </c>
      <c r="N260" s="40">
        <v>10500</v>
      </c>
    </row>
    <row r="261" spans="1:14">
      <c r="A261" s="40" t="s">
        <v>23</v>
      </c>
      <c r="B261" s="40" t="s">
        <v>597</v>
      </c>
      <c r="C261" s="40">
        <v>15900</v>
      </c>
      <c r="D261" s="40">
        <v>26</v>
      </c>
      <c r="E261" s="41">
        <v>36411</v>
      </c>
      <c r="F261" s="40" t="s">
        <v>87</v>
      </c>
      <c r="G261" s="40" t="s">
        <v>88</v>
      </c>
      <c r="H261" s="40" t="s">
        <v>598</v>
      </c>
      <c r="I261" s="42">
        <v>68500</v>
      </c>
      <c r="J261" s="40" t="s">
        <v>49</v>
      </c>
      <c r="K261" s="40">
        <v>27</v>
      </c>
      <c r="L261" s="40"/>
      <c r="M261" s="40" t="s">
        <v>49</v>
      </c>
      <c r="N261" s="40">
        <v>7000</v>
      </c>
    </row>
    <row r="262" spans="1:14">
      <c r="A262" s="40" t="s">
        <v>29</v>
      </c>
      <c r="B262" s="40" t="s">
        <v>599</v>
      </c>
      <c r="C262" s="40" t="s">
        <v>600</v>
      </c>
      <c r="D262" s="40">
        <v>49</v>
      </c>
      <c r="E262" s="41">
        <v>28286</v>
      </c>
      <c r="F262" s="40" t="s">
        <v>61</v>
      </c>
      <c r="G262" s="40" t="s">
        <v>62</v>
      </c>
      <c r="H262" s="40">
        <v>21900</v>
      </c>
      <c r="I262" s="40">
        <v>69000</v>
      </c>
      <c r="J262" s="40" t="s">
        <v>49</v>
      </c>
      <c r="K262" s="40" t="s">
        <v>601</v>
      </c>
      <c r="L262" s="40"/>
      <c r="M262" s="40" t="s">
        <v>49</v>
      </c>
      <c r="N262" s="40">
        <v>80500</v>
      </c>
    </row>
    <row r="263" spans="1:14">
      <c r="A263" s="40" t="s">
        <v>23</v>
      </c>
      <c r="B263" s="40" t="s">
        <v>602</v>
      </c>
      <c r="C263" s="40" t="s">
        <v>603</v>
      </c>
      <c r="D263" s="40">
        <v>71</v>
      </c>
      <c r="E263" s="41">
        <v>20187</v>
      </c>
      <c r="F263" s="40" t="s">
        <v>76</v>
      </c>
      <c r="G263" s="40" t="s">
        <v>71</v>
      </c>
      <c r="H263" s="40">
        <v>29200</v>
      </c>
      <c r="I263" s="40">
        <v>73500</v>
      </c>
      <c r="J263" s="40" t="s">
        <v>49</v>
      </c>
      <c r="K263" s="40">
        <v>2</v>
      </c>
      <c r="L263" s="40"/>
      <c r="M263" s="40" t="s">
        <v>49</v>
      </c>
      <c r="N263" s="40">
        <v>33000</v>
      </c>
    </row>
    <row r="264" spans="1:14">
      <c r="A264" s="40" t="s">
        <v>23</v>
      </c>
      <c r="B264" s="40" t="s">
        <v>604</v>
      </c>
      <c r="C264" s="40" t="s">
        <v>605</v>
      </c>
      <c r="D264" s="40">
        <v>65</v>
      </c>
      <c r="E264" s="41">
        <v>22314</v>
      </c>
      <c r="F264" s="40" t="s">
        <v>31</v>
      </c>
      <c r="G264" s="40" t="s">
        <v>255</v>
      </c>
      <c r="H264" s="40">
        <v>6100</v>
      </c>
      <c r="I264" s="40">
        <v>40000</v>
      </c>
      <c r="J264" s="40" t="s">
        <v>49</v>
      </c>
      <c r="K264" s="40" t="s">
        <v>606</v>
      </c>
      <c r="L264" s="40"/>
      <c r="M264" s="40" t="s">
        <v>49</v>
      </c>
      <c r="N264" s="40">
        <v>22500</v>
      </c>
    </row>
    <row r="265" spans="1:14">
      <c r="A265" s="40" t="s">
        <v>23</v>
      </c>
      <c r="B265" s="40" t="s">
        <v>607</v>
      </c>
      <c r="C265" s="40" t="s">
        <v>608</v>
      </c>
      <c r="D265" s="40">
        <v>65</v>
      </c>
      <c r="E265" s="41">
        <v>22297</v>
      </c>
      <c r="F265" s="40" t="s">
        <v>52</v>
      </c>
      <c r="G265" s="40" t="s">
        <v>57</v>
      </c>
      <c r="H265" s="43">
        <v>27300</v>
      </c>
      <c r="I265" s="40">
        <v>48500</v>
      </c>
      <c r="J265" s="40" t="s">
        <v>49</v>
      </c>
      <c r="K265" s="40">
        <v>29</v>
      </c>
      <c r="L265" s="40"/>
      <c r="M265" s="40" t="s">
        <v>49</v>
      </c>
      <c r="N265" s="40">
        <v>94000</v>
      </c>
    </row>
    <row r="266" spans="1:14">
      <c r="A266" s="40" t="s">
        <v>23</v>
      </c>
      <c r="B266" s="40" t="s">
        <v>609</v>
      </c>
      <c r="C266" s="40" t="s">
        <v>610</v>
      </c>
      <c r="D266" s="40">
        <v>57</v>
      </c>
      <c r="E266" s="41">
        <v>25350</v>
      </c>
      <c r="F266" s="40" t="s">
        <v>118</v>
      </c>
      <c r="G266" s="40" t="s">
        <v>88</v>
      </c>
      <c r="H266" s="40">
        <v>20600</v>
      </c>
      <c r="I266" s="40">
        <v>52500</v>
      </c>
      <c r="J266" s="40"/>
      <c r="K266" s="40">
        <v>16</v>
      </c>
      <c r="L266" s="40"/>
      <c r="M266" s="40"/>
      <c r="N266" s="40">
        <v>97000</v>
      </c>
    </row>
    <row r="267" spans="1:14">
      <c r="A267" s="40" t="s">
        <v>23</v>
      </c>
      <c r="B267" s="40" t="s">
        <v>611</v>
      </c>
      <c r="C267" s="40">
        <v>2800</v>
      </c>
      <c r="D267" s="40">
        <v>24</v>
      </c>
      <c r="E267" s="41">
        <v>37470</v>
      </c>
      <c r="F267" s="40" t="s">
        <v>254</v>
      </c>
      <c r="G267" s="40" t="s">
        <v>137</v>
      </c>
      <c r="H267" s="40">
        <v>16900</v>
      </c>
      <c r="I267" s="40">
        <v>42500</v>
      </c>
      <c r="J267" s="40" t="s">
        <v>28</v>
      </c>
      <c r="K267" s="40" t="s">
        <v>612</v>
      </c>
      <c r="L267" s="40"/>
      <c r="M267" s="40" t="s">
        <v>28</v>
      </c>
      <c r="N267" s="40">
        <v>12500</v>
      </c>
    </row>
    <row r="268" spans="1:14">
      <c r="A268" s="40" t="s">
        <v>29</v>
      </c>
      <c r="B268" s="40" t="s">
        <v>613</v>
      </c>
      <c r="C268" s="40" t="s">
        <v>614</v>
      </c>
      <c r="D268" s="40">
        <v>55</v>
      </c>
      <c r="E268" s="41">
        <v>25848</v>
      </c>
      <c r="F268" s="40" t="s">
        <v>70</v>
      </c>
      <c r="G268" s="40" t="s">
        <v>71</v>
      </c>
      <c r="H268" s="40"/>
      <c r="I268" s="40">
        <v>5000</v>
      </c>
      <c r="J268" s="40" t="s">
        <v>49</v>
      </c>
      <c r="K268" s="40">
        <v>8</v>
      </c>
      <c r="L268" s="40"/>
      <c r="M268" s="40" t="s">
        <v>49</v>
      </c>
      <c r="N268" s="40">
        <v>11000</v>
      </c>
    </row>
    <row r="269" spans="1:14">
      <c r="A269" s="40" t="s">
        <v>23</v>
      </c>
      <c r="B269" s="40" t="s">
        <v>568</v>
      </c>
      <c r="C269" s="40" t="s">
        <v>615</v>
      </c>
      <c r="D269" s="40">
        <v>67</v>
      </c>
      <c r="E269" s="41">
        <v>21573</v>
      </c>
      <c r="F269" s="40" t="s">
        <v>194</v>
      </c>
      <c r="G269" s="40" t="s">
        <v>195</v>
      </c>
      <c r="H269" s="40">
        <v>6400</v>
      </c>
      <c r="I269" s="40">
        <v>1000</v>
      </c>
      <c r="J269" s="40" t="s">
        <v>196</v>
      </c>
      <c r="K269" s="40">
        <v>27</v>
      </c>
      <c r="L269" s="40"/>
      <c r="M269" s="40" t="s">
        <v>196</v>
      </c>
      <c r="N269" s="40">
        <v>50000</v>
      </c>
    </row>
    <row r="270" spans="1:14">
      <c r="A270" s="40" t="s">
        <v>23</v>
      </c>
      <c r="B270" s="40" t="s">
        <v>616</v>
      </c>
      <c r="C270" s="40">
        <v>15600</v>
      </c>
      <c r="D270" s="40">
        <v>44</v>
      </c>
      <c r="E270" s="41">
        <v>29843</v>
      </c>
      <c r="F270" s="40" t="s">
        <v>37</v>
      </c>
      <c r="G270" s="40" t="s">
        <v>38</v>
      </c>
      <c r="H270" s="40">
        <v>11300</v>
      </c>
      <c r="I270" s="40">
        <v>55000</v>
      </c>
      <c r="J270" s="40" t="s">
        <v>49</v>
      </c>
      <c r="K270" s="40">
        <v>38</v>
      </c>
      <c r="L270" s="40"/>
      <c r="M270" s="40" t="s">
        <v>49</v>
      </c>
      <c r="N270" s="40">
        <v>68500</v>
      </c>
    </row>
    <row r="271" spans="1:14">
      <c r="A271" s="40" t="s">
        <v>23</v>
      </c>
      <c r="B271" s="40" t="s">
        <v>617</v>
      </c>
      <c r="C271" s="40" t="s">
        <v>618</v>
      </c>
      <c r="D271" s="40">
        <v>33</v>
      </c>
      <c r="E271" s="41">
        <v>34070</v>
      </c>
      <c r="F271" s="40" t="s">
        <v>254</v>
      </c>
      <c r="G271" s="40" t="s">
        <v>137</v>
      </c>
      <c r="H271" s="40">
        <v>29300</v>
      </c>
      <c r="I271" s="40">
        <v>69000</v>
      </c>
      <c r="J271" s="40" t="s">
        <v>28</v>
      </c>
      <c r="K271" s="40">
        <v>0</v>
      </c>
      <c r="L271" s="40"/>
      <c r="M271" s="40" t="s">
        <v>28</v>
      </c>
      <c r="N271" s="40">
        <v>4500</v>
      </c>
    </row>
    <row r="272" spans="1:14">
      <c r="A272" s="40" t="s">
        <v>23</v>
      </c>
      <c r="B272" s="40" t="s">
        <v>619</v>
      </c>
      <c r="C272" s="40" t="s">
        <v>620</v>
      </c>
      <c r="D272" s="40">
        <v>24</v>
      </c>
      <c r="E272" s="41">
        <v>37394</v>
      </c>
      <c r="F272" s="40" t="s">
        <v>621</v>
      </c>
      <c r="G272" s="40"/>
      <c r="H272" s="40">
        <v>14200</v>
      </c>
      <c r="I272" s="40">
        <v>71000</v>
      </c>
      <c r="J272" s="40" t="s">
        <v>49</v>
      </c>
      <c r="K272" s="40">
        <v>10</v>
      </c>
      <c r="L272" s="40"/>
      <c r="M272" s="40" t="s">
        <v>49</v>
      </c>
      <c r="N272" s="40">
        <v>91500</v>
      </c>
    </row>
    <row r="273" spans="1:14">
      <c r="A273" s="40" t="s">
        <v>23</v>
      </c>
      <c r="B273" s="40" t="s">
        <v>622</v>
      </c>
      <c r="C273" s="40">
        <v>31900</v>
      </c>
      <c r="D273" s="40">
        <v>20</v>
      </c>
      <c r="E273" s="41">
        <v>38678</v>
      </c>
      <c r="F273" s="40" t="s">
        <v>76</v>
      </c>
      <c r="G273" s="40" t="s">
        <v>71</v>
      </c>
      <c r="H273" s="43">
        <v>9300</v>
      </c>
      <c r="I273" s="43">
        <v>35000</v>
      </c>
      <c r="J273" s="40" t="s">
        <v>49</v>
      </c>
      <c r="K273" s="40">
        <v>5</v>
      </c>
      <c r="L273" s="40"/>
      <c r="M273" s="40" t="s">
        <v>49</v>
      </c>
      <c r="N273" s="40">
        <v>10500</v>
      </c>
    </row>
    <row r="274" spans="1:14">
      <c r="A274" s="40" t="s">
        <v>29</v>
      </c>
      <c r="B274" s="40" t="s">
        <v>623</v>
      </c>
      <c r="C274" s="40" t="s">
        <v>624</v>
      </c>
      <c r="D274" s="40">
        <v>20</v>
      </c>
      <c r="E274" s="41">
        <v>38704</v>
      </c>
      <c r="F274" s="40" t="s">
        <v>254</v>
      </c>
      <c r="G274" s="40" t="s">
        <v>84</v>
      </c>
      <c r="H274" s="40">
        <v>12900</v>
      </c>
      <c r="I274" s="42">
        <v>26500</v>
      </c>
      <c r="J274" s="40" t="s">
        <v>49</v>
      </c>
      <c r="K274" s="40">
        <v>13</v>
      </c>
      <c r="L274" s="40"/>
      <c r="M274" s="40" t="s">
        <v>49</v>
      </c>
      <c r="N274" s="40">
        <v>2000</v>
      </c>
    </row>
    <row r="275" spans="1:14">
      <c r="A275" s="40" t="s">
        <v>23</v>
      </c>
      <c r="B275" s="40" t="s">
        <v>625</v>
      </c>
      <c r="C275" s="40" t="s">
        <v>626</v>
      </c>
      <c r="D275" s="40"/>
      <c r="E275" s="41">
        <v>36337</v>
      </c>
      <c r="F275" s="40" t="s">
        <v>119</v>
      </c>
      <c r="G275" s="40" t="s">
        <v>91</v>
      </c>
      <c r="H275" s="40">
        <v>22500</v>
      </c>
      <c r="I275" s="40">
        <v>55500</v>
      </c>
      <c r="J275" s="40" t="s">
        <v>49</v>
      </c>
      <c r="K275" s="40">
        <v>32</v>
      </c>
      <c r="L275" s="40"/>
      <c r="M275" s="40" t="s">
        <v>49</v>
      </c>
      <c r="N275" s="40">
        <v>91500</v>
      </c>
    </row>
    <row r="276" spans="1:14">
      <c r="A276" s="40" t="s">
        <v>23</v>
      </c>
      <c r="B276" s="40" t="s">
        <v>627</v>
      </c>
      <c r="C276" s="40">
        <v>29500</v>
      </c>
      <c r="D276" s="40">
        <v>68</v>
      </c>
      <c r="E276" s="41">
        <v>21079</v>
      </c>
      <c r="F276" s="40" t="s">
        <v>194</v>
      </c>
      <c r="G276" s="40" t="s">
        <v>199</v>
      </c>
      <c r="H276" s="40" t="s">
        <v>628</v>
      </c>
      <c r="I276" s="40">
        <v>64500</v>
      </c>
      <c r="J276" s="40" t="s">
        <v>28</v>
      </c>
      <c r="K276" s="40">
        <v>32</v>
      </c>
      <c r="L276" s="40"/>
      <c r="M276" s="40" t="s">
        <v>28</v>
      </c>
      <c r="N276" s="40">
        <v>35500</v>
      </c>
    </row>
    <row r="277" spans="1:14">
      <c r="A277" s="40" t="s">
        <v>23</v>
      </c>
      <c r="B277" s="40" t="s">
        <v>477</v>
      </c>
      <c r="C277" s="40" t="s">
        <v>629</v>
      </c>
      <c r="D277" s="40">
        <v>53</v>
      </c>
      <c r="E277" s="41">
        <v>26558</v>
      </c>
      <c r="F277" s="40" t="s">
        <v>37</v>
      </c>
      <c r="G277" s="40" t="s">
        <v>114</v>
      </c>
      <c r="H277" s="40">
        <v>15500</v>
      </c>
      <c r="I277" s="40"/>
      <c r="J277" s="40" t="s">
        <v>49</v>
      </c>
      <c r="K277" s="40">
        <v>16</v>
      </c>
      <c r="L277" s="40"/>
      <c r="M277" s="40" t="s">
        <v>49</v>
      </c>
      <c r="N277" s="40">
        <v>41000</v>
      </c>
    </row>
    <row r="278" spans="1:14">
      <c r="A278" s="40" t="s">
        <v>23</v>
      </c>
      <c r="B278" s="40" t="s">
        <v>630</v>
      </c>
      <c r="C278" s="40" t="s">
        <v>631</v>
      </c>
      <c r="D278" s="40">
        <v>62</v>
      </c>
      <c r="E278" s="40"/>
      <c r="F278" s="40" t="s">
        <v>122</v>
      </c>
      <c r="G278" s="40" t="s">
        <v>98</v>
      </c>
      <c r="H278" s="40">
        <v>1900</v>
      </c>
      <c r="I278" s="40">
        <v>3500</v>
      </c>
      <c r="J278" s="40" t="s">
        <v>49</v>
      </c>
      <c r="K278" s="40">
        <v>19</v>
      </c>
      <c r="L278" s="40"/>
      <c r="M278" s="40" t="s">
        <v>49</v>
      </c>
      <c r="N278" s="40">
        <v>62000</v>
      </c>
    </row>
    <row r="279" spans="1:14">
      <c r="A279" s="40" t="s">
        <v>23</v>
      </c>
      <c r="B279" s="40" t="s">
        <v>632</v>
      </c>
      <c r="C279" s="40" t="s">
        <v>633</v>
      </c>
      <c r="D279" s="40">
        <v>61</v>
      </c>
      <c r="E279" s="41">
        <v>23964</v>
      </c>
      <c r="F279" s="40" t="s">
        <v>103</v>
      </c>
      <c r="G279" s="40" t="s">
        <v>104</v>
      </c>
      <c r="H279" s="40">
        <v>7000</v>
      </c>
      <c r="I279" s="40">
        <v>1500</v>
      </c>
      <c r="J279" s="40" t="s">
        <v>28</v>
      </c>
      <c r="K279" s="40">
        <v>32</v>
      </c>
      <c r="L279" s="40"/>
      <c r="M279" s="40" t="s">
        <v>28</v>
      </c>
      <c r="N279" s="40">
        <v>53000</v>
      </c>
    </row>
    <row r="280" spans="1:14">
      <c r="A280" s="40" t="s">
        <v>23</v>
      </c>
      <c r="B280" s="40" t="s">
        <v>634</v>
      </c>
      <c r="C280" s="40" t="s">
        <v>635</v>
      </c>
      <c r="D280" s="40">
        <v>25</v>
      </c>
      <c r="E280" s="41">
        <v>37118</v>
      </c>
      <c r="F280" s="40" t="s">
        <v>122</v>
      </c>
      <c r="G280" s="40" t="s">
        <v>98</v>
      </c>
      <c r="H280" s="40" t="s">
        <v>636</v>
      </c>
      <c r="I280" s="40">
        <v>1500</v>
      </c>
      <c r="J280" s="40">
        <v>1</v>
      </c>
      <c r="K280" s="40">
        <v>33</v>
      </c>
      <c r="L280" s="40"/>
      <c r="M280" s="40">
        <v>1</v>
      </c>
      <c r="N280" s="40">
        <v>14000</v>
      </c>
    </row>
    <row r="281" spans="1:14">
      <c r="A281" s="40" t="s">
        <v>209</v>
      </c>
      <c r="B281" s="40" t="s">
        <v>637</v>
      </c>
      <c r="C281" s="40" t="s">
        <v>638</v>
      </c>
      <c r="D281" s="40">
        <v>52</v>
      </c>
      <c r="E281" s="41">
        <v>27088</v>
      </c>
      <c r="F281" s="40" t="s">
        <v>31</v>
      </c>
      <c r="G281" s="40" t="s">
        <v>255</v>
      </c>
      <c r="H281" s="40">
        <v>24900</v>
      </c>
      <c r="I281" s="40">
        <v>0</v>
      </c>
      <c r="J281" s="40" t="s">
        <v>49</v>
      </c>
      <c r="K281" s="40" t="s">
        <v>310</v>
      </c>
      <c r="L281" s="40"/>
      <c r="M281" s="40" t="s">
        <v>49</v>
      </c>
      <c r="N281" s="40">
        <v>16000</v>
      </c>
    </row>
    <row r="282" spans="1:14">
      <c r="A282" s="40" t="s">
        <v>29</v>
      </c>
      <c r="B282" s="40" t="s">
        <v>639</v>
      </c>
      <c r="C282" s="40" t="s">
        <v>640</v>
      </c>
      <c r="D282" s="40">
        <v>33</v>
      </c>
      <c r="E282" s="41">
        <v>33989</v>
      </c>
      <c r="F282" s="40" t="s">
        <v>174</v>
      </c>
      <c r="G282" s="40" t="s">
        <v>114</v>
      </c>
      <c r="H282" s="40">
        <v>23400</v>
      </c>
      <c r="I282" s="40">
        <v>59000</v>
      </c>
      <c r="J282" s="40" t="s">
        <v>131</v>
      </c>
      <c r="K282" s="40">
        <v>35</v>
      </c>
      <c r="L282" s="40"/>
      <c r="M282" s="40" t="s">
        <v>131</v>
      </c>
      <c r="N282" s="40">
        <v>39000</v>
      </c>
    </row>
    <row r="283" spans="1:14">
      <c r="A283" s="40" t="s">
        <v>29</v>
      </c>
      <c r="B283" s="40" t="s">
        <v>641</v>
      </c>
      <c r="C283" s="40" t="s">
        <v>642</v>
      </c>
      <c r="D283" s="40">
        <v>48</v>
      </c>
      <c r="E283" s="41">
        <v>28737</v>
      </c>
      <c r="F283" s="40" t="s">
        <v>174</v>
      </c>
      <c r="G283" s="40" t="s">
        <v>38</v>
      </c>
      <c r="H283" s="40">
        <v>12400</v>
      </c>
      <c r="I283" s="40">
        <v>0</v>
      </c>
      <c r="J283" s="40" t="s">
        <v>49</v>
      </c>
      <c r="K283" s="40">
        <v>25</v>
      </c>
      <c r="L283" s="40"/>
      <c r="M283" s="40" t="s">
        <v>49</v>
      </c>
      <c r="N283" s="40">
        <v>65500</v>
      </c>
    </row>
    <row r="284" spans="1:14">
      <c r="A284" s="40" t="s">
        <v>29</v>
      </c>
      <c r="B284" s="40" t="s">
        <v>643</v>
      </c>
      <c r="C284" s="40" t="s">
        <v>644</v>
      </c>
      <c r="D284" s="40">
        <v>55</v>
      </c>
      <c r="E284" s="41">
        <v>26142</v>
      </c>
      <c r="F284" s="40" t="s">
        <v>26</v>
      </c>
      <c r="G284" s="40" t="s">
        <v>388</v>
      </c>
      <c r="H284" s="40" t="s">
        <v>645</v>
      </c>
      <c r="I284" s="40" t="s">
        <v>506</v>
      </c>
      <c r="J284" s="40" t="s">
        <v>28</v>
      </c>
      <c r="K284" s="40">
        <v>14</v>
      </c>
      <c r="L284" s="40"/>
      <c r="M284" s="40" t="s">
        <v>28</v>
      </c>
      <c r="N284" s="40">
        <v>27000</v>
      </c>
    </row>
    <row r="285" spans="1:14">
      <c r="A285" s="40" t="s">
        <v>23</v>
      </c>
      <c r="B285" s="40" t="s">
        <v>646</v>
      </c>
      <c r="C285" s="40" t="s">
        <v>647</v>
      </c>
      <c r="D285" s="40">
        <v>28</v>
      </c>
      <c r="E285" s="40"/>
      <c r="F285" s="40" t="s">
        <v>76</v>
      </c>
      <c r="G285" s="40" t="s">
        <v>71</v>
      </c>
      <c r="H285" s="40">
        <v>14500</v>
      </c>
      <c r="I285" s="40">
        <v>39500</v>
      </c>
      <c r="J285" s="40" t="s">
        <v>49</v>
      </c>
      <c r="K285" s="40">
        <v>18</v>
      </c>
      <c r="L285" s="40"/>
      <c r="M285" s="40" t="s">
        <v>49</v>
      </c>
      <c r="N285" s="40">
        <v>32000</v>
      </c>
    </row>
    <row r="286" spans="1:14">
      <c r="A286" s="40" t="s">
        <v>23</v>
      </c>
      <c r="B286" s="40" t="s">
        <v>648</v>
      </c>
      <c r="C286" s="40" t="s">
        <v>649</v>
      </c>
      <c r="D286" s="40">
        <v>52</v>
      </c>
      <c r="E286" s="41">
        <v>26921</v>
      </c>
      <c r="F286" s="40" t="s">
        <v>103</v>
      </c>
      <c r="G286" s="40" t="s">
        <v>91</v>
      </c>
      <c r="H286" s="40">
        <v>7300</v>
      </c>
      <c r="I286" s="40" t="s">
        <v>650</v>
      </c>
      <c r="J286" s="40" t="s">
        <v>49</v>
      </c>
      <c r="K286" s="40">
        <v>40</v>
      </c>
      <c r="L286" s="40"/>
      <c r="M286" s="40" t="s">
        <v>49</v>
      </c>
      <c r="N286" s="40">
        <v>34500</v>
      </c>
    </row>
    <row r="287" spans="1:14">
      <c r="A287" s="40" t="s">
        <v>23</v>
      </c>
      <c r="B287" s="40" t="s">
        <v>651</v>
      </c>
      <c r="C287" s="40" t="s">
        <v>652</v>
      </c>
      <c r="D287" s="40">
        <v>63</v>
      </c>
      <c r="E287" s="41">
        <v>23006</v>
      </c>
      <c r="F287" s="40" t="s">
        <v>653</v>
      </c>
      <c r="G287" s="40"/>
      <c r="H287" s="40">
        <v>11200</v>
      </c>
      <c r="I287" s="40"/>
      <c r="J287" s="40"/>
      <c r="K287" s="40">
        <v>41</v>
      </c>
      <c r="L287" s="40"/>
      <c r="M287" s="40"/>
      <c r="N287" s="40">
        <v>83500</v>
      </c>
    </row>
    <row r="288" spans="1:14">
      <c r="A288" s="40" t="s">
        <v>23</v>
      </c>
      <c r="B288" s="40" t="s">
        <v>654</v>
      </c>
      <c r="C288" s="40" t="s">
        <v>655</v>
      </c>
      <c r="D288" s="40">
        <v>53</v>
      </c>
      <c r="E288" s="41">
        <v>26840</v>
      </c>
      <c r="F288" s="40" t="s">
        <v>656</v>
      </c>
      <c r="G288" s="40"/>
      <c r="H288" s="40">
        <v>9500</v>
      </c>
      <c r="I288" s="43">
        <v>66500</v>
      </c>
      <c r="J288" s="40" t="s">
        <v>28</v>
      </c>
      <c r="K288" s="40">
        <v>38</v>
      </c>
      <c r="L288" s="40"/>
      <c r="M288" s="40" t="s">
        <v>28</v>
      </c>
      <c r="N288" s="40">
        <v>42500</v>
      </c>
    </row>
    <row r="289" spans="1:14">
      <c r="A289" s="40" t="s">
        <v>23</v>
      </c>
      <c r="B289" s="40" t="s">
        <v>657</v>
      </c>
      <c r="C289" s="40" t="s">
        <v>658</v>
      </c>
      <c r="D289" s="40">
        <v>71</v>
      </c>
      <c r="E289" s="41">
        <v>20275</v>
      </c>
      <c r="F289" s="40" t="s">
        <v>52</v>
      </c>
      <c r="G289" s="40" t="s">
        <v>57</v>
      </c>
      <c r="H289" s="40">
        <v>14200</v>
      </c>
      <c r="I289" s="40">
        <v>51000</v>
      </c>
      <c r="J289" s="40" t="s">
        <v>49</v>
      </c>
      <c r="K289" s="40">
        <v>10</v>
      </c>
      <c r="L289" s="40"/>
      <c r="M289" s="40" t="s">
        <v>49</v>
      </c>
      <c r="N289" s="40">
        <v>90500</v>
      </c>
    </row>
    <row r="290" spans="1:14">
      <c r="A290" s="40" t="s">
        <v>23</v>
      </c>
      <c r="B290" s="40" t="s">
        <v>477</v>
      </c>
      <c r="C290" s="40" t="s">
        <v>478</v>
      </c>
      <c r="D290" s="40">
        <v>37</v>
      </c>
      <c r="E290" s="41">
        <v>32414</v>
      </c>
      <c r="F290" s="40" t="s">
        <v>479</v>
      </c>
      <c r="G290" s="40"/>
      <c r="H290" s="40">
        <v>12800</v>
      </c>
      <c r="I290" s="40">
        <v>76500</v>
      </c>
      <c r="J290" s="40" t="s">
        <v>49</v>
      </c>
      <c r="K290" s="40" t="s">
        <v>418</v>
      </c>
      <c r="L290" s="40"/>
      <c r="M290" s="40" t="s">
        <v>49</v>
      </c>
      <c r="N290" s="40">
        <v>95000</v>
      </c>
    </row>
    <row r="291" spans="1:14">
      <c r="A291" s="40" t="s">
        <v>23</v>
      </c>
      <c r="B291" s="40" t="s">
        <v>659</v>
      </c>
      <c r="C291" s="40" t="s">
        <v>660</v>
      </c>
      <c r="D291" s="40">
        <v>22</v>
      </c>
      <c r="E291" s="41">
        <v>37936</v>
      </c>
      <c r="F291" s="40" t="s">
        <v>26</v>
      </c>
      <c r="G291" s="40" t="s">
        <v>48</v>
      </c>
      <c r="H291" s="43">
        <v>4100</v>
      </c>
      <c r="I291" s="40">
        <v>2000</v>
      </c>
      <c r="J291" s="40" t="s">
        <v>49</v>
      </c>
      <c r="K291" s="40">
        <v>8</v>
      </c>
      <c r="L291" s="40"/>
      <c r="M291" s="40" t="s">
        <v>49</v>
      </c>
      <c r="N291" s="40">
        <v>4000</v>
      </c>
    </row>
    <row r="292" spans="1:14">
      <c r="A292" s="40" t="s">
        <v>23</v>
      </c>
      <c r="B292" s="40" t="s">
        <v>661</v>
      </c>
      <c r="C292" s="40" t="s">
        <v>662</v>
      </c>
      <c r="D292" s="40">
        <v>37</v>
      </c>
      <c r="E292" s="41">
        <v>32680</v>
      </c>
      <c r="F292" s="40" t="s">
        <v>76</v>
      </c>
      <c r="G292" s="40" t="s">
        <v>71</v>
      </c>
      <c r="H292" s="40">
        <v>28900</v>
      </c>
      <c r="I292" s="40">
        <v>71000</v>
      </c>
      <c r="J292" s="40" t="s">
        <v>49</v>
      </c>
      <c r="K292" s="40">
        <v>28</v>
      </c>
      <c r="L292" s="40"/>
      <c r="M292" s="40" t="s">
        <v>49</v>
      </c>
      <c r="N292" s="40">
        <v>36500</v>
      </c>
    </row>
    <row r="293" spans="1:14">
      <c r="A293" s="40" t="s">
        <v>23</v>
      </c>
      <c r="B293" s="40" t="s">
        <v>663</v>
      </c>
      <c r="C293" s="40">
        <v>13200</v>
      </c>
      <c r="D293" s="40">
        <v>29</v>
      </c>
      <c r="E293" s="41">
        <v>35334</v>
      </c>
      <c r="F293" s="40" t="s">
        <v>61</v>
      </c>
      <c r="G293" s="40" t="s">
        <v>81</v>
      </c>
      <c r="H293" s="40">
        <v>19500</v>
      </c>
      <c r="I293" s="42">
        <v>57000</v>
      </c>
      <c r="J293" s="40" t="s">
        <v>49</v>
      </c>
      <c r="K293" s="40">
        <v>12</v>
      </c>
      <c r="L293" s="40"/>
      <c r="M293" s="40" t="s">
        <v>49</v>
      </c>
      <c r="N293" s="40">
        <v>20500</v>
      </c>
    </row>
    <row r="294" spans="1:14">
      <c r="A294" s="40" t="s">
        <v>23</v>
      </c>
      <c r="B294" s="40" t="s">
        <v>441</v>
      </c>
      <c r="C294" s="40" t="s">
        <v>664</v>
      </c>
      <c r="D294" s="40">
        <v>51</v>
      </c>
      <c r="E294" s="41">
        <v>27421</v>
      </c>
      <c r="F294" s="40" t="s">
        <v>133</v>
      </c>
      <c r="G294" s="40" t="s">
        <v>133</v>
      </c>
      <c r="H294" s="40">
        <v>26000</v>
      </c>
      <c r="I294" s="40">
        <v>47500</v>
      </c>
      <c r="J294" s="40" t="s">
        <v>49</v>
      </c>
      <c r="K294" s="40">
        <v>45</v>
      </c>
      <c r="L294" s="40"/>
      <c r="M294" s="40" t="s">
        <v>49</v>
      </c>
      <c r="N294" s="40">
        <v>60500</v>
      </c>
    </row>
    <row r="295" spans="1:14">
      <c r="A295" s="40" t="s">
        <v>29</v>
      </c>
      <c r="B295" s="40" t="s">
        <v>665</v>
      </c>
      <c r="C295" s="40" t="s">
        <v>666</v>
      </c>
      <c r="D295" s="40">
        <v>74</v>
      </c>
      <c r="E295" s="41">
        <v>19047</v>
      </c>
      <c r="F295" s="40" t="s">
        <v>52</v>
      </c>
      <c r="G295" s="40" t="s">
        <v>57</v>
      </c>
      <c r="H295" s="40">
        <v>24000</v>
      </c>
      <c r="I295" s="40">
        <v>35000</v>
      </c>
      <c r="J295" s="40" t="s">
        <v>49</v>
      </c>
      <c r="K295" s="40" t="s">
        <v>667</v>
      </c>
      <c r="L295" s="40"/>
      <c r="M295" s="40" t="s">
        <v>49</v>
      </c>
      <c r="N295" s="40">
        <v>29500</v>
      </c>
    </row>
    <row r="296" spans="1:14">
      <c r="A296" s="40" t="s">
        <v>23</v>
      </c>
      <c r="B296" s="40" t="s">
        <v>668</v>
      </c>
      <c r="C296" s="40" t="s">
        <v>669</v>
      </c>
      <c r="D296" s="40">
        <v>19</v>
      </c>
      <c r="E296" s="41">
        <v>39016</v>
      </c>
      <c r="F296" s="40" t="s">
        <v>61</v>
      </c>
      <c r="G296" s="40" t="s">
        <v>216</v>
      </c>
      <c r="H296" s="43">
        <v>14900</v>
      </c>
      <c r="I296" s="40">
        <v>17000</v>
      </c>
      <c r="J296" s="40" t="s">
        <v>49</v>
      </c>
      <c r="K296" s="40">
        <v>20</v>
      </c>
      <c r="L296" s="40"/>
      <c r="M296" s="40" t="s">
        <v>49</v>
      </c>
      <c r="N296" s="40">
        <v>29500</v>
      </c>
    </row>
    <row r="297" spans="1:14">
      <c r="A297" s="40" t="s">
        <v>29</v>
      </c>
      <c r="B297" s="40" t="s">
        <v>670</v>
      </c>
      <c r="C297" s="40">
        <v>32700</v>
      </c>
      <c r="D297" s="40">
        <v>57</v>
      </c>
      <c r="E297" s="41">
        <v>25369</v>
      </c>
      <c r="F297" s="40" t="s">
        <v>76</v>
      </c>
      <c r="G297" s="40" t="s">
        <v>208</v>
      </c>
      <c r="H297" s="40">
        <v>28600</v>
      </c>
      <c r="I297" s="42">
        <v>73500</v>
      </c>
      <c r="J297" s="40" t="s">
        <v>49</v>
      </c>
      <c r="K297" s="40">
        <v>29</v>
      </c>
      <c r="L297" s="40"/>
      <c r="M297" s="40" t="s">
        <v>49</v>
      </c>
      <c r="N297" s="40">
        <v>93500</v>
      </c>
    </row>
    <row r="298" spans="1:14">
      <c r="A298" s="40" t="s">
        <v>29</v>
      </c>
      <c r="B298" s="40" t="s">
        <v>671</v>
      </c>
      <c r="C298" s="40">
        <v>19200</v>
      </c>
      <c r="D298" s="40">
        <v>50</v>
      </c>
      <c r="E298" s="41">
        <v>27833</v>
      </c>
      <c r="F298" s="40" t="s">
        <v>492</v>
      </c>
      <c r="G298" s="40"/>
      <c r="H298" s="40">
        <v>16200</v>
      </c>
      <c r="I298" s="42">
        <v>25000</v>
      </c>
      <c r="J298" s="40" t="s">
        <v>196</v>
      </c>
      <c r="K298" s="40">
        <v>26</v>
      </c>
      <c r="L298" s="40"/>
      <c r="M298" s="40" t="s">
        <v>196</v>
      </c>
      <c r="N298" s="40">
        <v>65000</v>
      </c>
    </row>
    <row r="299" spans="1:14">
      <c r="A299" s="40" t="s">
        <v>23</v>
      </c>
      <c r="B299" s="40" t="s">
        <v>393</v>
      </c>
      <c r="C299" s="40">
        <v>28500</v>
      </c>
      <c r="D299" s="40" t="s">
        <v>672</v>
      </c>
      <c r="E299" s="41">
        <v>31115</v>
      </c>
      <c r="F299" s="40" t="s">
        <v>90</v>
      </c>
      <c r="G299" s="40" t="s">
        <v>91</v>
      </c>
      <c r="H299" s="40">
        <v>23100</v>
      </c>
      <c r="I299" s="40">
        <v>36000</v>
      </c>
      <c r="J299" s="40" t="s">
        <v>49</v>
      </c>
      <c r="K299" s="40">
        <v>19</v>
      </c>
      <c r="L299" s="40"/>
      <c r="M299" s="40" t="s">
        <v>49</v>
      </c>
      <c r="N299" s="40">
        <v>37500</v>
      </c>
    </row>
    <row r="300" spans="1:14">
      <c r="A300" s="40" t="s">
        <v>23</v>
      </c>
      <c r="B300" s="40" t="s">
        <v>673</v>
      </c>
      <c r="C300" s="40">
        <v>13700</v>
      </c>
      <c r="D300" s="40">
        <v>73</v>
      </c>
      <c r="E300" s="41">
        <v>19323</v>
      </c>
      <c r="F300" s="40" t="s">
        <v>194</v>
      </c>
      <c r="G300" s="40" t="s">
        <v>408</v>
      </c>
      <c r="H300" s="40">
        <v>18100</v>
      </c>
      <c r="I300" s="40">
        <v>0</v>
      </c>
      <c r="J300" s="40" t="s">
        <v>49</v>
      </c>
      <c r="K300" s="40">
        <v>36</v>
      </c>
      <c r="L300" s="40"/>
      <c r="M300" s="40" t="s">
        <v>49</v>
      </c>
      <c r="N300" s="40">
        <v>89000</v>
      </c>
    </row>
    <row r="301" spans="1:14">
      <c r="A301" s="40" t="s">
        <v>123</v>
      </c>
      <c r="B301" s="40" t="s">
        <v>674</v>
      </c>
      <c r="C301" s="40">
        <v>33100</v>
      </c>
      <c r="D301" s="40"/>
      <c r="E301" s="41">
        <v>36759</v>
      </c>
      <c r="F301" s="40" t="s">
        <v>133</v>
      </c>
      <c r="G301" s="40" t="s">
        <v>133</v>
      </c>
      <c r="H301" s="40">
        <v>23200</v>
      </c>
      <c r="I301" s="40">
        <v>54500</v>
      </c>
      <c r="J301" s="40">
        <v>1</v>
      </c>
      <c r="K301" s="40">
        <v>26</v>
      </c>
      <c r="L301" s="40"/>
      <c r="M301" s="40">
        <v>1</v>
      </c>
      <c r="N301" s="40">
        <v>75000</v>
      </c>
    </row>
    <row r="302" spans="1:14">
      <c r="A302" s="40" t="s">
        <v>23</v>
      </c>
      <c r="B302" s="40" t="s">
        <v>675</v>
      </c>
      <c r="C302" s="40" t="s">
        <v>676</v>
      </c>
      <c r="D302" s="40">
        <v>25</v>
      </c>
      <c r="E302" s="41">
        <v>36792</v>
      </c>
      <c r="F302" s="40" t="s">
        <v>26</v>
      </c>
      <c r="G302" s="40" t="s">
        <v>27</v>
      </c>
      <c r="H302" s="40">
        <v>22100</v>
      </c>
      <c r="I302" s="40">
        <v>30500</v>
      </c>
      <c r="J302" s="40" t="s">
        <v>49</v>
      </c>
      <c r="K302" s="40" t="s">
        <v>220</v>
      </c>
      <c r="L302" s="40"/>
      <c r="M302" s="40" t="s">
        <v>49</v>
      </c>
      <c r="N302" s="40">
        <v>48000</v>
      </c>
    </row>
    <row r="303" spans="1:14">
      <c r="A303" s="40" t="s">
        <v>54</v>
      </c>
      <c r="B303" s="40" t="s">
        <v>677</v>
      </c>
      <c r="C303" s="40" t="s">
        <v>678</v>
      </c>
      <c r="D303" s="40">
        <v>36</v>
      </c>
      <c r="E303" s="41">
        <v>33117</v>
      </c>
      <c r="F303" s="40" t="s">
        <v>194</v>
      </c>
      <c r="G303" s="40" t="s">
        <v>408</v>
      </c>
      <c r="H303" s="40">
        <v>11600</v>
      </c>
      <c r="I303" s="40">
        <v>78500</v>
      </c>
      <c r="J303" s="40" t="s">
        <v>49</v>
      </c>
      <c r="K303" s="40">
        <v>1</v>
      </c>
      <c r="L303" s="40"/>
      <c r="M303" s="40" t="s">
        <v>49</v>
      </c>
      <c r="N303" s="40">
        <v>42000</v>
      </c>
    </row>
    <row r="304" spans="1:14">
      <c r="A304" s="40" t="s">
        <v>29</v>
      </c>
      <c r="B304" s="40" t="s">
        <v>679</v>
      </c>
      <c r="C304" s="40">
        <v>16600</v>
      </c>
      <c r="D304" s="40">
        <v>35</v>
      </c>
      <c r="E304" s="41">
        <v>33417</v>
      </c>
      <c r="F304" s="40" t="s">
        <v>122</v>
      </c>
      <c r="G304" s="40" t="s">
        <v>167</v>
      </c>
      <c r="H304" s="42">
        <v>12400</v>
      </c>
      <c r="I304" s="40">
        <v>0</v>
      </c>
      <c r="J304" s="40" t="s">
        <v>49</v>
      </c>
      <c r="K304" s="40">
        <v>3</v>
      </c>
      <c r="L304" s="40"/>
      <c r="M304" s="40" t="s">
        <v>49</v>
      </c>
      <c r="N304" s="40">
        <v>83500</v>
      </c>
    </row>
    <row r="305" spans="1:14">
      <c r="A305" s="40" t="s">
        <v>23</v>
      </c>
      <c r="B305" s="40" t="s">
        <v>680</v>
      </c>
      <c r="C305" s="40" t="s">
        <v>681</v>
      </c>
      <c r="D305" s="40">
        <v>64</v>
      </c>
      <c r="E305" s="41">
        <v>22845</v>
      </c>
      <c r="F305" s="40" t="s">
        <v>111</v>
      </c>
      <c r="G305" s="40" t="s">
        <v>126</v>
      </c>
      <c r="H305" s="40">
        <v>12700</v>
      </c>
      <c r="I305" s="40">
        <v>0</v>
      </c>
      <c r="J305" s="40" t="s">
        <v>49</v>
      </c>
      <c r="K305" s="40">
        <v>21</v>
      </c>
      <c r="L305" s="40"/>
      <c r="M305" s="40" t="s">
        <v>49</v>
      </c>
      <c r="N305" s="40">
        <v>50500</v>
      </c>
    </row>
    <row r="306" spans="1:14">
      <c r="A306" s="40" t="s">
        <v>23</v>
      </c>
      <c r="B306" s="40" t="s">
        <v>682</v>
      </c>
      <c r="C306" s="40" t="s">
        <v>683</v>
      </c>
      <c r="D306" s="40">
        <v>49</v>
      </c>
      <c r="E306" s="41">
        <v>28147</v>
      </c>
      <c r="F306" s="40" t="s">
        <v>174</v>
      </c>
      <c r="G306" s="40" t="s">
        <v>365</v>
      </c>
      <c r="H306" s="40">
        <v>28400</v>
      </c>
      <c r="I306" s="43">
        <v>38500</v>
      </c>
      <c r="J306" s="40" t="s">
        <v>140</v>
      </c>
      <c r="K306" s="40" t="s">
        <v>612</v>
      </c>
      <c r="L306" s="40"/>
      <c r="M306" s="40" t="s">
        <v>140</v>
      </c>
      <c r="N306" s="40">
        <v>51000</v>
      </c>
    </row>
    <row r="307" spans="1:14">
      <c r="A307" s="40" t="s">
        <v>23</v>
      </c>
      <c r="B307" s="40" t="s">
        <v>684</v>
      </c>
      <c r="C307" s="40" t="s">
        <v>685</v>
      </c>
      <c r="D307" s="40">
        <v>50</v>
      </c>
      <c r="E307" s="41">
        <v>27886</v>
      </c>
      <c r="F307" s="40" t="s">
        <v>133</v>
      </c>
      <c r="G307" s="40" t="s">
        <v>133</v>
      </c>
      <c r="H307" s="40">
        <v>16100</v>
      </c>
      <c r="I307" s="43">
        <v>8000</v>
      </c>
      <c r="J307" s="40" t="s">
        <v>28</v>
      </c>
      <c r="K307" s="40">
        <v>30</v>
      </c>
      <c r="L307" s="40"/>
      <c r="M307" s="40" t="s">
        <v>28</v>
      </c>
      <c r="N307" s="40">
        <v>27000</v>
      </c>
    </row>
    <row r="308" spans="1:14">
      <c r="A308" s="40"/>
      <c r="B308" s="40" t="s">
        <v>686</v>
      </c>
      <c r="C308" s="40" t="s">
        <v>687</v>
      </c>
      <c r="D308" s="40"/>
      <c r="E308" s="41">
        <v>33188</v>
      </c>
      <c r="F308" s="40" t="s">
        <v>76</v>
      </c>
      <c r="G308" s="40" t="s">
        <v>71</v>
      </c>
      <c r="H308" s="40">
        <v>29900</v>
      </c>
      <c r="I308" s="42">
        <v>64500</v>
      </c>
      <c r="J308" s="40" t="s">
        <v>49</v>
      </c>
      <c r="K308" s="40">
        <v>34</v>
      </c>
      <c r="L308" s="40"/>
      <c r="M308" s="40" t="s">
        <v>49</v>
      </c>
      <c r="N308" s="40">
        <v>48500</v>
      </c>
    </row>
    <row r="309" spans="1:14">
      <c r="A309" s="40" t="s">
        <v>23</v>
      </c>
      <c r="B309" s="40" t="s">
        <v>688</v>
      </c>
      <c r="C309" s="40" t="s">
        <v>689</v>
      </c>
      <c r="D309" s="40">
        <v>39</v>
      </c>
      <c r="E309" s="41">
        <v>31968</v>
      </c>
      <c r="F309" s="40" t="s">
        <v>656</v>
      </c>
      <c r="G309" s="40"/>
      <c r="H309" s="40">
        <v>8000</v>
      </c>
      <c r="I309" s="43">
        <v>69000</v>
      </c>
      <c r="J309" s="40" t="s">
        <v>49</v>
      </c>
      <c r="K309" s="40">
        <v>15</v>
      </c>
      <c r="L309" s="40"/>
      <c r="M309" s="40" t="s">
        <v>49</v>
      </c>
      <c r="N309" s="40">
        <v>39500</v>
      </c>
    </row>
    <row r="310" spans="1:14">
      <c r="A310" s="40" t="s">
        <v>54</v>
      </c>
      <c r="B310" s="40" t="s">
        <v>690</v>
      </c>
      <c r="C310" s="40" t="s">
        <v>691</v>
      </c>
      <c r="D310" s="40">
        <v>19</v>
      </c>
      <c r="E310" s="41">
        <v>39003</v>
      </c>
      <c r="F310" s="40" t="s">
        <v>103</v>
      </c>
      <c r="G310" s="40" t="s">
        <v>91</v>
      </c>
      <c r="H310" s="40" t="s">
        <v>692</v>
      </c>
      <c r="I310" s="43">
        <v>29500</v>
      </c>
      <c r="J310" s="40" t="s">
        <v>28</v>
      </c>
      <c r="K310" s="40">
        <v>13</v>
      </c>
      <c r="L310" s="40"/>
      <c r="M310" s="40" t="s">
        <v>28</v>
      </c>
      <c r="N310" s="40">
        <v>5000</v>
      </c>
    </row>
    <row r="311" spans="1:14">
      <c r="A311" s="40" t="s">
        <v>29</v>
      </c>
      <c r="B311" s="40" t="s">
        <v>401</v>
      </c>
      <c r="C311" s="40" t="s">
        <v>402</v>
      </c>
      <c r="D311" s="40">
        <v>63</v>
      </c>
      <c r="E311" s="41">
        <v>22924</v>
      </c>
      <c r="F311" s="40" t="s">
        <v>76</v>
      </c>
      <c r="G311" s="40" t="s">
        <v>208</v>
      </c>
      <c r="H311" s="40">
        <v>29000</v>
      </c>
      <c r="I311" s="42">
        <v>36500</v>
      </c>
      <c r="J311" s="40" t="s">
        <v>49</v>
      </c>
      <c r="K311" s="40">
        <v>38</v>
      </c>
      <c r="L311" s="40"/>
      <c r="M311" s="40" t="s">
        <v>49</v>
      </c>
      <c r="N311" s="40">
        <v>68000</v>
      </c>
    </row>
    <row r="312" spans="1:14">
      <c r="A312" s="40" t="s">
        <v>23</v>
      </c>
      <c r="B312" s="40" t="s">
        <v>693</v>
      </c>
      <c r="C312" s="40">
        <v>17900</v>
      </c>
      <c r="D312" s="40">
        <v>44</v>
      </c>
      <c r="E312" s="41">
        <v>29991</v>
      </c>
      <c r="F312" s="40" t="s">
        <v>174</v>
      </c>
      <c r="G312" s="40"/>
      <c r="H312" s="40">
        <v>6700</v>
      </c>
      <c r="I312" s="40">
        <v>16500</v>
      </c>
      <c r="J312" s="40" t="s">
        <v>28</v>
      </c>
      <c r="K312" s="40">
        <v>38</v>
      </c>
      <c r="L312" s="40"/>
      <c r="M312" s="40" t="s">
        <v>28</v>
      </c>
      <c r="N312" s="40">
        <v>15500</v>
      </c>
    </row>
    <row r="313" spans="1:14">
      <c r="A313" s="40" t="s">
        <v>54</v>
      </c>
      <c r="B313" s="40" t="s">
        <v>637</v>
      </c>
      <c r="C313" s="40" t="s">
        <v>694</v>
      </c>
      <c r="D313" s="40">
        <v>26</v>
      </c>
      <c r="E313" s="41">
        <v>36671</v>
      </c>
      <c r="F313" s="40" t="s">
        <v>31</v>
      </c>
      <c r="G313" s="40" t="s">
        <v>137</v>
      </c>
      <c r="H313" s="40">
        <v>25000</v>
      </c>
      <c r="I313" s="40">
        <v>1000</v>
      </c>
      <c r="J313" s="40" t="s">
        <v>49</v>
      </c>
      <c r="K313" s="40">
        <v>16</v>
      </c>
      <c r="L313" s="40"/>
      <c r="M313" s="40" t="s">
        <v>49</v>
      </c>
      <c r="N313" s="40">
        <v>10500</v>
      </c>
    </row>
    <row r="314" spans="1:14">
      <c r="A314" s="40" t="s">
        <v>23</v>
      </c>
      <c r="B314" s="40" t="s">
        <v>695</v>
      </c>
      <c r="C314" s="40">
        <v>25200</v>
      </c>
      <c r="D314" s="40">
        <v>44</v>
      </c>
      <c r="E314" s="41">
        <v>30081</v>
      </c>
      <c r="F314" s="40" t="s">
        <v>76</v>
      </c>
      <c r="G314" s="40" t="s">
        <v>71</v>
      </c>
      <c r="H314" s="40">
        <v>9600</v>
      </c>
      <c r="I314" s="43">
        <v>66000</v>
      </c>
      <c r="J314" s="40"/>
      <c r="K314" s="40">
        <v>11</v>
      </c>
      <c r="L314" s="40"/>
      <c r="M314" s="40"/>
      <c r="N314" s="40">
        <v>4500</v>
      </c>
    </row>
    <row r="315" spans="1:14">
      <c r="A315" s="40" t="s">
        <v>23</v>
      </c>
      <c r="B315" s="40" t="s">
        <v>696</v>
      </c>
      <c r="C315" s="40">
        <v>29900</v>
      </c>
      <c r="D315" s="40" t="s">
        <v>214</v>
      </c>
      <c r="E315" s="40"/>
      <c r="F315" s="40" t="s">
        <v>90</v>
      </c>
      <c r="G315" s="40" t="s">
        <v>91</v>
      </c>
      <c r="H315" s="40">
        <v>21300</v>
      </c>
      <c r="I315" s="40">
        <v>60500</v>
      </c>
      <c r="J315" s="40"/>
      <c r="K315" s="40">
        <v>15</v>
      </c>
      <c r="L315" s="40"/>
      <c r="M315" s="40"/>
      <c r="N315" s="40">
        <v>74500</v>
      </c>
    </row>
    <row r="316" spans="1:14">
      <c r="A316" s="40" t="s">
        <v>23</v>
      </c>
      <c r="B316" s="40" t="s">
        <v>697</v>
      </c>
      <c r="C316" s="40" t="s">
        <v>698</v>
      </c>
      <c r="D316" s="40">
        <v>69</v>
      </c>
      <c r="E316" s="41">
        <v>21054</v>
      </c>
      <c r="F316" s="40" t="s">
        <v>122</v>
      </c>
      <c r="G316" s="40" t="s">
        <v>98</v>
      </c>
      <c r="H316" s="43">
        <v>23800</v>
      </c>
      <c r="I316" s="40" t="s">
        <v>40</v>
      </c>
      <c r="J316" s="40"/>
      <c r="K316" s="40">
        <v>26</v>
      </c>
      <c r="L316" s="40"/>
      <c r="M316" s="40"/>
      <c r="N316" s="40">
        <v>89000</v>
      </c>
    </row>
    <row r="317" spans="1:14">
      <c r="A317" s="40" t="s">
        <v>23</v>
      </c>
      <c r="B317" s="40" t="s">
        <v>699</v>
      </c>
      <c r="C317" s="40" t="s">
        <v>700</v>
      </c>
      <c r="D317" s="40">
        <v>67</v>
      </c>
      <c r="E317" s="41">
        <v>21522</v>
      </c>
      <c r="F317" s="40" t="s">
        <v>254</v>
      </c>
      <c r="G317" s="40" t="s">
        <v>255</v>
      </c>
      <c r="H317" s="40">
        <v>11300</v>
      </c>
      <c r="I317" s="40">
        <v>49500</v>
      </c>
      <c r="J317" s="40" t="s">
        <v>49</v>
      </c>
      <c r="K317" s="40">
        <v>12</v>
      </c>
      <c r="L317" s="40"/>
      <c r="M317" s="40" t="s">
        <v>49</v>
      </c>
      <c r="N317" s="40">
        <v>34500</v>
      </c>
    </row>
    <row r="318" spans="1:14">
      <c r="A318" s="40" t="s">
        <v>23</v>
      </c>
      <c r="B318" s="40" t="s">
        <v>701</v>
      </c>
      <c r="C318" s="40" t="s">
        <v>702</v>
      </c>
      <c r="D318" s="40" t="s">
        <v>703</v>
      </c>
      <c r="E318" s="41">
        <v>27378</v>
      </c>
      <c r="F318" s="40" t="s">
        <v>133</v>
      </c>
      <c r="G318" s="40" t="s">
        <v>133</v>
      </c>
      <c r="H318" s="42">
        <v>11600</v>
      </c>
      <c r="I318" s="40">
        <v>41000</v>
      </c>
      <c r="J318" s="40" t="s">
        <v>49</v>
      </c>
      <c r="K318" s="40" t="s">
        <v>704</v>
      </c>
      <c r="L318" s="40"/>
      <c r="M318" s="40" t="s">
        <v>49</v>
      </c>
      <c r="N318" s="40">
        <v>67000</v>
      </c>
    </row>
    <row r="319" spans="1:14">
      <c r="A319" s="40" t="s">
        <v>23</v>
      </c>
      <c r="B319" s="40" t="s">
        <v>705</v>
      </c>
      <c r="C319" s="40" t="s">
        <v>706</v>
      </c>
      <c r="D319" s="40">
        <v>49</v>
      </c>
      <c r="E319" s="41">
        <v>28067</v>
      </c>
      <c r="F319" s="40" t="s">
        <v>61</v>
      </c>
      <c r="G319" s="40" t="s">
        <v>81</v>
      </c>
      <c r="H319" s="40">
        <v>29800</v>
      </c>
      <c r="I319" s="43">
        <v>54500</v>
      </c>
      <c r="J319" s="40" t="s">
        <v>49</v>
      </c>
      <c r="K319" s="40">
        <v>34</v>
      </c>
      <c r="L319" s="40"/>
      <c r="M319" s="40" t="s">
        <v>49</v>
      </c>
      <c r="N319" s="40">
        <v>72000</v>
      </c>
    </row>
    <row r="320" spans="1:14">
      <c r="A320" s="40" t="s">
        <v>23</v>
      </c>
      <c r="B320" s="40" t="s">
        <v>377</v>
      </c>
      <c r="C320" s="40" t="s">
        <v>707</v>
      </c>
      <c r="D320" s="40">
        <v>20</v>
      </c>
      <c r="E320" s="41">
        <v>38957</v>
      </c>
      <c r="F320" s="40" t="s">
        <v>111</v>
      </c>
      <c r="G320" s="40" t="s">
        <v>91</v>
      </c>
      <c r="H320" s="40">
        <v>18200</v>
      </c>
      <c r="I320" s="40"/>
      <c r="J320" s="40" t="s">
        <v>49</v>
      </c>
      <c r="K320" s="40">
        <v>21</v>
      </c>
      <c r="L320" s="40"/>
      <c r="M320" s="40" t="s">
        <v>49</v>
      </c>
      <c r="N320" s="40">
        <v>61500</v>
      </c>
    </row>
    <row r="321" spans="1:14">
      <c r="A321" s="40" t="s">
        <v>23</v>
      </c>
      <c r="B321" s="40" t="s">
        <v>571</v>
      </c>
      <c r="C321" s="40">
        <v>19300</v>
      </c>
      <c r="D321" s="40">
        <v>74</v>
      </c>
      <c r="E321" s="41">
        <v>19131</v>
      </c>
      <c r="F321" s="40" t="s">
        <v>174</v>
      </c>
      <c r="G321" s="40" t="s">
        <v>283</v>
      </c>
      <c r="H321" s="40">
        <v>20700</v>
      </c>
      <c r="I321" s="42">
        <v>17500</v>
      </c>
      <c r="J321" s="40" t="s">
        <v>49</v>
      </c>
      <c r="K321" s="40">
        <v>35</v>
      </c>
      <c r="L321" s="40"/>
      <c r="M321" s="40" t="s">
        <v>49</v>
      </c>
      <c r="N321" s="40">
        <v>68500</v>
      </c>
    </row>
    <row r="322" spans="1:14">
      <c r="A322" s="40" t="s">
        <v>29</v>
      </c>
      <c r="B322" s="40" t="s">
        <v>552</v>
      </c>
      <c r="C322" s="40">
        <v>6400</v>
      </c>
      <c r="D322" s="40">
        <v>57</v>
      </c>
      <c r="E322" s="41">
        <v>25206</v>
      </c>
      <c r="F322" s="40" t="s">
        <v>87</v>
      </c>
      <c r="G322" s="40" t="s">
        <v>305</v>
      </c>
      <c r="H322" s="40">
        <v>3400</v>
      </c>
      <c r="I322" s="40">
        <v>23500</v>
      </c>
      <c r="J322" s="40" t="s">
        <v>49</v>
      </c>
      <c r="K322" s="40">
        <v>20</v>
      </c>
      <c r="L322" s="40"/>
      <c r="M322" s="40" t="s">
        <v>49</v>
      </c>
      <c r="N322" s="40">
        <v>50500</v>
      </c>
    </row>
    <row r="323" spans="1:14">
      <c r="A323" s="40" t="s">
        <v>23</v>
      </c>
      <c r="B323" s="40" t="s">
        <v>355</v>
      </c>
      <c r="C323" s="40" t="s">
        <v>356</v>
      </c>
      <c r="D323" s="40">
        <v>56</v>
      </c>
      <c r="E323" s="41">
        <v>25671</v>
      </c>
      <c r="F323" s="40" t="s">
        <v>118</v>
      </c>
      <c r="G323" s="40" t="s">
        <v>88</v>
      </c>
      <c r="H323" s="40">
        <v>28300</v>
      </c>
      <c r="I323" s="40">
        <v>56000</v>
      </c>
      <c r="J323" s="40" t="s">
        <v>49</v>
      </c>
      <c r="K323" s="40">
        <v>6</v>
      </c>
      <c r="L323" s="40"/>
      <c r="M323" s="40" t="s">
        <v>49</v>
      </c>
      <c r="N323" s="40">
        <v>84500</v>
      </c>
    </row>
    <row r="324" spans="1:14">
      <c r="A324" s="40" t="s">
        <v>23</v>
      </c>
      <c r="B324" s="40" t="s">
        <v>708</v>
      </c>
      <c r="C324" s="40" t="s">
        <v>709</v>
      </c>
      <c r="D324" s="40">
        <v>68</v>
      </c>
      <c r="E324" s="41">
        <v>21145</v>
      </c>
      <c r="F324" s="40" t="s">
        <v>31</v>
      </c>
      <c r="G324" s="40" t="s">
        <v>32</v>
      </c>
      <c r="H324" s="40">
        <v>24500</v>
      </c>
      <c r="I324" s="40">
        <v>16500</v>
      </c>
      <c r="J324" s="40" t="s">
        <v>49</v>
      </c>
      <c r="K324" s="40">
        <v>22</v>
      </c>
      <c r="L324" s="40"/>
      <c r="M324" s="40" t="s">
        <v>49</v>
      </c>
      <c r="N324" s="40">
        <v>34500</v>
      </c>
    </row>
    <row r="325" spans="1:14">
      <c r="A325" s="40" t="s">
        <v>29</v>
      </c>
      <c r="B325" s="40" t="s">
        <v>710</v>
      </c>
      <c r="C325" s="40" t="s">
        <v>711</v>
      </c>
      <c r="D325" s="40">
        <v>73</v>
      </c>
      <c r="E325" s="40"/>
      <c r="F325" s="40" t="s">
        <v>90</v>
      </c>
      <c r="G325" s="40" t="s">
        <v>91</v>
      </c>
      <c r="H325" s="40" t="s">
        <v>712</v>
      </c>
      <c r="I325" s="40">
        <v>47000</v>
      </c>
      <c r="J325" s="40" t="s">
        <v>49</v>
      </c>
      <c r="K325" s="40">
        <v>19</v>
      </c>
      <c r="L325" s="40"/>
      <c r="M325" s="40" t="s">
        <v>49</v>
      </c>
      <c r="N325" s="40">
        <v>20500</v>
      </c>
    </row>
    <row r="326" spans="1:14">
      <c r="A326" s="40" t="s">
        <v>23</v>
      </c>
      <c r="B326" s="40" t="s">
        <v>713</v>
      </c>
      <c r="C326" s="40" t="s">
        <v>714</v>
      </c>
      <c r="D326" s="40">
        <v>67</v>
      </c>
      <c r="E326" s="41">
        <v>21497</v>
      </c>
      <c r="F326" s="40" t="s">
        <v>44</v>
      </c>
      <c r="G326" s="40"/>
      <c r="H326" s="40" t="s">
        <v>715</v>
      </c>
      <c r="I326" s="42">
        <v>73500</v>
      </c>
      <c r="J326" s="40" t="s">
        <v>28</v>
      </c>
      <c r="K326" s="40">
        <v>7</v>
      </c>
      <c r="L326" s="40"/>
      <c r="M326" s="40" t="s">
        <v>28</v>
      </c>
      <c r="N326" s="40">
        <v>24500</v>
      </c>
    </row>
    <row r="327" spans="1:14">
      <c r="A327" s="40" t="s">
        <v>23</v>
      </c>
      <c r="B327" s="40" t="s">
        <v>716</v>
      </c>
      <c r="C327" s="40" t="s">
        <v>717</v>
      </c>
      <c r="D327" s="40">
        <v>54</v>
      </c>
      <c r="E327" s="41">
        <v>26230</v>
      </c>
      <c r="F327" s="40" t="s">
        <v>111</v>
      </c>
      <c r="G327" s="40" t="s">
        <v>104</v>
      </c>
      <c r="H327" s="40">
        <v>18700</v>
      </c>
      <c r="I327" s="40">
        <v>46000</v>
      </c>
      <c r="J327" s="40" t="s">
        <v>28</v>
      </c>
      <c r="K327" s="40">
        <v>4</v>
      </c>
      <c r="L327" s="40"/>
      <c r="M327" s="40" t="s">
        <v>28</v>
      </c>
      <c r="N327" s="40">
        <v>27500</v>
      </c>
    </row>
    <row r="328" spans="1:14">
      <c r="A328" s="40" t="s">
        <v>23</v>
      </c>
      <c r="B328" s="40" t="s">
        <v>392</v>
      </c>
      <c r="C328" s="40">
        <v>36900</v>
      </c>
      <c r="D328" s="40">
        <v>61</v>
      </c>
      <c r="E328" s="41">
        <v>23928</v>
      </c>
      <c r="F328" s="40" t="s">
        <v>254</v>
      </c>
      <c r="G328" s="40" t="s">
        <v>32</v>
      </c>
      <c r="H328" s="40">
        <v>22900</v>
      </c>
      <c r="I328" s="40">
        <v>7500</v>
      </c>
      <c r="J328" s="40" t="s">
        <v>49</v>
      </c>
      <c r="K328" s="40">
        <v>12</v>
      </c>
      <c r="L328" s="40"/>
      <c r="M328" s="40" t="s">
        <v>49</v>
      </c>
      <c r="N328" s="40">
        <v>33000</v>
      </c>
    </row>
    <row r="329" spans="1:14">
      <c r="A329" s="40" t="s">
        <v>23</v>
      </c>
      <c r="B329" s="40" t="s">
        <v>713</v>
      </c>
      <c r="C329" s="40" t="s">
        <v>718</v>
      </c>
      <c r="D329" s="40">
        <v>60</v>
      </c>
      <c r="E329" s="41">
        <v>24054</v>
      </c>
      <c r="F329" s="40" t="s">
        <v>26</v>
      </c>
      <c r="G329" s="40" t="s">
        <v>48</v>
      </c>
      <c r="H329" s="40">
        <v>22600</v>
      </c>
      <c r="I329" s="40" t="s">
        <v>719</v>
      </c>
      <c r="J329" s="40" t="s">
        <v>49</v>
      </c>
      <c r="K329" s="40">
        <v>9</v>
      </c>
      <c r="L329" s="40"/>
      <c r="M329" s="40" t="s">
        <v>49</v>
      </c>
      <c r="N329" s="40">
        <v>58500</v>
      </c>
    </row>
    <row r="330" spans="1:14">
      <c r="A330" s="40" t="s">
        <v>23</v>
      </c>
      <c r="B330" s="40" t="s">
        <v>288</v>
      </c>
      <c r="C330" s="40">
        <v>36000</v>
      </c>
      <c r="D330" s="40">
        <v>26</v>
      </c>
      <c r="E330" s="41">
        <v>36573</v>
      </c>
      <c r="F330" s="40" t="s">
        <v>653</v>
      </c>
      <c r="G330" s="40"/>
      <c r="H330" s="40">
        <v>4800</v>
      </c>
      <c r="I330" s="40" t="s">
        <v>720</v>
      </c>
      <c r="J330" s="40" t="s">
        <v>28</v>
      </c>
      <c r="K330" s="40">
        <v>6</v>
      </c>
      <c r="L330" s="40"/>
      <c r="M330" s="40" t="s">
        <v>28</v>
      </c>
      <c r="N330" s="40">
        <v>56500</v>
      </c>
    </row>
    <row r="331" spans="1:14">
      <c r="A331" s="40" t="s">
        <v>29</v>
      </c>
      <c r="B331" s="40" t="s">
        <v>721</v>
      </c>
      <c r="C331" s="40">
        <v>32500</v>
      </c>
      <c r="D331" s="40">
        <v>48</v>
      </c>
      <c r="E331" s="41">
        <v>28446</v>
      </c>
      <c r="F331" s="40" t="s">
        <v>37</v>
      </c>
      <c r="G331" s="40" t="s">
        <v>283</v>
      </c>
      <c r="H331" s="40">
        <v>6900</v>
      </c>
      <c r="I331" s="40">
        <v>52500</v>
      </c>
      <c r="J331" s="40" t="s">
        <v>28</v>
      </c>
      <c r="K331" s="40">
        <v>0</v>
      </c>
      <c r="L331" s="40"/>
      <c r="M331" s="40" t="s">
        <v>28</v>
      </c>
      <c r="N331" s="40">
        <v>66000</v>
      </c>
    </row>
    <row r="332" spans="1:14">
      <c r="A332" s="40" t="s">
        <v>23</v>
      </c>
      <c r="B332" s="40" t="s">
        <v>722</v>
      </c>
      <c r="C332" s="40" t="s">
        <v>723</v>
      </c>
      <c r="D332" s="40">
        <v>69</v>
      </c>
      <c r="E332" s="40"/>
      <c r="F332" s="40" t="s">
        <v>254</v>
      </c>
      <c r="G332" s="40" t="s">
        <v>137</v>
      </c>
      <c r="H332" s="40">
        <v>11400</v>
      </c>
      <c r="I332" s="40">
        <v>0</v>
      </c>
      <c r="J332" s="40" t="s">
        <v>131</v>
      </c>
      <c r="K332" s="40">
        <v>13</v>
      </c>
      <c r="L332" s="40"/>
      <c r="M332" s="40" t="s">
        <v>131</v>
      </c>
      <c r="N332" s="40">
        <v>79000</v>
      </c>
    </row>
    <row r="333" spans="1:14">
      <c r="A333" s="40" t="s">
        <v>23</v>
      </c>
      <c r="B333" s="40" t="s">
        <v>96</v>
      </c>
      <c r="C333" s="40">
        <v>22300</v>
      </c>
      <c r="D333" s="40">
        <v>25</v>
      </c>
      <c r="E333" s="41">
        <v>36831</v>
      </c>
      <c r="F333" s="40" t="s">
        <v>97</v>
      </c>
      <c r="G333" s="40" t="s">
        <v>98</v>
      </c>
      <c r="H333" s="43">
        <v>9400</v>
      </c>
      <c r="I333" s="40">
        <v>51500</v>
      </c>
      <c r="J333" s="40" t="s">
        <v>49</v>
      </c>
      <c r="K333" s="40">
        <v>14</v>
      </c>
      <c r="L333" s="40"/>
      <c r="M333" s="40" t="s">
        <v>49</v>
      </c>
      <c r="N333" s="40">
        <v>74000</v>
      </c>
    </row>
    <row r="334" spans="1:14">
      <c r="A334" s="40" t="s">
        <v>23</v>
      </c>
      <c r="B334" s="40" t="s">
        <v>724</v>
      </c>
      <c r="C334" s="40" t="s">
        <v>725</v>
      </c>
      <c r="D334" s="40">
        <v>62</v>
      </c>
      <c r="E334" s="41">
        <v>23317</v>
      </c>
      <c r="F334" s="40" t="s">
        <v>119</v>
      </c>
      <c r="G334" s="40" t="s">
        <v>91</v>
      </c>
      <c r="H334" s="40">
        <v>10500</v>
      </c>
      <c r="I334" s="40">
        <v>0</v>
      </c>
      <c r="J334" s="40" t="s">
        <v>28</v>
      </c>
      <c r="K334" s="40" t="s">
        <v>601</v>
      </c>
      <c r="L334" s="40"/>
      <c r="M334" s="40" t="s">
        <v>28</v>
      </c>
      <c r="N334" s="40">
        <v>54500</v>
      </c>
    </row>
    <row r="335" spans="1:14">
      <c r="A335" s="40" t="s">
        <v>23</v>
      </c>
      <c r="B335" s="40" t="s">
        <v>726</v>
      </c>
      <c r="C335" s="40">
        <v>25700</v>
      </c>
      <c r="D335" s="40">
        <v>27</v>
      </c>
      <c r="E335" s="41">
        <v>36152</v>
      </c>
      <c r="F335" s="40" t="s">
        <v>122</v>
      </c>
      <c r="G335" s="40" t="s">
        <v>162</v>
      </c>
      <c r="H335" s="40">
        <v>30000</v>
      </c>
      <c r="I335" s="43">
        <v>27000</v>
      </c>
      <c r="J335" s="40" t="s">
        <v>41</v>
      </c>
      <c r="K335" s="40">
        <v>28</v>
      </c>
      <c r="L335" s="40"/>
      <c r="M335" s="40" t="s">
        <v>41</v>
      </c>
      <c r="N335" s="40">
        <v>28500</v>
      </c>
    </row>
    <row r="336" spans="1:14">
      <c r="A336" s="40" t="s">
        <v>23</v>
      </c>
      <c r="B336" s="40" t="s">
        <v>727</v>
      </c>
      <c r="C336" s="40" t="s">
        <v>728</v>
      </c>
      <c r="D336" s="40"/>
      <c r="E336" s="41">
        <v>34769</v>
      </c>
      <c r="F336" s="40" t="s">
        <v>52</v>
      </c>
      <c r="G336" s="40" t="s">
        <v>143</v>
      </c>
      <c r="H336" s="40">
        <v>9000</v>
      </c>
      <c r="I336" s="40">
        <v>66000</v>
      </c>
      <c r="J336" s="40" t="s">
        <v>49</v>
      </c>
      <c r="K336" s="40">
        <v>24</v>
      </c>
      <c r="L336" s="40"/>
      <c r="M336" s="40" t="s">
        <v>49</v>
      </c>
      <c r="N336" s="40">
        <v>72000</v>
      </c>
    </row>
    <row r="337" spans="1:14">
      <c r="A337" s="40" t="s">
        <v>29</v>
      </c>
      <c r="B337" s="40" t="s">
        <v>219</v>
      </c>
      <c r="C337" s="40" t="s">
        <v>729</v>
      </c>
      <c r="D337" s="40">
        <v>65</v>
      </c>
      <c r="E337" s="41">
        <v>22275</v>
      </c>
      <c r="F337" s="40" t="s">
        <v>26</v>
      </c>
      <c r="G337" s="40" t="s">
        <v>27</v>
      </c>
      <c r="H337" s="40">
        <v>3300</v>
      </c>
      <c r="I337" s="40">
        <v>43500</v>
      </c>
      <c r="J337" s="40" t="s">
        <v>49</v>
      </c>
      <c r="K337" s="40" t="s">
        <v>154</v>
      </c>
      <c r="L337" s="40"/>
      <c r="M337" s="40" t="s">
        <v>49</v>
      </c>
      <c r="N337" s="40">
        <v>23500</v>
      </c>
    </row>
    <row r="338" spans="1:14">
      <c r="A338" s="40" t="s">
        <v>23</v>
      </c>
      <c r="B338" s="40" t="s">
        <v>730</v>
      </c>
      <c r="C338" s="40" t="s">
        <v>731</v>
      </c>
      <c r="D338" s="40">
        <v>29</v>
      </c>
      <c r="E338" s="41">
        <v>35392</v>
      </c>
      <c r="F338" s="40" t="s">
        <v>194</v>
      </c>
      <c r="G338" s="40"/>
      <c r="H338" s="40" t="s">
        <v>732</v>
      </c>
      <c r="I338" s="40">
        <v>19500</v>
      </c>
      <c r="J338" s="40" t="s">
        <v>49</v>
      </c>
      <c r="K338" s="40">
        <v>30</v>
      </c>
      <c r="L338" s="40"/>
      <c r="M338" s="40" t="s">
        <v>49</v>
      </c>
      <c r="N338" s="40">
        <v>51000</v>
      </c>
    </row>
    <row r="339" spans="1:14">
      <c r="A339" s="40" t="s">
        <v>23</v>
      </c>
      <c r="B339" s="40" t="s">
        <v>733</v>
      </c>
      <c r="C339" s="40" t="s">
        <v>734</v>
      </c>
      <c r="D339" s="40">
        <v>55</v>
      </c>
      <c r="E339" s="41">
        <v>25844</v>
      </c>
      <c r="F339" s="40" t="s">
        <v>122</v>
      </c>
      <c r="G339" s="40" t="s">
        <v>162</v>
      </c>
      <c r="H339" s="43">
        <v>17400</v>
      </c>
      <c r="I339" s="42">
        <v>75500</v>
      </c>
      <c r="J339" s="40" t="s">
        <v>49</v>
      </c>
      <c r="K339" s="40">
        <v>9</v>
      </c>
      <c r="L339" s="40"/>
      <c r="M339" s="40" t="s">
        <v>49</v>
      </c>
      <c r="N339" s="40">
        <v>52000</v>
      </c>
    </row>
    <row r="340" spans="1:14">
      <c r="A340" s="40" t="s">
        <v>29</v>
      </c>
      <c r="B340" s="40" t="s">
        <v>557</v>
      </c>
      <c r="C340" s="40">
        <v>34000</v>
      </c>
      <c r="D340" s="40">
        <v>38</v>
      </c>
      <c r="E340" s="41">
        <v>32118</v>
      </c>
      <c r="F340" s="40" t="s">
        <v>31</v>
      </c>
      <c r="G340" s="40" t="s">
        <v>84</v>
      </c>
      <c r="H340" s="43">
        <v>15800</v>
      </c>
      <c r="I340" s="40">
        <v>14500</v>
      </c>
      <c r="J340" s="40" t="s">
        <v>49</v>
      </c>
      <c r="K340" s="40">
        <v>4</v>
      </c>
      <c r="L340" s="40"/>
      <c r="M340" s="40" t="s">
        <v>49</v>
      </c>
      <c r="N340" s="40">
        <v>21000</v>
      </c>
    </row>
    <row r="341" spans="1:14">
      <c r="A341" s="40" t="s">
        <v>23</v>
      </c>
      <c r="B341" s="40" t="s">
        <v>735</v>
      </c>
      <c r="C341" s="40">
        <v>2200</v>
      </c>
      <c r="D341" s="40">
        <v>58</v>
      </c>
      <c r="E341" s="41">
        <v>24840</v>
      </c>
      <c r="F341" s="40" t="s">
        <v>194</v>
      </c>
      <c r="G341" s="40" t="s">
        <v>195</v>
      </c>
      <c r="H341" s="42">
        <v>2800</v>
      </c>
      <c r="I341" s="42">
        <v>35000</v>
      </c>
      <c r="J341" s="40" t="s">
        <v>49</v>
      </c>
      <c r="K341" s="40">
        <v>36</v>
      </c>
      <c r="L341" s="40"/>
      <c r="M341" s="40" t="s">
        <v>49</v>
      </c>
      <c r="N341" s="40">
        <v>9000</v>
      </c>
    </row>
    <row r="342" spans="1:14">
      <c r="A342" s="40" t="s">
        <v>23</v>
      </c>
      <c r="B342" s="40" t="s">
        <v>736</v>
      </c>
      <c r="C342" s="40" t="s">
        <v>737</v>
      </c>
      <c r="D342" s="40"/>
      <c r="E342" s="41">
        <v>35600</v>
      </c>
      <c r="F342" s="40" t="s">
        <v>118</v>
      </c>
      <c r="G342" s="40" t="s">
        <v>88</v>
      </c>
      <c r="H342" s="40">
        <v>9600</v>
      </c>
      <c r="I342" s="42">
        <v>41000</v>
      </c>
      <c r="J342" s="40" t="s">
        <v>49</v>
      </c>
      <c r="K342" s="40">
        <v>27</v>
      </c>
      <c r="L342" s="40"/>
      <c r="M342" s="40" t="s">
        <v>49</v>
      </c>
      <c r="N342" s="40">
        <v>25000</v>
      </c>
    </row>
    <row r="343" spans="1:14">
      <c r="A343" s="40" t="s">
        <v>29</v>
      </c>
      <c r="B343" s="40" t="s">
        <v>738</v>
      </c>
      <c r="C343" s="40">
        <v>11600</v>
      </c>
      <c r="D343" s="40"/>
      <c r="E343" s="41">
        <v>32890</v>
      </c>
      <c r="F343" s="40" t="s">
        <v>87</v>
      </c>
      <c r="G343" s="40" t="s">
        <v>305</v>
      </c>
      <c r="H343" s="43">
        <v>28100</v>
      </c>
      <c r="I343" s="43">
        <v>36500</v>
      </c>
      <c r="J343" s="40" t="s">
        <v>49</v>
      </c>
      <c r="K343" s="40">
        <v>13</v>
      </c>
      <c r="L343" s="40"/>
      <c r="M343" s="40" t="s">
        <v>49</v>
      </c>
      <c r="N343" s="40">
        <v>5000</v>
      </c>
    </row>
    <row r="344" spans="1:14">
      <c r="A344" s="40" t="s">
        <v>29</v>
      </c>
      <c r="B344" s="40" t="s">
        <v>648</v>
      </c>
      <c r="C344" s="40">
        <v>20300</v>
      </c>
      <c r="D344" s="40">
        <v>46</v>
      </c>
      <c r="E344" s="41">
        <v>29427</v>
      </c>
      <c r="F344" s="40" t="s">
        <v>118</v>
      </c>
      <c r="G344" s="40" t="s">
        <v>95</v>
      </c>
      <c r="H344" s="40"/>
      <c r="I344" s="40">
        <v>37500</v>
      </c>
      <c r="J344" s="40" t="s">
        <v>49</v>
      </c>
      <c r="K344" s="40"/>
      <c r="L344" s="40"/>
      <c r="M344" s="40" t="s">
        <v>49</v>
      </c>
      <c r="N344" s="40">
        <v>77000</v>
      </c>
    </row>
    <row r="345" spans="1:14">
      <c r="A345" s="40" t="s">
        <v>29</v>
      </c>
      <c r="B345" s="40" t="s">
        <v>306</v>
      </c>
      <c r="C345" s="40" t="s">
        <v>307</v>
      </c>
      <c r="D345" s="40">
        <v>30</v>
      </c>
      <c r="E345" s="41">
        <v>35200</v>
      </c>
      <c r="F345" s="40" t="s">
        <v>76</v>
      </c>
      <c r="G345" s="40" t="s">
        <v>208</v>
      </c>
      <c r="H345" s="40">
        <v>26500</v>
      </c>
      <c r="I345" s="40">
        <v>14500</v>
      </c>
      <c r="J345" s="40">
        <v>0</v>
      </c>
      <c r="K345" s="40">
        <v>15</v>
      </c>
      <c r="L345" s="40"/>
      <c r="M345" s="40">
        <v>0</v>
      </c>
      <c r="N345" s="40">
        <v>39000</v>
      </c>
    </row>
    <row r="346" spans="1:14">
      <c r="A346" s="40" t="s">
        <v>23</v>
      </c>
      <c r="B346" s="40" t="s">
        <v>739</v>
      </c>
      <c r="C346" s="40" t="s">
        <v>740</v>
      </c>
      <c r="D346" s="40">
        <v>60</v>
      </c>
      <c r="E346" s="41">
        <v>24202</v>
      </c>
      <c r="F346" s="40" t="s">
        <v>254</v>
      </c>
      <c r="G346" s="40" t="s">
        <v>32</v>
      </c>
      <c r="H346" s="42">
        <v>5500</v>
      </c>
      <c r="I346" s="40">
        <v>0</v>
      </c>
      <c r="J346" s="40" t="s">
        <v>140</v>
      </c>
      <c r="K346" s="40">
        <v>26</v>
      </c>
      <c r="L346" s="40"/>
      <c r="M346" s="40" t="s">
        <v>140</v>
      </c>
      <c r="N346" s="40">
        <v>52500</v>
      </c>
    </row>
    <row r="347" spans="1:14">
      <c r="A347" s="40" t="s">
        <v>23</v>
      </c>
      <c r="B347" s="40" t="s">
        <v>741</v>
      </c>
      <c r="C347" s="40" t="s">
        <v>742</v>
      </c>
      <c r="D347" s="40">
        <v>43</v>
      </c>
      <c r="E347" s="41">
        <v>30437</v>
      </c>
      <c r="F347" s="40" t="s">
        <v>174</v>
      </c>
      <c r="G347" s="40" t="s">
        <v>38</v>
      </c>
      <c r="H347" s="40">
        <v>14600</v>
      </c>
      <c r="I347" s="40">
        <v>18500</v>
      </c>
      <c r="J347" s="40" t="s">
        <v>131</v>
      </c>
      <c r="K347" s="40">
        <v>22</v>
      </c>
      <c r="L347" s="40"/>
      <c r="M347" s="40" t="s">
        <v>131</v>
      </c>
      <c r="N347" s="40">
        <v>16500</v>
      </c>
    </row>
    <row r="348" spans="1:14">
      <c r="A348" s="40" t="s">
        <v>123</v>
      </c>
      <c r="B348" s="40" t="s">
        <v>674</v>
      </c>
      <c r="C348" s="40">
        <v>33100</v>
      </c>
      <c r="D348" s="40"/>
      <c r="E348" s="41">
        <v>36759</v>
      </c>
      <c r="F348" s="40" t="s">
        <v>133</v>
      </c>
      <c r="G348" s="40" t="s">
        <v>133</v>
      </c>
      <c r="H348" s="40">
        <v>23200</v>
      </c>
      <c r="I348" s="40">
        <v>54500</v>
      </c>
      <c r="J348" s="40">
        <v>1</v>
      </c>
      <c r="K348" s="40">
        <v>26</v>
      </c>
      <c r="L348" s="40"/>
      <c r="M348" s="40">
        <v>1</v>
      </c>
      <c r="N348" s="40">
        <v>39500</v>
      </c>
    </row>
    <row r="349" spans="1:14">
      <c r="A349" s="40" t="s">
        <v>23</v>
      </c>
      <c r="B349" s="40" t="s">
        <v>349</v>
      </c>
      <c r="C349" s="40" t="s">
        <v>350</v>
      </c>
      <c r="D349" s="40">
        <v>53</v>
      </c>
      <c r="E349" s="41">
        <v>26584</v>
      </c>
      <c r="F349" s="40" t="s">
        <v>111</v>
      </c>
      <c r="G349" s="40" t="s">
        <v>91</v>
      </c>
      <c r="H349" s="40">
        <v>12200</v>
      </c>
      <c r="I349" s="42">
        <v>79500</v>
      </c>
      <c r="J349" s="40" t="s">
        <v>140</v>
      </c>
      <c r="K349" s="40">
        <v>45</v>
      </c>
      <c r="L349" s="40"/>
      <c r="M349" s="40" t="s">
        <v>140</v>
      </c>
      <c r="N349" s="40">
        <v>62000</v>
      </c>
    </row>
    <row r="350" spans="1:14">
      <c r="A350" s="40" t="s">
        <v>123</v>
      </c>
      <c r="B350" s="40" t="s">
        <v>743</v>
      </c>
      <c r="C350" s="40" t="s">
        <v>744</v>
      </c>
      <c r="D350" s="40">
        <v>19</v>
      </c>
      <c r="E350" s="41">
        <v>39209</v>
      </c>
      <c r="F350" s="40" t="s">
        <v>166</v>
      </c>
      <c r="G350" s="40" t="s">
        <v>98</v>
      </c>
      <c r="H350" s="42">
        <v>7200</v>
      </c>
      <c r="I350" s="40">
        <v>16000</v>
      </c>
      <c r="J350" s="40" t="s">
        <v>49</v>
      </c>
      <c r="K350" s="40">
        <v>5</v>
      </c>
      <c r="L350" s="40"/>
      <c r="M350" s="40" t="s">
        <v>49</v>
      </c>
      <c r="N350" s="40">
        <v>52000</v>
      </c>
    </row>
    <row r="351" spans="1:14">
      <c r="A351" s="40" t="s">
        <v>29</v>
      </c>
      <c r="B351" s="40" t="s">
        <v>745</v>
      </c>
      <c r="C351" s="40">
        <v>11700</v>
      </c>
      <c r="D351" s="40">
        <v>27</v>
      </c>
      <c r="E351" s="41">
        <v>36151</v>
      </c>
      <c r="F351" s="40" t="s">
        <v>119</v>
      </c>
      <c r="G351" s="40" t="s">
        <v>91</v>
      </c>
      <c r="H351" s="42">
        <v>25900</v>
      </c>
      <c r="I351" s="40">
        <v>0</v>
      </c>
      <c r="J351" s="40" t="s">
        <v>28</v>
      </c>
      <c r="K351" s="40">
        <v>10</v>
      </c>
      <c r="L351" s="40"/>
      <c r="M351" s="40" t="s">
        <v>28</v>
      </c>
      <c r="N351" s="40">
        <v>5000</v>
      </c>
    </row>
    <row r="352" spans="1:14">
      <c r="A352" s="40" t="s">
        <v>23</v>
      </c>
      <c r="B352" s="40" t="s">
        <v>746</v>
      </c>
      <c r="C352" s="40" t="s">
        <v>747</v>
      </c>
      <c r="D352" s="40">
        <v>44</v>
      </c>
      <c r="E352" s="41">
        <v>29892</v>
      </c>
      <c r="F352" s="40" t="s">
        <v>52</v>
      </c>
      <c r="G352" s="40" t="s">
        <v>57</v>
      </c>
      <c r="H352" s="40">
        <v>20600</v>
      </c>
      <c r="I352" s="40">
        <v>8000</v>
      </c>
      <c r="J352" s="40" t="s">
        <v>49</v>
      </c>
      <c r="K352" s="40">
        <v>39</v>
      </c>
      <c r="L352" s="40"/>
      <c r="M352" s="40" t="s">
        <v>49</v>
      </c>
      <c r="N352" s="40">
        <v>36000</v>
      </c>
    </row>
    <row r="353" spans="1:14">
      <c r="A353" s="40" t="s">
        <v>23</v>
      </c>
      <c r="B353" s="40" t="s">
        <v>748</v>
      </c>
      <c r="C353" s="40" t="s">
        <v>749</v>
      </c>
      <c r="D353" s="40">
        <v>48</v>
      </c>
      <c r="E353" s="41">
        <v>28689</v>
      </c>
      <c r="F353" s="40" t="s">
        <v>31</v>
      </c>
      <c r="G353" s="40" t="s">
        <v>32</v>
      </c>
      <c r="H353" s="42">
        <v>18700</v>
      </c>
      <c r="I353" s="40">
        <v>11000</v>
      </c>
      <c r="J353" s="40" t="s">
        <v>49</v>
      </c>
      <c r="K353" s="40">
        <v>28</v>
      </c>
      <c r="L353" s="40"/>
      <c r="M353" s="40" t="s">
        <v>49</v>
      </c>
      <c r="N353" s="40">
        <v>18000</v>
      </c>
    </row>
    <row r="354" spans="1:14">
      <c r="A354" s="40" t="s">
        <v>23</v>
      </c>
      <c r="B354" s="40" t="s">
        <v>750</v>
      </c>
      <c r="C354" s="40">
        <v>8200</v>
      </c>
      <c r="D354" s="40">
        <v>20</v>
      </c>
      <c r="E354" s="41">
        <v>38894</v>
      </c>
      <c r="F354" s="40" t="s">
        <v>103</v>
      </c>
      <c r="G354" s="40" t="s">
        <v>126</v>
      </c>
      <c r="H354" s="40">
        <v>24900</v>
      </c>
      <c r="I354" s="40">
        <v>0</v>
      </c>
      <c r="J354" s="40" t="s">
        <v>28</v>
      </c>
      <c r="K354" s="40">
        <v>14</v>
      </c>
      <c r="L354" s="40"/>
      <c r="M354" s="40" t="s">
        <v>28</v>
      </c>
      <c r="N354" s="40">
        <v>49500</v>
      </c>
    </row>
    <row r="355" spans="1:14">
      <c r="A355" s="40" t="s">
        <v>29</v>
      </c>
      <c r="B355" s="40" t="s">
        <v>751</v>
      </c>
      <c r="C355" s="40">
        <v>23000</v>
      </c>
      <c r="D355" s="40">
        <v>53</v>
      </c>
      <c r="E355" s="41">
        <v>26744</v>
      </c>
      <c r="F355" s="40" t="s">
        <v>61</v>
      </c>
      <c r="G355" s="40" t="s">
        <v>81</v>
      </c>
      <c r="H355" s="42">
        <v>26400</v>
      </c>
      <c r="I355" s="40">
        <v>9500</v>
      </c>
      <c r="J355" s="40" t="s">
        <v>41</v>
      </c>
      <c r="K355" s="40">
        <v>21</v>
      </c>
      <c r="L355" s="40"/>
      <c r="M355" s="40" t="s">
        <v>41</v>
      </c>
      <c r="N355" s="40">
        <v>16000</v>
      </c>
    </row>
    <row r="356" spans="1:14">
      <c r="A356" s="40" t="s">
        <v>29</v>
      </c>
      <c r="B356" s="40" t="s">
        <v>752</v>
      </c>
      <c r="C356" s="40" t="s">
        <v>753</v>
      </c>
      <c r="D356" s="40">
        <v>31</v>
      </c>
      <c r="E356" s="41">
        <v>34824</v>
      </c>
      <c r="F356" s="40" t="s">
        <v>254</v>
      </c>
      <c r="G356" s="40" t="s">
        <v>32</v>
      </c>
      <c r="H356" s="42">
        <v>29500</v>
      </c>
      <c r="I356" s="40">
        <v>5000</v>
      </c>
      <c r="J356" s="40" t="s">
        <v>49</v>
      </c>
      <c r="K356" s="40">
        <v>22</v>
      </c>
      <c r="L356" s="40"/>
      <c r="M356" s="40" t="s">
        <v>49</v>
      </c>
      <c r="N356" s="40">
        <v>18000</v>
      </c>
    </row>
    <row r="357" spans="1:14">
      <c r="A357" s="40" t="s">
        <v>23</v>
      </c>
      <c r="B357" s="40" t="s">
        <v>754</v>
      </c>
      <c r="C357" s="40" t="s">
        <v>755</v>
      </c>
      <c r="D357" s="40">
        <v>32</v>
      </c>
      <c r="E357" s="41">
        <v>34508</v>
      </c>
      <c r="F357" s="40" t="s">
        <v>133</v>
      </c>
      <c r="G357" s="40" t="s">
        <v>133</v>
      </c>
      <c r="H357" s="40">
        <v>9800</v>
      </c>
      <c r="I357" s="40">
        <v>0</v>
      </c>
      <c r="J357" s="40" t="s">
        <v>49</v>
      </c>
      <c r="K357" s="40">
        <v>23</v>
      </c>
      <c r="L357" s="40"/>
      <c r="M357" s="40" t="s">
        <v>49</v>
      </c>
      <c r="N357" s="40">
        <v>68000</v>
      </c>
    </row>
    <row r="358" spans="1:14">
      <c r="A358" s="40" t="s">
        <v>29</v>
      </c>
      <c r="B358" s="40" t="s">
        <v>756</v>
      </c>
      <c r="C358" s="40" t="s">
        <v>757</v>
      </c>
      <c r="D358" s="40">
        <v>51</v>
      </c>
      <c r="E358" s="41">
        <v>27590</v>
      </c>
      <c r="F358" s="40" t="s">
        <v>166</v>
      </c>
      <c r="G358" s="40" t="s">
        <v>98</v>
      </c>
      <c r="H358" s="40" t="s">
        <v>758</v>
      </c>
      <c r="I358" s="40">
        <v>0</v>
      </c>
      <c r="J358" s="40" t="s">
        <v>49</v>
      </c>
      <c r="K358" s="40">
        <v>17</v>
      </c>
      <c r="L358" s="40"/>
      <c r="M358" s="40" t="s">
        <v>49</v>
      </c>
      <c r="N358" s="40">
        <v>55500</v>
      </c>
    </row>
    <row r="359" spans="1:14">
      <c r="A359" s="40"/>
      <c r="B359" s="40" t="s">
        <v>759</v>
      </c>
      <c r="C359" s="40" t="s">
        <v>760</v>
      </c>
      <c r="D359" s="40">
        <v>54</v>
      </c>
      <c r="E359" s="41">
        <v>26403</v>
      </c>
      <c r="F359" s="40" t="s">
        <v>166</v>
      </c>
      <c r="G359" s="40" t="s">
        <v>98</v>
      </c>
      <c r="H359" s="40" t="s">
        <v>761</v>
      </c>
      <c r="I359" s="40" t="s">
        <v>366</v>
      </c>
      <c r="J359" s="40" t="s">
        <v>140</v>
      </c>
      <c r="K359" s="40">
        <v>32</v>
      </c>
      <c r="L359" s="40"/>
      <c r="M359" s="40" t="s">
        <v>140</v>
      </c>
      <c r="N359" s="40">
        <v>31500</v>
      </c>
    </row>
    <row r="360" spans="1:14">
      <c r="A360" s="40" t="s">
        <v>29</v>
      </c>
      <c r="B360" s="40" t="s">
        <v>762</v>
      </c>
      <c r="C360" s="40" t="s">
        <v>763</v>
      </c>
      <c r="D360" s="40">
        <v>66</v>
      </c>
      <c r="E360" s="41">
        <v>22101</v>
      </c>
      <c r="F360" s="40" t="s">
        <v>70</v>
      </c>
      <c r="G360" s="40" t="s">
        <v>208</v>
      </c>
      <c r="H360" s="40">
        <v>16800</v>
      </c>
      <c r="I360" s="40">
        <v>79500</v>
      </c>
      <c r="J360" s="40" t="s">
        <v>49</v>
      </c>
      <c r="K360" s="40">
        <v>36</v>
      </c>
      <c r="L360" s="40"/>
      <c r="M360" s="40" t="s">
        <v>49</v>
      </c>
      <c r="N360" s="40">
        <v>1500</v>
      </c>
    </row>
    <row r="361" spans="1:14">
      <c r="A361" s="40" t="s">
        <v>29</v>
      </c>
      <c r="B361" s="40" t="s">
        <v>648</v>
      </c>
      <c r="C361" s="40">
        <v>20300</v>
      </c>
      <c r="D361" s="40">
        <v>46</v>
      </c>
      <c r="E361" s="41">
        <v>29427</v>
      </c>
      <c r="F361" s="40" t="s">
        <v>118</v>
      </c>
      <c r="G361" s="40" t="s">
        <v>95</v>
      </c>
      <c r="H361" s="40"/>
      <c r="I361" s="40">
        <v>37500</v>
      </c>
      <c r="J361" s="40" t="s">
        <v>49</v>
      </c>
      <c r="K361" s="40"/>
      <c r="L361" s="40"/>
      <c r="M361" s="40" t="s">
        <v>49</v>
      </c>
      <c r="N361" s="40">
        <v>21500</v>
      </c>
    </row>
    <row r="362" spans="1:14">
      <c r="A362" s="40" t="s">
        <v>23</v>
      </c>
      <c r="B362" s="40" t="s">
        <v>764</v>
      </c>
      <c r="C362" s="40" t="s">
        <v>765</v>
      </c>
      <c r="D362" s="40">
        <v>22</v>
      </c>
      <c r="E362" s="41">
        <v>38204</v>
      </c>
      <c r="F362" s="40" t="s">
        <v>26</v>
      </c>
      <c r="G362" s="40" t="s">
        <v>27</v>
      </c>
      <c r="H362" s="40">
        <v>10500</v>
      </c>
      <c r="I362" s="43">
        <v>50500</v>
      </c>
      <c r="J362" s="40" t="s">
        <v>49</v>
      </c>
      <c r="K362" s="40">
        <v>16</v>
      </c>
      <c r="L362" s="40"/>
      <c r="M362" s="40" t="s">
        <v>49</v>
      </c>
      <c r="N362" s="40">
        <v>41500</v>
      </c>
    </row>
    <row r="363" spans="1:14">
      <c r="A363" s="40" t="s">
        <v>23</v>
      </c>
      <c r="B363" s="40" t="s">
        <v>766</v>
      </c>
      <c r="C363" s="40">
        <v>21400</v>
      </c>
      <c r="D363" s="40">
        <v>67</v>
      </c>
      <c r="E363" s="41">
        <v>21689</v>
      </c>
      <c r="F363" s="40" t="s">
        <v>70</v>
      </c>
      <c r="G363" s="40" t="s">
        <v>71</v>
      </c>
      <c r="H363" s="40">
        <v>10700</v>
      </c>
      <c r="I363" s="42">
        <v>9000</v>
      </c>
      <c r="J363" s="40" t="s">
        <v>49</v>
      </c>
      <c r="K363" s="40">
        <v>37</v>
      </c>
      <c r="L363" s="40"/>
      <c r="M363" s="40" t="s">
        <v>49</v>
      </c>
      <c r="N363" s="40">
        <v>53000</v>
      </c>
    </row>
    <row r="364" spans="1:14">
      <c r="A364" s="40" t="s">
        <v>23</v>
      </c>
      <c r="B364" s="40" t="s">
        <v>767</v>
      </c>
      <c r="C364" s="40" t="s">
        <v>768</v>
      </c>
      <c r="D364" s="40">
        <v>53</v>
      </c>
      <c r="E364" s="41">
        <v>26790</v>
      </c>
      <c r="F364" s="40" t="s">
        <v>76</v>
      </c>
      <c r="G364" s="40" t="s">
        <v>71</v>
      </c>
      <c r="H364" s="40" t="s">
        <v>134</v>
      </c>
      <c r="I364" s="42">
        <v>21500</v>
      </c>
      <c r="J364" s="40" t="s">
        <v>28</v>
      </c>
      <c r="K364" s="40">
        <v>44</v>
      </c>
      <c r="L364" s="40"/>
      <c r="M364" s="40" t="s">
        <v>28</v>
      </c>
      <c r="N364" s="40">
        <v>3500</v>
      </c>
    </row>
    <row r="365" spans="1:14">
      <c r="A365" s="40" t="s">
        <v>29</v>
      </c>
      <c r="B365" s="40" t="s">
        <v>769</v>
      </c>
      <c r="C365" s="40">
        <v>3200</v>
      </c>
      <c r="D365" s="40">
        <v>31</v>
      </c>
      <c r="E365" s="41">
        <v>34746</v>
      </c>
      <c r="F365" s="40" t="s">
        <v>76</v>
      </c>
      <c r="G365" s="40" t="s">
        <v>208</v>
      </c>
      <c r="H365" s="42">
        <v>18200</v>
      </c>
      <c r="I365" s="40">
        <v>78500</v>
      </c>
      <c r="J365" s="40" t="s">
        <v>49</v>
      </c>
      <c r="K365" s="40">
        <v>9</v>
      </c>
      <c r="L365" s="40"/>
      <c r="M365" s="40" t="s">
        <v>49</v>
      </c>
      <c r="N365" s="40">
        <v>73000</v>
      </c>
    </row>
    <row r="366" spans="1:14">
      <c r="A366" s="40" t="s">
        <v>23</v>
      </c>
      <c r="B366" s="40" t="s">
        <v>215</v>
      </c>
      <c r="C366" s="40" t="s">
        <v>770</v>
      </c>
      <c r="D366" s="40">
        <v>41</v>
      </c>
      <c r="E366" s="41">
        <v>31156</v>
      </c>
      <c r="F366" s="40" t="s">
        <v>111</v>
      </c>
      <c r="G366" s="40" t="s">
        <v>104</v>
      </c>
      <c r="H366" s="42">
        <v>26500</v>
      </c>
      <c r="I366" s="40" t="s">
        <v>771</v>
      </c>
      <c r="J366" s="40" t="s">
        <v>49</v>
      </c>
      <c r="K366" s="40">
        <v>5</v>
      </c>
      <c r="L366" s="40"/>
      <c r="M366" s="40" t="s">
        <v>49</v>
      </c>
      <c r="N366" s="40">
        <v>75000</v>
      </c>
    </row>
    <row r="367" spans="1:14">
      <c r="A367" s="40" t="s">
        <v>29</v>
      </c>
      <c r="B367" s="40" t="s">
        <v>772</v>
      </c>
      <c r="C367" s="40">
        <v>20600</v>
      </c>
      <c r="D367" s="40">
        <v>55</v>
      </c>
      <c r="E367" s="41">
        <v>26075</v>
      </c>
      <c r="F367" s="40" t="s">
        <v>26</v>
      </c>
      <c r="G367" s="40" t="s">
        <v>27</v>
      </c>
      <c r="H367" s="42">
        <v>21100</v>
      </c>
      <c r="I367" s="43">
        <v>67500</v>
      </c>
      <c r="J367" s="40" t="s">
        <v>49</v>
      </c>
      <c r="K367" s="40">
        <v>15</v>
      </c>
      <c r="L367" s="40"/>
      <c r="M367" s="40" t="s">
        <v>49</v>
      </c>
      <c r="N367" s="40">
        <v>20000</v>
      </c>
    </row>
    <row r="368" spans="1:14">
      <c r="A368" s="40" t="s">
        <v>23</v>
      </c>
      <c r="B368" s="40" t="s">
        <v>773</v>
      </c>
      <c r="C368" s="40" t="s">
        <v>774</v>
      </c>
      <c r="D368" s="40">
        <v>60</v>
      </c>
      <c r="E368" s="41">
        <v>24272</v>
      </c>
      <c r="F368" s="40" t="s">
        <v>166</v>
      </c>
      <c r="G368" s="40" t="s">
        <v>162</v>
      </c>
      <c r="H368" s="40">
        <v>17300</v>
      </c>
      <c r="I368" s="42">
        <v>15000</v>
      </c>
      <c r="J368" s="40" t="s">
        <v>49</v>
      </c>
      <c r="K368" s="40">
        <v>17</v>
      </c>
      <c r="L368" s="40"/>
      <c r="M368" s="40" t="s">
        <v>49</v>
      </c>
      <c r="N368" s="40">
        <v>69000</v>
      </c>
    </row>
    <row r="369" spans="1:14">
      <c r="A369" s="40" t="s">
        <v>23</v>
      </c>
      <c r="B369" s="40" t="s">
        <v>775</v>
      </c>
      <c r="C369" s="40" t="s">
        <v>776</v>
      </c>
      <c r="D369" s="40">
        <v>49</v>
      </c>
      <c r="E369" s="41">
        <v>28136</v>
      </c>
      <c r="F369" s="40" t="s">
        <v>122</v>
      </c>
      <c r="G369" s="40" t="s">
        <v>167</v>
      </c>
      <c r="H369" s="40">
        <v>20300</v>
      </c>
      <c r="I369" s="43">
        <v>12000</v>
      </c>
      <c r="J369" s="40" t="s">
        <v>28</v>
      </c>
      <c r="K369" s="40">
        <v>27</v>
      </c>
      <c r="L369" s="40"/>
      <c r="M369" s="40" t="s">
        <v>28</v>
      </c>
      <c r="N369" s="40">
        <v>67500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0B25-ACAA-4E21-AF13-A6B878CCC00D}">
  <dimension ref="A1:AA372"/>
  <sheetViews>
    <sheetView workbookViewId="0">
      <selection activeCell="G3" sqref="G3"/>
    </sheetView>
  </sheetViews>
  <sheetFormatPr defaultRowHeight="15"/>
  <cols>
    <col min="1" max="1" width="19.85546875" style="15" customWidth="1"/>
    <col min="2" max="2" width="15" style="1" customWidth="1"/>
    <col min="3" max="3" width="19.42578125" style="1" customWidth="1"/>
    <col min="4" max="4" width="14.7109375" style="1" customWidth="1"/>
    <col min="5" max="5" width="19.85546875" customWidth="1"/>
    <col min="6" max="6" width="23.28515625" customWidth="1"/>
    <col min="7" max="7" width="22.5703125" style="1" customWidth="1"/>
    <col min="8" max="8" width="24.85546875" customWidth="1"/>
    <col min="9" max="9" width="15.5703125" style="1" customWidth="1"/>
    <col min="10" max="10" width="15.5703125" customWidth="1"/>
    <col min="11" max="11" width="12" style="2" customWidth="1"/>
    <col min="12" max="12" width="24.5703125" style="2" bestFit="1" customWidth="1"/>
    <col min="13" max="13" width="15" style="3" bestFit="1" customWidth="1"/>
    <col min="14" max="14" width="11.42578125" style="4" bestFit="1" customWidth="1"/>
    <col min="15" max="15" width="22.28515625" style="5" customWidth="1"/>
    <col min="16" max="16" width="31.85546875" style="2" bestFit="1" customWidth="1"/>
    <col min="17" max="17" width="23.42578125" style="2" bestFit="1" customWidth="1"/>
    <col min="18" max="18" width="19.85546875" style="6" customWidth="1"/>
    <col min="19" max="19" width="21" style="6" customWidth="1"/>
    <col min="20" max="20" width="23.28515625" style="7" customWidth="1"/>
    <col min="21" max="21" width="19.85546875" style="2" customWidth="1"/>
    <col min="22" max="22" width="16.7109375" style="2" customWidth="1"/>
    <col min="23" max="23" width="24.5703125" style="2" customWidth="1"/>
    <col min="24" max="24" width="20.42578125" style="6" customWidth="1"/>
    <col min="25" max="25" width="19.28515625" customWidth="1"/>
    <col min="26" max="26" width="18" customWidth="1"/>
    <col min="27" max="27" width="24.7109375" style="25" customWidth="1"/>
  </cols>
  <sheetData>
    <row r="1" spans="1:27" ht="18.75">
      <c r="K1" s="34" t="s">
        <v>777</v>
      </c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spans="1:27">
      <c r="A2" s="13" t="s">
        <v>778</v>
      </c>
      <c r="B2" s="13" t="s">
        <v>779</v>
      </c>
      <c r="C2" s="13" t="s">
        <v>780</v>
      </c>
      <c r="D2" s="13" t="s">
        <v>781</v>
      </c>
      <c r="E2" s="13" t="s">
        <v>782</v>
      </c>
      <c r="F2" s="13" t="s">
        <v>783</v>
      </c>
      <c r="G2" s="13" t="s">
        <v>784</v>
      </c>
      <c r="H2" s="13" t="s">
        <v>785</v>
      </c>
      <c r="I2" s="32" t="s">
        <v>786</v>
      </c>
      <c r="K2" s="2" t="s">
        <v>0</v>
      </c>
      <c r="L2" s="2" t="s">
        <v>1</v>
      </c>
      <c r="M2" s="3" t="s">
        <v>2</v>
      </c>
      <c r="N2" s="4" t="s">
        <v>3</v>
      </c>
      <c r="O2" s="5" t="s">
        <v>4</v>
      </c>
      <c r="P2" s="2" t="s">
        <v>5</v>
      </c>
      <c r="Q2" s="2" t="s">
        <v>6</v>
      </c>
      <c r="R2" s="6" t="s">
        <v>7</v>
      </c>
      <c r="S2" s="6" t="s">
        <v>8</v>
      </c>
      <c r="T2" s="7" t="s">
        <v>9</v>
      </c>
      <c r="U2" s="2" t="s">
        <v>10</v>
      </c>
      <c r="V2" s="2" t="s">
        <v>11</v>
      </c>
      <c r="W2" s="2" t="s">
        <v>21</v>
      </c>
      <c r="X2" s="6" t="s">
        <v>12</v>
      </c>
      <c r="Y2" s="1" t="s">
        <v>13</v>
      </c>
      <c r="Z2" s="33" t="s">
        <v>14</v>
      </c>
      <c r="AA2" s="38" t="s">
        <v>787</v>
      </c>
    </row>
    <row r="3" spans="1:27">
      <c r="A3" s="16">
        <f ca="1">YEAR(TODAY())-N3</f>
        <v>1994</v>
      </c>
      <c r="B3" s="1">
        <f ca="1">INT((TODAY()-O3)/365)</f>
        <v>32</v>
      </c>
      <c r="C3" s="1" t="str">
        <f>PROPER(Tabela1[[#This Row],[nome]])</f>
        <v>Ellaria Baelish</v>
      </c>
      <c r="D3" s="1" t="str">
        <f>PROPER(Tabela1[[#This Row],[cpf]])</f>
        <v>000.000.336-00</v>
      </c>
      <c r="F3" s="24" t="str">
        <f>IF(Tabela1[[#This Row],[qtde_batalhas]]&lt;=10,"Baixo",IF(Tabela1[[#This Row],[qtde_batalhas]]&lt;=25,"Médio","Alto"))</f>
        <v>Alto</v>
      </c>
      <c r="G3" s="26">
        <f>IF(R3="","-",IF(ISNUMBER(R3),R3,IF(UPPER(TRIM(R3))="SEM RENDA","-","-")))</f>
        <v>15600</v>
      </c>
      <c r="H3" s="26">
        <f>IF(S3="","-",IF(ISNUMBER(S3),S3,IF(UPPER(TRIM(S3))="SEM RENDA","-","-")))</f>
        <v>0</v>
      </c>
      <c r="I3" s="1" t="str">
        <f>IF(TRIM(W3)="","-",
IF(OR(UPPER(TRIM(W3))="SIM",TRIM(W3)="1"),"Sim",
IF(OR(UPPER(TRIM(W3))="NÃO",UPPER(TRIM(W3))="NAO",TRIM(W3)="0"),"Não",
"-")))</f>
        <v>Sim</v>
      </c>
      <c r="K3" s="2" t="s">
        <v>23</v>
      </c>
      <c r="L3" s="2" t="s">
        <v>24</v>
      </c>
      <c r="M3" s="3" t="s">
        <v>25</v>
      </c>
      <c r="N3" s="4">
        <f ca="1">DATEDIF(O3,TODAY(),"Y")</f>
        <v>32</v>
      </c>
      <c r="O3" s="5">
        <v>34347</v>
      </c>
      <c r="P3" s="2" t="s">
        <v>26</v>
      </c>
      <c r="Q3" s="2" t="s">
        <v>27</v>
      </c>
      <c r="R3" s="6">
        <v>15600</v>
      </c>
      <c r="S3" s="6">
        <v>0</v>
      </c>
      <c r="T3" s="7" t="s">
        <v>28</v>
      </c>
      <c r="U3" s="2">
        <v>34</v>
      </c>
      <c r="V3" s="2" t="str">
        <f>IF(Tabela1[[#This Row],[qtde_batalhas]]&lt;=10,"Baixo",IF(Tabela1[[#This Row],[qtde_batalhas]]&lt;=25,"Médio","Alto"))</f>
        <v>Alto</v>
      </c>
      <c r="W3" s="2" t="s">
        <v>28</v>
      </c>
      <c r="X3" s="6">
        <v>16000</v>
      </c>
      <c r="Y3" s="8" t="str">
        <f t="shared" ref="Y3:Y66" si="0">IF(AND(V3="Alto",T3="Sim"),"Negado","Aprovado")</f>
        <v>Negado</v>
      </c>
      <c r="Z3" s="1" t="str">
        <f t="shared" ref="Z3:Z66" si="1">IF(AND(ISNUMBER(S3),S3&gt;50000,T3="Sim"),"Negado","Aprovado")</f>
        <v>Aprovado</v>
      </c>
      <c r="AA3" s="26">
        <f t="shared" ref="AA3:AA66" si="2">IF(OR(Y3="Negado",Z3="Negado"),0,IF(K3="Ativo",X3*1.08,0))</f>
        <v>0</v>
      </c>
    </row>
    <row r="4" spans="1:27">
      <c r="A4" s="16">
        <f ca="1">YEAR(TODAY())-Tabela1[[#This Row],[idade]]</f>
        <v>2002</v>
      </c>
      <c r="B4" s="1">
        <f ca="1">INT((TODAY()-O4)/365)</f>
        <v>24</v>
      </c>
      <c r="C4" s="1" t="str">
        <f>PROPER(Tabela1[[#This Row],[nome]])</f>
        <v>Stannis Lannister</v>
      </c>
      <c r="D4" s="1" t="str">
        <f>IF(LEN(SUBSTITUTE(SUBSTITUTE(SUBSTITUTE(M4,".",""),"-","")," ",""))=11,M4,"-")</f>
        <v>-</v>
      </c>
      <c r="F4" s="24" t="str">
        <f>IF(Tabela1[[#This Row],[qtde_batalhas]]&lt;=10,"Baixo",IF(Tabela1[[#This Row],[qtde_batalhas]]&lt;=25,"Médio","Alto"))</f>
        <v>Alto</v>
      </c>
      <c r="G4" s="26">
        <f t="shared" ref="G4:G67" si="3">IF(R4="","-",IF(ISNUMBER(R4),R4,IF(UPPER(TRIM(R4))="SEM RENDA","-","-")))</f>
        <v>11000</v>
      </c>
      <c r="H4" s="26">
        <f t="shared" ref="H4:H67" si="4">IF(S4="","-",IF(ISNUMBER(S4),S4,IF(UPPER(TRIM(S4))="SEM RENDA","-","-")))</f>
        <v>76500</v>
      </c>
      <c r="I4" s="1" t="str">
        <f t="shared" ref="I4:I67" si="5">IF(TRIM(W4)="","-",
IF(OR(UPPER(TRIM(W4))="SIM",TRIM(W4)="1"),"Sim",
IF(OR(UPPER(TRIM(W4))="NÃO",UPPER(TRIM(W4))="NAO",TRIM(W4)="0"),"Não",
"-")))</f>
        <v>Sim</v>
      </c>
      <c r="K4" s="2" t="s">
        <v>29</v>
      </c>
      <c r="L4" s="2" t="s">
        <v>30</v>
      </c>
      <c r="M4" s="3">
        <v>36100</v>
      </c>
      <c r="N4" s="4">
        <f ca="1">DATEDIF(O4,TODAY(),"Y")</f>
        <v>24</v>
      </c>
      <c r="O4" s="5">
        <v>37313</v>
      </c>
      <c r="P4" s="2" t="s">
        <v>31</v>
      </c>
      <c r="Q4" s="2" t="s">
        <v>32</v>
      </c>
      <c r="R4" s="6">
        <v>11000</v>
      </c>
      <c r="S4" s="6">
        <v>76500</v>
      </c>
      <c r="T4" s="7" t="s">
        <v>28</v>
      </c>
      <c r="U4" s="2">
        <v>33</v>
      </c>
      <c r="V4" s="2" t="str">
        <f>IF(Tabela1[[#This Row],[qtde_batalhas]]&lt;=10,"Baixo",IF(Tabela1[[#This Row],[qtde_batalhas]]&lt;=25,"Médio","Alto"))</f>
        <v>Alto</v>
      </c>
      <c r="W4" s="2" t="s">
        <v>28</v>
      </c>
      <c r="X4" s="6">
        <v>26000</v>
      </c>
      <c r="Y4" s="2" t="str">
        <f t="shared" si="0"/>
        <v>Negado</v>
      </c>
      <c r="Z4" s="1" t="str">
        <f t="shared" si="1"/>
        <v>Negado</v>
      </c>
      <c r="AA4" s="26">
        <f t="shared" si="2"/>
        <v>0</v>
      </c>
    </row>
    <row r="5" spans="1:27">
      <c r="A5" s="16">
        <f ca="1">YEAR(TODAY())-Tabela1[[#This Row],[idade]]</f>
        <v>1993</v>
      </c>
      <c r="B5" s="1">
        <f ca="1">INT((TODAY()-O5)/365)</f>
        <v>33</v>
      </c>
      <c r="C5" s="1" t="str">
        <f>PROPER(Tabela1[[#This Row],[nome]])</f>
        <v>Asha Hornwood</v>
      </c>
      <c r="D5" s="1" t="str">
        <f t="shared" ref="D5:D67" si="6">IF(LEN(SUBSTITUTE(SUBSTITUTE(SUBSTITUTE(M5,".",""),"-","")," ",""))=11,M5,"-")</f>
        <v>000.000.363-00</v>
      </c>
      <c r="F5" s="24" t="str">
        <f>IF(Tabela1[[#This Row],[qtde_batalhas]]&lt;=10,"Baixo",IF(Tabela1[[#This Row],[qtde_batalhas]]&lt;=25,"Médio","Alto"))</f>
        <v>Médio</v>
      </c>
      <c r="G5" s="26">
        <f t="shared" si="3"/>
        <v>21500</v>
      </c>
      <c r="H5" s="26" t="str">
        <f t="shared" si="4"/>
        <v>-</v>
      </c>
      <c r="I5" s="1" t="str">
        <f t="shared" si="5"/>
        <v>Não</v>
      </c>
      <c r="K5" s="2" t="s">
        <v>23</v>
      </c>
      <c r="L5" s="2" t="s">
        <v>35</v>
      </c>
      <c r="M5" s="3" t="s">
        <v>36</v>
      </c>
      <c r="N5" s="4">
        <f ca="1">DATEDIF(O5,TODAY(),"Y")</f>
        <v>33</v>
      </c>
      <c r="O5" s="5">
        <v>34144</v>
      </c>
      <c r="P5" s="2" t="s">
        <v>37</v>
      </c>
      <c r="Q5" s="2" t="s">
        <v>38</v>
      </c>
      <c r="R5" s="6">
        <v>21500</v>
      </c>
      <c r="S5" s="6" t="s">
        <v>40</v>
      </c>
      <c r="T5" s="7" t="s">
        <v>49</v>
      </c>
      <c r="U5" s="2">
        <v>22</v>
      </c>
      <c r="V5" s="2" t="str">
        <f>IF(Tabela1[[#This Row],[qtde_batalhas]]&lt;=10,"Baixo",IF(Tabela1[[#This Row],[qtde_batalhas]]&lt;=25,"Médio","Alto"))</f>
        <v>Médio</v>
      </c>
      <c r="W5" s="2" t="s">
        <v>49</v>
      </c>
      <c r="X5" s="6">
        <v>51500</v>
      </c>
      <c r="Y5" s="2" t="str">
        <f t="shared" si="0"/>
        <v>Aprovado</v>
      </c>
      <c r="Z5" s="1" t="str">
        <f t="shared" si="1"/>
        <v>Aprovado</v>
      </c>
      <c r="AA5" s="26">
        <f t="shared" si="2"/>
        <v>55620.000000000007</v>
      </c>
    </row>
    <row r="6" spans="1:27">
      <c r="A6" s="16">
        <f ca="1">YEAR(TODAY())-Tabela1[[#This Row],[idade]]</f>
        <v>1963</v>
      </c>
      <c r="B6" s="1">
        <f ca="1">INT((TODAY()-O6)/365)</f>
        <v>63</v>
      </c>
      <c r="C6" s="1" t="str">
        <f>PROPER(Tabela1[[#This Row],[nome]])</f>
        <v>Jorah Dondarrion</v>
      </c>
      <c r="D6" s="1" t="str">
        <f t="shared" si="6"/>
        <v>000.000.210-00</v>
      </c>
      <c r="F6" s="24" t="str">
        <f>IF(Tabela1[[#This Row],[qtde_batalhas]]&lt;=10,"Baixo",IF(Tabela1[[#This Row],[qtde_batalhas]]&lt;=25,"Médio","Alto"))</f>
        <v>Alto</v>
      </c>
      <c r="G6" s="26">
        <f t="shared" si="3"/>
        <v>10400</v>
      </c>
      <c r="H6" s="26">
        <f t="shared" si="4"/>
        <v>8500</v>
      </c>
      <c r="I6" s="1" t="str">
        <f t="shared" si="5"/>
        <v>Não</v>
      </c>
      <c r="K6" s="2" t="s">
        <v>788</v>
      </c>
      <c r="L6" s="2" t="s">
        <v>42</v>
      </c>
      <c r="M6" s="3" t="s">
        <v>43</v>
      </c>
      <c r="N6" s="4">
        <f ca="1">DATEDIF(O6,TODAY(),"Y")</f>
        <v>63</v>
      </c>
      <c r="O6" s="5">
        <v>23156</v>
      </c>
      <c r="P6" s="2" t="s">
        <v>789</v>
      </c>
      <c r="Q6" s="2" t="s">
        <v>790</v>
      </c>
      <c r="R6" s="6">
        <v>10400</v>
      </c>
      <c r="S6" s="6">
        <v>8500</v>
      </c>
      <c r="T6" s="7" t="s">
        <v>49</v>
      </c>
      <c r="U6" s="2">
        <v>39</v>
      </c>
      <c r="V6" s="2" t="str">
        <f>IF(Tabela1[[#This Row],[qtde_batalhas]]&lt;=10,"Baixo",IF(Tabela1[[#This Row],[qtde_batalhas]]&lt;=25,"Médio","Alto"))</f>
        <v>Alto</v>
      </c>
      <c r="W6" s="2" t="s">
        <v>49</v>
      </c>
      <c r="X6" s="6">
        <v>36500</v>
      </c>
      <c r="Y6" s="2" t="str">
        <f t="shared" si="0"/>
        <v>Aprovado</v>
      </c>
      <c r="Z6" s="1" t="str">
        <f t="shared" si="1"/>
        <v>Aprovado</v>
      </c>
      <c r="AA6" s="26">
        <f t="shared" si="2"/>
        <v>0</v>
      </c>
    </row>
    <row r="7" spans="1:27">
      <c r="A7" s="16">
        <f ca="1">YEAR(TODAY())-Tabela1[[#This Row],[idade]]</f>
        <v>1994</v>
      </c>
      <c r="B7" s="1">
        <f t="shared" ref="B4:B67" ca="1" si="7">INT((TODAY()-O7)/365)</f>
        <v>32</v>
      </c>
      <c r="C7" s="1" t="str">
        <f>PROPER(Tabela1[[#This Row],[nome]])</f>
        <v>Jojen Florent</v>
      </c>
      <c r="D7" s="1" t="str">
        <f t="shared" si="6"/>
        <v>000.000.321-00</v>
      </c>
      <c r="F7" s="24" t="str">
        <f>IF(Tabela1[[#This Row],[qtde_batalhas]]&lt;=10,"Baixo",IF(Tabela1[[#This Row],[qtde_batalhas]]&lt;=25,"Médio","Alto"))</f>
        <v>Baixo</v>
      </c>
      <c r="G7" s="26">
        <f t="shared" si="3"/>
        <v>30000</v>
      </c>
      <c r="H7" s="26" t="str">
        <f t="shared" si="4"/>
        <v>-</v>
      </c>
      <c r="I7" s="1" t="str">
        <f t="shared" si="5"/>
        <v>Não</v>
      </c>
      <c r="K7" s="2" t="s">
        <v>23</v>
      </c>
      <c r="L7" s="2" t="s">
        <v>46</v>
      </c>
      <c r="M7" s="3" t="s">
        <v>47</v>
      </c>
      <c r="N7" s="4">
        <f ca="1">DATEDIF(O7,TODAY(),"Y")</f>
        <v>32</v>
      </c>
      <c r="O7" s="5">
        <v>34299</v>
      </c>
      <c r="P7" s="2" t="s">
        <v>26</v>
      </c>
      <c r="Q7" s="2" t="s">
        <v>27</v>
      </c>
      <c r="R7" s="6">
        <v>30000</v>
      </c>
      <c r="T7" s="7" t="s">
        <v>49</v>
      </c>
      <c r="U7" s="2">
        <v>5</v>
      </c>
      <c r="V7" s="2" t="str">
        <f>IF(Tabela1[[#This Row],[qtde_batalhas]]&lt;=10,"Baixo",IF(Tabela1[[#This Row],[qtde_batalhas]]&lt;=25,"Médio","Alto"))</f>
        <v>Baixo</v>
      </c>
      <c r="W7" s="2" t="s">
        <v>49</v>
      </c>
      <c r="X7" s="6">
        <v>65000</v>
      </c>
      <c r="Y7" s="2" t="str">
        <f t="shared" si="0"/>
        <v>Aprovado</v>
      </c>
      <c r="Z7" s="1" t="str">
        <f t="shared" si="1"/>
        <v>Aprovado</v>
      </c>
      <c r="AA7" s="26">
        <f t="shared" si="2"/>
        <v>70200</v>
      </c>
    </row>
    <row r="8" spans="1:27">
      <c r="A8" s="16">
        <f ca="1">YEAR(TODAY())-Tabela1[[#This Row],[idade]]</f>
        <v>1978</v>
      </c>
      <c r="B8" s="1">
        <f ca="1">INT((TODAY()-O8)/365)</f>
        <v>48</v>
      </c>
      <c r="C8" s="1" t="str">
        <f>PROPER(Tabela1[[#This Row],[nome]])</f>
        <v>Olenna Baelish</v>
      </c>
      <c r="D8" s="1" t="str">
        <f t="shared" si="6"/>
        <v>000.000.191-00</v>
      </c>
      <c r="E8" t="str">
        <f>IF(P29="Lannisporto","Oeste",
IF(P29="Ninho da Águia","Vale",
IF(P29="Ponta Tempestade","Terras da Tempestade",
IF(P29="Pedra do Dragão","Terras da Coroa",
IF(P29="Pyke","Ilhas de Ferro",
IF(P29="Meereen","Essos",
IF(P29="Braavos","Essos",
IF(P29="Correrrio","Terras Fluviais",
IF(P29="Castelo Negro","Norte",
IF(P29="Vilavelha","Campina",
IF(P29="Ilha dos Ursos","Norte",
IF(P29="Fosso Cailin","Norte",
IF(P29="Harrenhal","Terras Fluviais",
IF(P29="Winterfell","Norte",
IF(P29="Jardim de Cima","Campina",
IF(P29="Dorne","Dorne",
IF(P29="Monte Chifre","Campina",
IF(P29="Atalaia da Água Cinzenta","Oeste",
IF(P29="Porto Real","Terras da Coroa",
IF(P29="Solar do Entardecer","Terras da Tempestade",
""))))))))))))))))))))</f>
        <v>Norte</v>
      </c>
      <c r="F8" s="24" t="str">
        <f>IF(Tabela1[[#This Row],[qtde_batalhas]]&lt;=10,"Baixo",IF(Tabela1[[#This Row],[qtde_batalhas]]&lt;=25,"Médio","Alto"))</f>
        <v>Baixo</v>
      </c>
      <c r="G8" s="26">
        <f t="shared" si="3"/>
        <v>13200</v>
      </c>
      <c r="H8" s="26">
        <f t="shared" si="4"/>
        <v>3500</v>
      </c>
      <c r="I8" s="1" t="str">
        <f t="shared" si="5"/>
        <v>Não</v>
      </c>
      <c r="K8" s="2" t="s">
        <v>23</v>
      </c>
      <c r="L8" s="2" t="s">
        <v>50</v>
      </c>
      <c r="M8" s="3" t="s">
        <v>51</v>
      </c>
      <c r="N8" s="4">
        <f ca="1">DATEDIF(O8,TODAY(),"Y")</f>
        <v>48</v>
      </c>
      <c r="O8" s="5">
        <v>28647</v>
      </c>
      <c r="P8" s="19" t="s">
        <v>52</v>
      </c>
      <c r="Q8" s="20" t="str">
        <f>IF(P8="Lannisporto","Oeste",
IF(P8="Ninho da Águia","Vale",
IF(P8="Ponta Tempestade","Terras da Tempestade",
IF(P8="Pedra do Dragão","Terras da Coroa",
IF(P8="Pyke","Ilhas de Ferro",
IF(P8="Meereen","Essos",
IF(P8="Braavos","Essos",
IF(P8="Correrrio","Terras Fluviais",
IF(P8="Castelo Negro","Norte",
IF(P8="Vilavelha","Campina",
IF(P8="Ilha dos Ursos","Norte",
IF(P8="Fosso Cailin","Norte",
IF(P8="Harrenhal","Terras Fluviais",
IF(P8="Winterfell","Norte",
IF(P8="Jardim de Cima","Campina",
IF(P8="Dorne","Dorne",
IF(P8="Monte Chifre","Campina",
IF(P8="Atalaia da Água Cinzenta","Oeste",
IF(P8="Porto Real","Terras da Coroa",
IF(P8="Solar do Entardecer","Terras da Tempestade",
""))))))))))))))))))))</f>
        <v>Oeste</v>
      </c>
      <c r="R8" s="6">
        <v>13200</v>
      </c>
      <c r="S8" s="6">
        <v>3500</v>
      </c>
      <c r="T8" s="7" t="s">
        <v>49</v>
      </c>
      <c r="U8" s="2">
        <v>1</v>
      </c>
      <c r="V8" s="2" t="str">
        <f>IF(Tabela1[[#This Row],[qtde_batalhas]]&lt;=10,"Baixo",IF(Tabela1[[#This Row],[qtde_batalhas]]&lt;=25,"Médio","Alto"))</f>
        <v>Baixo</v>
      </c>
      <c r="W8" s="2" t="s">
        <v>49</v>
      </c>
      <c r="X8" s="6">
        <v>32500</v>
      </c>
      <c r="Y8" s="2" t="str">
        <f t="shared" si="0"/>
        <v>Aprovado</v>
      </c>
      <c r="Z8" s="1" t="str">
        <f t="shared" si="1"/>
        <v>Aprovado</v>
      </c>
      <c r="AA8" s="26">
        <f t="shared" si="2"/>
        <v>35100</v>
      </c>
    </row>
    <row r="9" spans="1:27">
      <c r="A9" s="16">
        <f ca="1">YEAR(TODAY())-Tabela1[[#This Row],[idade]]</f>
        <v>1998</v>
      </c>
      <c r="B9" s="1">
        <f t="shared" ca="1" si="7"/>
        <v>28</v>
      </c>
      <c r="C9" s="1" t="str">
        <f>PROPER(Tabela1[[#This Row],[nome]])</f>
        <v>Brienne Manderly</v>
      </c>
      <c r="D9" s="1" t="str">
        <f t="shared" si="6"/>
        <v>-</v>
      </c>
      <c r="G9" s="26">
        <f t="shared" si="3"/>
        <v>8600</v>
      </c>
      <c r="H9" s="26">
        <f t="shared" si="4"/>
        <v>19000</v>
      </c>
      <c r="I9" s="1" t="str">
        <f t="shared" si="5"/>
        <v>Sim</v>
      </c>
      <c r="K9" s="2" t="s">
        <v>23</v>
      </c>
      <c r="L9" s="2" t="s">
        <v>55</v>
      </c>
      <c r="M9" s="3" t="s">
        <v>791</v>
      </c>
      <c r="N9" s="4">
        <f ca="1">DATEDIF(O9,TODAY(),"Y")</f>
        <v>28</v>
      </c>
      <c r="O9" s="5">
        <v>35830</v>
      </c>
      <c r="P9" s="2" t="s">
        <v>52</v>
      </c>
      <c r="Q9" s="2" t="s">
        <v>57</v>
      </c>
      <c r="R9" s="6">
        <v>8600</v>
      </c>
      <c r="S9" s="6">
        <v>19000</v>
      </c>
      <c r="T9" s="7" t="s">
        <v>28</v>
      </c>
      <c r="U9" s="2">
        <v>4</v>
      </c>
      <c r="V9" s="2" t="str">
        <f>IF(Tabela1[[#This Row],[qtde_batalhas]]&lt;=10,"Baixo",IF(Tabela1[[#This Row],[qtde_batalhas]]&lt;=25,"Médio","Alto"))</f>
        <v>Baixo</v>
      </c>
      <c r="W9" s="2" t="s">
        <v>28</v>
      </c>
      <c r="X9" s="6">
        <v>32500</v>
      </c>
      <c r="Y9" s="2" t="str">
        <f t="shared" si="0"/>
        <v>Aprovado</v>
      </c>
      <c r="Z9" s="1" t="str">
        <f t="shared" si="1"/>
        <v>Aprovado</v>
      </c>
      <c r="AA9" s="26">
        <f t="shared" si="2"/>
        <v>35100</v>
      </c>
    </row>
    <row r="10" spans="1:27">
      <c r="A10" s="16">
        <f ca="1">YEAR(TODAY())-Tabela1[[#This Row],[idade]]</f>
        <v>1984</v>
      </c>
      <c r="B10" s="1">
        <f t="shared" ca="1" si="7"/>
        <v>42</v>
      </c>
      <c r="C10" s="1" t="str">
        <f>PROPER(Tabela1[[#This Row],[nome]])</f>
        <v>Yara Targaryen</v>
      </c>
      <c r="D10" s="1" t="str">
        <f t="shared" si="6"/>
        <v>000.000.059-00</v>
      </c>
      <c r="G10" s="26">
        <f t="shared" si="3"/>
        <v>18200</v>
      </c>
      <c r="H10" s="26">
        <f t="shared" si="4"/>
        <v>31000</v>
      </c>
      <c r="I10" s="1" t="str">
        <f t="shared" si="5"/>
        <v>Não</v>
      </c>
      <c r="K10" s="2" t="s">
        <v>29</v>
      </c>
      <c r="L10" s="2" t="s">
        <v>59</v>
      </c>
      <c r="M10" s="3" t="s">
        <v>60</v>
      </c>
      <c r="N10" s="4">
        <f ca="1">DATEDIF(O10,TODAY(),"Y")</f>
        <v>42</v>
      </c>
      <c r="O10" s="5">
        <v>30810</v>
      </c>
      <c r="P10" s="2" t="s">
        <v>61</v>
      </c>
      <c r="Q10" s="2" t="s">
        <v>62</v>
      </c>
      <c r="R10" s="6">
        <v>18200</v>
      </c>
      <c r="S10" s="6">
        <v>31000</v>
      </c>
      <c r="T10" s="7" t="s">
        <v>49</v>
      </c>
      <c r="U10" s="2">
        <v>19</v>
      </c>
      <c r="V10" s="2" t="str">
        <f>IF(Tabela1[[#This Row],[qtde_batalhas]]&lt;=10,"Baixo",IF(Tabela1[[#This Row],[qtde_batalhas]]&lt;=25,"Médio","Alto"))</f>
        <v>Médio</v>
      </c>
      <c r="W10" s="2" t="s">
        <v>49</v>
      </c>
      <c r="X10" s="6">
        <v>63500</v>
      </c>
      <c r="Y10" s="2" t="str">
        <f t="shared" si="0"/>
        <v>Aprovado</v>
      </c>
      <c r="Z10" s="1" t="str">
        <f t="shared" si="1"/>
        <v>Aprovado</v>
      </c>
      <c r="AA10" s="26">
        <f t="shared" si="2"/>
        <v>0</v>
      </c>
    </row>
    <row r="11" spans="1:27">
      <c r="A11" s="16">
        <f ca="1">YEAR(TODAY())-Tabela1[[#This Row],[idade]]</f>
        <v>1992</v>
      </c>
      <c r="B11" s="1">
        <f t="shared" ca="1" si="7"/>
        <v>34</v>
      </c>
      <c r="C11" s="1" t="str">
        <f>PROPER(Tabela1[[#This Row],[nome]])</f>
        <v>Margaery Tarly</v>
      </c>
      <c r="D11" s="1" t="str">
        <f>IF(LEN(SUBSTITUTE(SUBSTITUTE(SUBSTITUTE(M11,".",""),"-","")," ",""))=11,M11,"-")</f>
        <v>000.000.274-00</v>
      </c>
      <c r="G11" s="26">
        <f t="shared" si="3"/>
        <v>8000</v>
      </c>
      <c r="H11" s="26">
        <f t="shared" si="4"/>
        <v>14500</v>
      </c>
      <c r="I11" s="1" t="str">
        <f t="shared" si="5"/>
        <v>Sim</v>
      </c>
      <c r="K11" s="2" t="s">
        <v>23</v>
      </c>
      <c r="L11" s="2" t="s">
        <v>65</v>
      </c>
      <c r="M11" s="3" t="s">
        <v>66</v>
      </c>
      <c r="N11" s="4">
        <f ca="1">DATEDIF(O11,TODAY(),"Y")</f>
        <v>34</v>
      </c>
      <c r="O11" s="5">
        <v>33624</v>
      </c>
      <c r="P11" s="2" t="s">
        <v>61</v>
      </c>
      <c r="Q11" s="2" t="s">
        <v>792</v>
      </c>
      <c r="R11" s="6">
        <v>8000</v>
      </c>
      <c r="S11" s="6">
        <v>14500</v>
      </c>
      <c r="T11" s="7" t="s">
        <v>28</v>
      </c>
      <c r="U11" s="2">
        <v>9</v>
      </c>
      <c r="V11" s="2" t="str">
        <f>IF(Tabela1[[#This Row],[qtde_batalhas]]&lt;=10,"Baixo",IF(Tabela1[[#This Row],[qtde_batalhas]]&lt;=25,"Médio","Alto"))</f>
        <v>Baixo</v>
      </c>
      <c r="W11" s="2" t="s">
        <v>28</v>
      </c>
      <c r="X11" s="6">
        <v>17500</v>
      </c>
      <c r="Y11" s="2" t="str">
        <f t="shared" si="0"/>
        <v>Aprovado</v>
      </c>
      <c r="Z11" s="1" t="str">
        <f t="shared" si="1"/>
        <v>Aprovado</v>
      </c>
      <c r="AA11" s="26">
        <f t="shared" si="2"/>
        <v>18900</v>
      </c>
    </row>
    <row r="12" spans="1:27">
      <c r="A12" s="16">
        <f ca="1">YEAR(TODAY())-Tabela1[[#This Row],[idade]]</f>
        <v>1965</v>
      </c>
      <c r="B12" s="1">
        <f t="shared" ca="1" si="7"/>
        <v>61</v>
      </c>
      <c r="C12" s="1" t="str">
        <f>PROPER(Tabela1[[#This Row],[nome]])</f>
        <v>Viserys Seaworth</v>
      </c>
      <c r="D12" s="1" t="str">
        <f t="shared" si="6"/>
        <v>000.000.024-00</v>
      </c>
      <c r="G12" s="26">
        <f t="shared" si="3"/>
        <v>23000</v>
      </c>
      <c r="H12" s="26">
        <f t="shared" si="4"/>
        <v>44500</v>
      </c>
      <c r="I12" s="1" t="str">
        <f t="shared" si="5"/>
        <v>Sim</v>
      </c>
      <c r="K12" s="2" t="s">
        <v>29</v>
      </c>
      <c r="L12" s="2" t="s">
        <v>68</v>
      </c>
      <c r="M12" s="3" t="s">
        <v>69</v>
      </c>
      <c r="N12" s="4">
        <f ca="1">DATEDIF(O12,TODAY(),"Y")</f>
        <v>61</v>
      </c>
      <c r="O12" s="5">
        <v>23667</v>
      </c>
      <c r="P12" s="2" t="s">
        <v>70</v>
      </c>
      <c r="Q12" s="2" t="s">
        <v>71</v>
      </c>
      <c r="R12" s="6">
        <v>23000</v>
      </c>
      <c r="S12" s="6">
        <v>44500</v>
      </c>
      <c r="T12" s="7" t="s">
        <v>28</v>
      </c>
      <c r="U12" s="2">
        <v>32</v>
      </c>
      <c r="V12" s="2" t="str">
        <f>IF(Tabela1[[#This Row],[qtde_batalhas]]&lt;=10,"Baixo",IF(Tabela1[[#This Row],[qtde_batalhas]]&lt;=25,"Médio","Alto"))</f>
        <v>Alto</v>
      </c>
      <c r="W12" s="2" t="s">
        <v>28</v>
      </c>
      <c r="X12" s="6">
        <v>2000</v>
      </c>
      <c r="Y12" s="2" t="str">
        <f t="shared" si="0"/>
        <v>Negado</v>
      </c>
      <c r="Z12" s="1" t="str">
        <f t="shared" si="1"/>
        <v>Aprovado</v>
      </c>
      <c r="AA12" s="26">
        <f t="shared" si="2"/>
        <v>0</v>
      </c>
    </row>
    <row r="13" spans="1:27">
      <c r="A13" s="16">
        <f ca="1">YEAR(TODAY())-Tabela1[[#This Row],[idade]]</f>
        <v>1993</v>
      </c>
      <c r="B13" s="1">
        <f t="shared" ca="1" si="7"/>
        <v>33</v>
      </c>
      <c r="C13" s="1" t="str">
        <f>PROPER(Tabela1[[#This Row],[nome]])</f>
        <v>Tormund  Cerwyn</v>
      </c>
      <c r="D13" s="1" t="str">
        <f t="shared" si="6"/>
        <v>000.000.039-00</v>
      </c>
      <c r="G13" s="26">
        <f t="shared" si="3"/>
        <v>28700</v>
      </c>
      <c r="H13" s="26">
        <f t="shared" si="4"/>
        <v>12500</v>
      </c>
      <c r="I13" s="1" t="str">
        <f t="shared" si="5"/>
        <v>Não</v>
      </c>
      <c r="K13" s="2" t="s">
        <v>23</v>
      </c>
      <c r="L13" s="2" t="s">
        <v>793</v>
      </c>
      <c r="M13" s="3" t="s">
        <v>74</v>
      </c>
      <c r="N13" s="4">
        <f ca="1">DATEDIF(O13,TODAY(),"Y")</f>
        <v>33</v>
      </c>
      <c r="O13" s="5">
        <v>34147</v>
      </c>
      <c r="P13" s="2" t="s">
        <v>70</v>
      </c>
      <c r="Q13" s="2" t="s">
        <v>71</v>
      </c>
      <c r="R13" s="6">
        <v>28700</v>
      </c>
      <c r="S13" s="6">
        <v>12500</v>
      </c>
      <c r="T13" s="7" t="s">
        <v>49</v>
      </c>
      <c r="U13" s="2">
        <v>41</v>
      </c>
      <c r="V13" s="2" t="str">
        <f>IF(Tabela1[[#This Row],[qtde_batalhas]]&lt;=10,"Baixo",IF(Tabela1[[#This Row],[qtde_batalhas]]&lt;=25,"Médio","Alto"))</f>
        <v>Alto</v>
      </c>
      <c r="W13" s="2" t="s">
        <v>49</v>
      </c>
      <c r="X13" s="6">
        <v>99500</v>
      </c>
      <c r="Y13" s="2" t="str">
        <f t="shared" si="0"/>
        <v>Aprovado</v>
      </c>
      <c r="Z13" s="1" t="str">
        <f t="shared" si="1"/>
        <v>Aprovado</v>
      </c>
      <c r="AA13" s="26">
        <f t="shared" si="2"/>
        <v>107460</v>
      </c>
    </row>
    <row r="14" spans="1:27">
      <c r="A14" s="16">
        <f ca="1">YEAR(TODAY())-Tabela1[[#This Row],[idade]]</f>
        <v>1956</v>
      </c>
      <c r="B14" s="1">
        <f t="shared" ca="1" si="7"/>
        <v>70</v>
      </c>
      <c r="C14" s="1" t="str">
        <f>PROPER(Tabela1[[#This Row],[nome]])</f>
        <v>Catelyn Westerling</v>
      </c>
      <c r="D14" s="1" t="str">
        <f t="shared" si="6"/>
        <v>-</v>
      </c>
      <c r="G14" s="26">
        <f t="shared" si="3"/>
        <v>19500</v>
      </c>
      <c r="H14" s="26">
        <f t="shared" si="4"/>
        <v>62000</v>
      </c>
      <c r="I14" s="1" t="str">
        <f t="shared" si="5"/>
        <v>Sim</v>
      </c>
      <c r="K14" s="2" t="s">
        <v>23</v>
      </c>
      <c r="L14" s="2" t="s">
        <v>75</v>
      </c>
      <c r="M14" s="3">
        <v>35800</v>
      </c>
      <c r="N14" s="4">
        <f ca="1">DATEDIF(O14,TODAY(),"Y")</f>
        <v>70</v>
      </c>
      <c r="O14" s="5">
        <v>20515</v>
      </c>
      <c r="P14" s="2" t="s">
        <v>76</v>
      </c>
      <c r="Q14" s="2" t="s">
        <v>71</v>
      </c>
      <c r="R14" s="6">
        <v>19500</v>
      </c>
      <c r="S14" s="6">
        <v>62000</v>
      </c>
      <c r="T14" s="7" t="s">
        <v>28</v>
      </c>
      <c r="U14" s="2">
        <v>45</v>
      </c>
      <c r="V14" s="2" t="str">
        <f>IF(Tabela1[[#This Row],[qtde_batalhas]]&lt;=10,"Baixo",IF(Tabela1[[#This Row],[qtde_batalhas]]&lt;=25,"Médio","Alto"))</f>
        <v>Alto</v>
      </c>
      <c r="W14" s="2" t="s">
        <v>28</v>
      </c>
      <c r="X14" s="6">
        <v>35500</v>
      </c>
      <c r="Y14" s="2" t="str">
        <f t="shared" si="0"/>
        <v>Negado</v>
      </c>
      <c r="Z14" s="1" t="str">
        <f t="shared" si="1"/>
        <v>Negado</v>
      </c>
      <c r="AA14" s="26">
        <f t="shared" si="2"/>
        <v>0</v>
      </c>
    </row>
    <row r="15" spans="1:27">
      <c r="A15" s="16">
        <f ca="1">YEAR(TODAY())-Tabela1[[#This Row],[idade]]</f>
        <v>1972</v>
      </c>
      <c r="B15" s="1">
        <f t="shared" ca="1" si="7"/>
        <v>54</v>
      </c>
      <c r="C15" s="1" t="str">
        <f>PROPER(Tabela1[[#This Row],[nome]])</f>
        <v>Robb Baratheon</v>
      </c>
      <c r="D15" s="1" t="str">
        <f t="shared" si="6"/>
        <v>000.000.365-00</v>
      </c>
      <c r="G15" s="26">
        <f t="shared" si="3"/>
        <v>22100</v>
      </c>
      <c r="H15" s="26">
        <f t="shared" si="4"/>
        <v>37000</v>
      </c>
      <c r="I15" s="1" t="str">
        <f t="shared" si="5"/>
        <v>Não</v>
      </c>
      <c r="K15" s="2" t="s">
        <v>23</v>
      </c>
      <c r="L15" s="2" t="s">
        <v>78</v>
      </c>
      <c r="M15" s="3" t="s">
        <v>79</v>
      </c>
      <c r="N15" s="4">
        <f ca="1">DATEDIF(O15,TODAY(),"Y")</f>
        <v>54</v>
      </c>
      <c r="O15" s="5">
        <v>26382</v>
      </c>
      <c r="P15" s="2" t="s">
        <v>31</v>
      </c>
      <c r="Q15" s="2" t="s">
        <v>32</v>
      </c>
      <c r="R15" s="6">
        <v>22100</v>
      </c>
      <c r="S15" s="6">
        <v>37000</v>
      </c>
      <c r="T15" s="7" t="s">
        <v>49</v>
      </c>
      <c r="U15" s="2">
        <v>34</v>
      </c>
      <c r="V15" s="2" t="str">
        <f>IF(Tabela1[[#This Row],[qtde_batalhas]]&lt;=10,"Baixo",IF(Tabela1[[#This Row],[qtde_batalhas]]&lt;=25,"Médio","Alto"))</f>
        <v>Alto</v>
      </c>
      <c r="W15" s="2" t="s">
        <v>49</v>
      </c>
      <c r="X15" s="6">
        <v>87000</v>
      </c>
      <c r="Y15" s="2" t="str">
        <f t="shared" si="0"/>
        <v>Aprovado</v>
      </c>
      <c r="Z15" s="1" t="str">
        <f t="shared" si="1"/>
        <v>Aprovado</v>
      </c>
      <c r="AA15" s="26">
        <f t="shared" si="2"/>
        <v>93960</v>
      </c>
    </row>
    <row r="16" spans="1:27">
      <c r="A16" s="16">
        <f ca="1">YEAR(TODAY())-Tabela1[[#This Row],[idade]]</f>
        <v>1988</v>
      </c>
      <c r="B16" s="1">
        <f t="shared" ca="1" si="7"/>
        <v>38</v>
      </c>
      <c r="C16" s="1" t="str">
        <f>PROPER(Tabela1[[#This Row],[nome]])</f>
        <v>Asha Tallhart</v>
      </c>
      <c r="D16" s="1" t="str">
        <f t="shared" si="6"/>
        <v>-</v>
      </c>
      <c r="G16" s="26">
        <f t="shared" si="3"/>
        <v>17600</v>
      </c>
      <c r="H16" s="26">
        <f t="shared" si="4"/>
        <v>0</v>
      </c>
      <c r="I16" s="1" t="str">
        <f t="shared" si="5"/>
        <v>Sim</v>
      </c>
      <c r="K16" s="2" t="s">
        <v>23</v>
      </c>
      <c r="L16" s="2" t="s">
        <v>80</v>
      </c>
      <c r="M16" s="3">
        <v>8600</v>
      </c>
      <c r="N16" s="4">
        <f ca="1">DATEDIF(O16,TODAY(),"Y")</f>
        <v>38</v>
      </c>
      <c r="O16" s="5">
        <v>32260</v>
      </c>
      <c r="P16" s="2" t="s">
        <v>61</v>
      </c>
      <c r="Q16" s="2" t="s">
        <v>81</v>
      </c>
      <c r="R16" s="6">
        <v>17600</v>
      </c>
      <c r="S16" s="6">
        <v>0</v>
      </c>
      <c r="T16" s="7" t="s">
        <v>28</v>
      </c>
      <c r="U16" s="2">
        <v>31</v>
      </c>
      <c r="V16" s="2" t="str">
        <f>IF(Tabela1[[#This Row],[qtde_batalhas]]&lt;=10,"Baixo",IF(Tabela1[[#This Row],[qtde_batalhas]]&lt;=25,"Médio","Alto"))</f>
        <v>Alto</v>
      </c>
      <c r="W16" s="2" t="s">
        <v>28</v>
      </c>
      <c r="X16" s="6">
        <v>47500</v>
      </c>
      <c r="Y16" s="2" t="str">
        <f t="shared" si="0"/>
        <v>Negado</v>
      </c>
      <c r="Z16" s="1" t="str">
        <f t="shared" si="1"/>
        <v>Aprovado</v>
      </c>
      <c r="AA16" s="26">
        <f t="shared" si="2"/>
        <v>0</v>
      </c>
    </row>
    <row r="17" spans="1:27">
      <c r="A17" s="16">
        <f ca="1">YEAR(TODAY())-Tabela1[[#This Row],[idade]]</f>
        <v>1971</v>
      </c>
      <c r="B17" s="1">
        <f t="shared" ca="1" si="7"/>
        <v>55</v>
      </c>
      <c r="C17" s="1" t="str">
        <f>PROPER(Tabela1[[#This Row],[nome]])</f>
        <v>Missandei Tarly</v>
      </c>
      <c r="D17" s="1" t="str">
        <f t="shared" si="6"/>
        <v>-</v>
      </c>
      <c r="G17" s="26">
        <f t="shared" si="3"/>
        <v>5300</v>
      </c>
      <c r="H17" s="26">
        <f t="shared" si="4"/>
        <v>6500</v>
      </c>
      <c r="I17" s="1" t="str">
        <f t="shared" si="5"/>
        <v>Não</v>
      </c>
      <c r="K17" s="2" t="s">
        <v>29</v>
      </c>
      <c r="L17" s="2" t="s">
        <v>83</v>
      </c>
      <c r="M17" s="3">
        <v>200</v>
      </c>
      <c r="N17" s="4">
        <f ca="1">DATEDIF(O17,TODAY(),"Y")</f>
        <v>55</v>
      </c>
      <c r="O17" s="5">
        <v>25892</v>
      </c>
      <c r="P17" s="2" t="s">
        <v>31</v>
      </c>
      <c r="Q17" s="2" t="s">
        <v>32</v>
      </c>
      <c r="R17" s="6">
        <v>5300</v>
      </c>
      <c r="S17" s="6">
        <v>6500</v>
      </c>
      <c r="T17" s="7" t="s">
        <v>49</v>
      </c>
      <c r="U17" s="2">
        <v>42</v>
      </c>
      <c r="V17" s="2" t="str">
        <f>IF(Tabela1[[#This Row],[qtde_batalhas]]&lt;=10,"Baixo",IF(Tabela1[[#This Row],[qtde_batalhas]]&lt;=25,"Médio","Alto"))</f>
        <v>Alto</v>
      </c>
      <c r="W17" s="2" t="s">
        <v>49</v>
      </c>
      <c r="X17" s="6">
        <v>96000</v>
      </c>
      <c r="Y17" s="2" t="str">
        <f t="shared" si="0"/>
        <v>Aprovado</v>
      </c>
      <c r="Z17" s="1" t="str">
        <f t="shared" si="1"/>
        <v>Aprovado</v>
      </c>
      <c r="AA17" s="26">
        <f t="shared" si="2"/>
        <v>0</v>
      </c>
    </row>
    <row r="18" spans="1:27">
      <c r="A18" s="16">
        <f ca="1">YEAR(TODAY())-Tabela1[[#This Row],[idade]]</f>
        <v>1979</v>
      </c>
      <c r="B18" s="1">
        <f t="shared" ca="1" si="7"/>
        <v>47</v>
      </c>
      <c r="C18" s="1" t="str">
        <f>PROPER(Tabela1[[#This Row],[nome]])</f>
        <v>Jeor Mallister</v>
      </c>
      <c r="D18" s="1" t="str">
        <f t="shared" si="6"/>
        <v>000.000.162-00</v>
      </c>
      <c r="G18" s="26">
        <f t="shared" si="3"/>
        <v>13300</v>
      </c>
      <c r="H18" s="26">
        <f t="shared" si="4"/>
        <v>1000</v>
      </c>
      <c r="I18" s="1" t="str">
        <f t="shared" si="5"/>
        <v>Sim</v>
      </c>
      <c r="K18" s="2" t="s">
        <v>29</v>
      </c>
      <c r="L18" s="2" t="s">
        <v>85</v>
      </c>
      <c r="M18" s="3" t="s">
        <v>86</v>
      </c>
      <c r="N18" s="4">
        <f ca="1">DATEDIF(O18,TODAY(),"Y")</f>
        <v>47</v>
      </c>
      <c r="O18" s="5">
        <v>29064</v>
      </c>
      <c r="P18" s="2" t="s">
        <v>87</v>
      </c>
      <c r="Q18" s="2" t="s">
        <v>88</v>
      </c>
      <c r="R18" s="6">
        <v>13300</v>
      </c>
      <c r="S18" s="6">
        <v>1000</v>
      </c>
      <c r="T18" s="7" t="s">
        <v>28</v>
      </c>
      <c r="U18" s="2">
        <v>24</v>
      </c>
      <c r="V18" s="2" t="str">
        <f>IF(Tabela1[[#This Row],[qtde_batalhas]]&lt;=10,"Baixo",IF(Tabela1[[#This Row],[qtde_batalhas]]&lt;=25,"Médio","Alto"))</f>
        <v>Médio</v>
      </c>
      <c r="W18" s="2" t="s">
        <v>28</v>
      </c>
      <c r="X18" s="6">
        <v>61500</v>
      </c>
      <c r="Y18" s="2" t="str">
        <f t="shared" si="0"/>
        <v>Aprovado</v>
      </c>
      <c r="Z18" s="1" t="str">
        <f t="shared" si="1"/>
        <v>Aprovado</v>
      </c>
      <c r="AA18" s="26">
        <f t="shared" si="2"/>
        <v>0</v>
      </c>
    </row>
    <row r="19" spans="1:27">
      <c r="A19" s="16">
        <f ca="1">YEAR(TODAY())-Tabela1[[#This Row],[idade]]</f>
        <v>1983</v>
      </c>
      <c r="B19" s="1">
        <f t="shared" ca="1" si="7"/>
        <v>43</v>
      </c>
      <c r="C19" s="1" t="str">
        <f>PROPER(Tabela1[[#This Row],[nome]])</f>
        <v>Eddard Crakehall</v>
      </c>
      <c r="D19" s="1" t="str">
        <f t="shared" si="6"/>
        <v>-</v>
      </c>
      <c r="G19" s="26">
        <f t="shared" si="3"/>
        <v>7100</v>
      </c>
      <c r="H19" s="26">
        <f t="shared" si="4"/>
        <v>5500</v>
      </c>
      <c r="I19" s="1" t="str">
        <f t="shared" si="5"/>
        <v>Não</v>
      </c>
      <c r="K19" s="2" t="s">
        <v>29</v>
      </c>
      <c r="L19" s="2" t="s">
        <v>89</v>
      </c>
      <c r="M19" s="3">
        <v>31800</v>
      </c>
      <c r="N19" s="4">
        <f ca="1">DATEDIF(O19,TODAY(),"Y")</f>
        <v>43</v>
      </c>
      <c r="O19" s="5">
        <v>30391</v>
      </c>
      <c r="P19" s="2" t="s">
        <v>90</v>
      </c>
      <c r="Q19" s="2" t="s">
        <v>91</v>
      </c>
      <c r="R19" s="6">
        <v>7100</v>
      </c>
      <c r="S19" s="6">
        <v>5500</v>
      </c>
      <c r="T19" s="7" t="s">
        <v>49</v>
      </c>
      <c r="U19" s="2">
        <v>23</v>
      </c>
      <c r="V19" s="2" t="str">
        <f>IF(Tabela1[[#This Row],[qtde_batalhas]]&lt;=10,"Baixo",IF(Tabela1[[#This Row],[qtde_batalhas]]&lt;=25,"Médio","Alto"))</f>
        <v>Médio</v>
      </c>
      <c r="W19" s="2" t="s">
        <v>49</v>
      </c>
      <c r="X19" s="6">
        <v>67000</v>
      </c>
      <c r="Y19" s="2" t="str">
        <f t="shared" si="0"/>
        <v>Aprovado</v>
      </c>
      <c r="Z19" s="1" t="str">
        <f t="shared" si="1"/>
        <v>Aprovado</v>
      </c>
      <c r="AA19" s="26">
        <f t="shared" si="2"/>
        <v>0</v>
      </c>
    </row>
    <row r="20" spans="1:27">
      <c r="A20" s="16">
        <f ca="1">YEAR(TODAY())-Tabela1[[#This Row],[idade]]</f>
        <v>1994</v>
      </c>
      <c r="B20" s="1">
        <f t="shared" ca="1" si="7"/>
        <v>32</v>
      </c>
      <c r="C20" s="1" t="str">
        <f>PROPER(Tabela1[[#This Row],[nome]])</f>
        <v>Podrick Swyft</v>
      </c>
      <c r="D20" s="1" t="str">
        <f t="shared" si="6"/>
        <v>000.000.090-00</v>
      </c>
      <c r="G20" s="26">
        <f t="shared" si="3"/>
        <v>21300</v>
      </c>
      <c r="H20" s="26">
        <f t="shared" si="4"/>
        <v>48000</v>
      </c>
      <c r="I20" s="1" t="str">
        <f t="shared" si="5"/>
        <v>Não</v>
      </c>
      <c r="K20" s="2" t="s">
        <v>23</v>
      </c>
      <c r="L20" s="2" t="s">
        <v>93</v>
      </c>
      <c r="M20" s="3" t="s">
        <v>94</v>
      </c>
      <c r="N20" s="4">
        <f ca="1">DATEDIF(O20,TODAY(),"Y")</f>
        <v>32</v>
      </c>
      <c r="O20" s="5">
        <v>34457</v>
      </c>
      <c r="P20" s="2" t="s">
        <v>87</v>
      </c>
      <c r="Q20" s="2" t="s">
        <v>88</v>
      </c>
      <c r="R20" s="6">
        <v>21300</v>
      </c>
      <c r="S20" s="6">
        <v>48000</v>
      </c>
      <c r="T20" s="7" t="s">
        <v>49</v>
      </c>
      <c r="U20" s="2">
        <v>11</v>
      </c>
      <c r="V20" s="2" t="str">
        <f>IF(Tabela1[[#This Row],[qtde_batalhas]]&lt;=10,"Baixo",IF(Tabela1[[#This Row],[qtde_batalhas]]&lt;=25,"Médio","Alto"))</f>
        <v>Médio</v>
      </c>
      <c r="W20" s="2" t="s">
        <v>49</v>
      </c>
      <c r="X20" s="6">
        <v>35000</v>
      </c>
      <c r="Y20" s="2" t="str">
        <f t="shared" si="0"/>
        <v>Aprovado</v>
      </c>
      <c r="Z20" s="1" t="str">
        <f t="shared" si="1"/>
        <v>Aprovado</v>
      </c>
      <c r="AA20" s="26">
        <f t="shared" si="2"/>
        <v>37800</v>
      </c>
    </row>
    <row r="21" spans="1:27">
      <c r="A21" s="16">
        <f ca="1">YEAR(TODAY())-Tabela1[[#This Row],[idade]]</f>
        <v>2001</v>
      </c>
      <c r="B21" s="1">
        <f t="shared" ca="1" si="7"/>
        <v>25</v>
      </c>
      <c r="C21" s="1" t="str">
        <f>PROPER(Tabela1[[#This Row],[nome]])</f>
        <v>Podrick Ilhasyne</v>
      </c>
      <c r="D21" s="1" t="str">
        <f t="shared" si="6"/>
        <v>-</v>
      </c>
      <c r="G21" s="26">
        <f t="shared" si="3"/>
        <v>9400</v>
      </c>
      <c r="H21" s="26">
        <f t="shared" si="4"/>
        <v>51500</v>
      </c>
      <c r="I21" s="1" t="str">
        <f t="shared" si="5"/>
        <v>Não</v>
      </c>
      <c r="K21" s="2" t="s">
        <v>23</v>
      </c>
      <c r="L21" s="2" t="s">
        <v>794</v>
      </c>
      <c r="M21" s="3">
        <v>22300</v>
      </c>
      <c r="N21" s="4">
        <f ca="1">DATEDIF(O21,TODAY(),"Y")</f>
        <v>25</v>
      </c>
      <c r="O21" s="5">
        <v>36831</v>
      </c>
      <c r="P21" s="2" t="s">
        <v>97</v>
      </c>
      <c r="Q21" s="2" t="s">
        <v>98</v>
      </c>
      <c r="R21" s="6">
        <v>9400</v>
      </c>
      <c r="S21" s="6">
        <v>51500</v>
      </c>
      <c r="T21" s="7" t="s">
        <v>49</v>
      </c>
      <c r="U21" s="2">
        <v>14</v>
      </c>
      <c r="V21" s="2" t="str">
        <f>IF(Tabela1[[#This Row],[qtde_batalhas]]&lt;=10,"Baixo",IF(Tabela1[[#This Row],[qtde_batalhas]]&lt;=25,"Médio","Alto"))</f>
        <v>Médio</v>
      </c>
      <c r="W21" s="2" t="s">
        <v>49</v>
      </c>
      <c r="X21" s="6">
        <v>29500</v>
      </c>
      <c r="Y21" s="2" t="str">
        <f t="shared" si="0"/>
        <v>Aprovado</v>
      </c>
      <c r="Z21" s="1" t="str">
        <f t="shared" si="1"/>
        <v>Aprovado</v>
      </c>
      <c r="AA21" s="26">
        <f t="shared" si="2"/>
        <v>31860.000000000004</v>
      </c>
    </row>
    <row r="22" spans="1:27">
      <c r="A22" s="16">
        <f ca="1">YEAR(TODAY())-Tabela1[[#This Row],[idade]]</f>
        <v>2003</v>
      </c>
      <c r="B22" s="1">
        <f t="shared" ca="1" si="7"/>
        <v>23</v>
      </c>
      <c r="C22" s="1" t="str">
        <f>PROPER(Tabela1[[#This Row],[nome]])</f>
        <v>Ellaria Seaworth</v>
      </c>
      <c r="D22" s="1" t="str">
        <f t="shared" si="6"/>
        <v>000.000.125-00</v>
      </c>
      <c r="G22" s="26" t="str">
        <f t="shared" si="3"/>
        <v>-</v>
      </c>
      <c r="H22" s="26">
        <f t="shared" si="4"/>
        <v>69000</v>
      </c>
      <c r="I22" s="1" t="str">
        <f t="shared" si="5"/>
        <v>Não</v>
      </c>
      <c r="K22" s="2" t="s">
        <v>23</v>
      </c>
      <c r="L22" s="2" t="s">
        <v>99</v>
      </c>
      <c r="M22" s="3" t="s">
        <v>100</v>
      </c>
      <c r="N22" s="4">
        <f ca="1">DATEDIF(O22,TODAY(),"Y")</f>
        <v>23</v>
      </c>
      <c r="O22" s="5">
        <v>37627</v>
      </c>
      <c r="P22" s="2" t="s">
        <v>87</v>
      </c>
      <c r="Q22" s="2" t="s">
        <v>88</v>
      </c>
      <c r="S22" s="6">
        <v>69000</v>
      </c>
      <c r="T22" s="7" t="s">
        <v>49</v>
      </c>
      <c r="U22" s="2">
        <v>20</v>
      </c>
      <c r="V22" s="2" t="str">
        <f>IF(Tabela1[[#This Row],[qtde_batalhas]]&lt;=10,"Baixo",IF(Tabela1[[#This Row],[qtde_batalhas]]&lt;=25,"Médio","Alto"))</f>
        <v>Médio</v>
      </c>
      <c r="W22" s="2" t="s">
        <v>49</v>
      </c>
      <c r="X22" s="6">
        <v>69000</v>
      </c>
      <c r="Y22" s="2" t="str">
        <f t="shared" si="0"/>
        <v>Aprovado</v>
      </c>
      <c r="Z22" s="1" t="str">
        <f t="shared" si="1"/>
        <v>Aprovado</v>
      </c>
      <c r="AA22" s="26">
        <f t="shared" si="2"/>
        <v>74520</v>
      </c>
    </row>
    <row r="23" spans="1:27">
      <c r="A23" s="16">
        <f ca="1">YEAR(TODAY())-Tabela1[[#This Row],[idade]]</f>
        <v>1973</v>
      </c>
      <c r="B23" s="1">
        <f t="shared" ca="1" si="7"/>
        <v>53</v>
      </c>
      <c r="C23" s="1" t="str">
        <f>PROPER(Tabela1[[#This Row],[nome]])</f>
        <v>Melisandre Clegane</v>
      </c>
      <c r="D23" s="1" t="str">
        <f t="shared" si="6"/>
        <v>000.000.231-00</v>
      </c>
      <c r="G23" s="26">
        <f t="shared" si="3"/>
        <v>16500</v>
      </c>
      <c r="H23" s="26">
        <f t="shared" si="4"/>
        <v>4000</v>
      </c>
      <c r="I23" s="1" t="str">
        <f t="shared" si="5"/>
        <v>Não</v>
      </c>
      <c r="K23" s="2" t="s">
        <v>29</v>
      </c>
      <c r="L23" s="2" t="s">
        <v>101</v>
      </c>
      <c r="M23" s="3" t="s">
        <v>102</v>
      </c>
      <c r="N23" s="4">
        <f ca="1">DATEDIF(O23,TODAY(),"Y")</f>
        <v>53</v>
      </c>
      <c r="O23" s="5">
        <v>26629</v>
      </c>
      <c r="P23" s="2" t="s">
        <v>103</v>
      </c>
      <c r="Q23" s="2" t="s">
        <v>91</v>
      </c>
      <c r="R23" s="6">
        <v>16500</v>
      </c>
      <c r="S23" s="6">
        <v>4000</v>
      </c>
      <c r="T23" s="7" t="s">
        <v>49</v>
      </c>
      <c r="U23" s="2">
        <v>14</v>
      </c>
      <c r="V23" s="2" t="str">
        <f>IF(Tabela1[[#This Row],[qtde_batalhas]]&lt;=10,"Baixo",IF(Tabela1[[#This Row],[qtde_batalhas]]&lt;=25,"Médio","Alto"))</f>
        <v>Médio</v>
      </c>
      <c r="W23" s="2" t="s">
        <v>49</v>
      </c>
      <c r="X23" s="6">
        <v>36000</v>
      </c>
      <c r="Y23" s="2" t="str">
        <f t="shared" si="0"/>
        <v>Aprovado</v>
      </c>
      <c r="Z23" s="1" t="str">
        <f t="shared" si="1"/>
        <v>Aprovado</v>
      </c>
      <c r="AA23" s="26">
        <f t="shared" si="2"/>
        <v>0</v>
      </c>
    </row>
    <row r="24" spans="1:27">
      <c r="A24" s="16">
        <f ca="1">YEAR(TODAY())-Tabela1[[#This Row],[idade]]</f>
        <v>1958</v>
      </c>
      <c r="B24" s="1">
        <f t="shared" ca="1" si="7"/>
        <v>68</v>
      </c>
      <c r="C24" s="1" t="str">
        <f>PROPER(Tabela1[[#This Row],[nome]])</f>
        <v>Robert Karstark</v>
      </c>
      <c r="D24" s="1" t="str">
        <f t="shared" si="6"/>
        <v>000.000.184-00</v>
      </c>
      <c r="E24" t="str">
        <f>IF(P45="Lannisporto","Oeste",
IF(P45="Ninho da Águia","Vale",
IF(P45="Ponta Tempestade","Terras da Tempestade",
IF(P45="Pedra do Dragão","Terras da Coroa",
IF(P45="Pyke","Ilhas de Ferro",
IF(P45="Meereen","Essos",
IF(P45="Braavos","Essos",
IF(P45="Correrrio","Terras Fluviais",
IF(P45="Castelo Negro","Norte",
IF(P45="Vilavelha","Campina",
IF(P45="Ilha dos Ursos","Norte",
IF(P45="Fosso Cailin","Norte",
IF(P45="Harrenhal","Terras Fluviais",
IF(P45="Winterfell","Norte",
IF(P45="Jardim de Cima","Campina",
IF(P45="Dorne","Dorne",
IF(P45="Monte Chifre","Campina",
IF(P45="Atalaia da Água Cinzenta","Oeste",
IF(P45="Porto Real","Terras da Coroa",
IF(P45="Solar do Entardecer","Terras da Tempestade",
""))))))))))))))))))))</f>
        <v/>
      </c>
      <c r="G24" s="26">
        <f t="shared" si="3"/>
        <v>14300</v>
      </c>
      <c r="H24" s="26">
        <f t="shared" si="4"/>
        <v>32500</v>
      </c>
      <c r="I24" s="1" t="str">
        <f t="shared" si="5"/>
        <v>Sim</v>
      </c>
      <c r="K24" s="2" t="s">
        <v>23</v>
      </c>
      <c r="L24" s="2" t="s">
        <v>105</v>
      </c>
      <c r="M24" s="3" t="s">
        <v>106</v>
      </c>
      <c r="N24" s="4">
        <f ca="1">DATEDIF(O24,TODAY(),"Y")</f>
        <v>68</v>
      </c>
      <c r="O24" s="5">
        <v>21378</v>
      </c>
      <c r="P24" s="19" t="s">
        <v>70</v>
      </c>
      <c r="Q24" s="20" t="str">
        <f>IF(P24="Lannisporto","Oeste",
IF(P24="Ninho da Águia","Vale",
IF(P24="Ponta Tempestade","Terras da Tempestade",
IF(P24="Pedra do Dragão","Terras da Coroa",
IF(P24="Pyke","Ilhas de Ferro",
IF(P24="Meereen","Essos",
IF(P24="Braavos","Essos",
IF(P24="Correrrio","Terras Fluviais",
IF(P24="Castelo Negro","Norte",
IF(P24="Vilavelha","Campina",
IF(P24="Ilha dos Ursos","Norte",
IF(P24="Fosso Cailin","Norte",
IF(P24="Harrenhal","Terras Fluviais",
IF(P24="Winterfell","Norte",
IF(P24="Jardim de Cima","Campina",
IF(P24="Dorne","Dorne",
IF(P24="Monte Chifre","Campina",
IF(P24="Atalaia da Água Cinzenta","Oeste",
IF(P24="Porto Real","Terras da Coroa",
IF(P24="Solar do Entardecer","Terras da Tempestade",
""))))))))))))))))))))</f>
        <v>Essos</v>
      </c>
      <c r="R24" s="6">
        <v>14300</v>
      </c>
      <c r="S24" s="6">
        <v>32500</v>
      </c>
      <c r="T24" s="7" t="s">
        <v>28</v>
      </c>
      <c r="U24" s="2">
        <v>15</v>
      </c>
      <c r="V24" s="2" t="str">
        <f>IF(Tabela1[[#This Row],[qtde_batalhas]]&lt;=10,"Baixo",IF(Tabela1[[#This Row],[qtde_batalhas]]&lt;=25,"Médio","Alto"))</f>
        <v>Médio</v>
      </c>
      <c r="W24" s="2" t="s">
        <v>28</v>
      </c>
      <c r="X24" s="6">
        <v>8000</v>
      </c>
      <c r="Y24" s="2" t="str">
        <f t="shared" si="0"/>
        <v>Aprovado</v>
      </c>
      <c r="Z24" s="1" t="str">
        <f t="shared" si="1"/>
        <v>Aprovado</v>
      </c>
      <c r="AA24" s="26">
        <f t="shared" si="2"/>
        <v>8640</v>
      </c>
    </row>
    <row r="25" spans="1:27">
      <c r="A25" s="16">
        <f ca="1">YEAR(TODAY())-Tabela1[[#This Row],[idade]]</f>
        <v>1993</v>
      </c>
      <c r="B25" s="1">
        <f t="shared" ca="1" si="7"/>
        <v>33</v>
      </c>
      <c r="C25" s="1" t="str">
        <f>PROPER(Tabela1[[#This Row],[nome]])</f>
        <v>Rhaegar Stark</v>
      </c>
      <c r="D25" s="1" t="str">
        <f t="shared" si="6"/>
        <v>000.000.119-00</v>
      </c>
      <c r="G25" s="26">
        <f t="shared" si="3"/>
        <v>23600</v>
      </c>
      <c r="H25" s="26">
        <f t="shared" si="4"/>
        <v>75500</v>
      </c>
      <c r="I25" s="1" t="str">
        <f t="shared" si="5"/>
        <v>Não</v>
      </c>
      <c r="K25" s="2" t="s">
        <v>29</v>
      </c>
      <c r="L25" s="2" t="s">
        <v>107</v>
      </c>
      <c r="M25" s="3" t="s">
        <v>108</v>
      </c>
      <c r="N25" s="4">
        <f ca="1">DATEDIF(O25,TODAY(),"Y")</f>
        <v>33</v>
      </c>
      <c r="O25" s="5">
        <v>34082</v>
      </c>
      <c r="P25" s="2" t="s">
        <v>70</v>
      </c>
      <c r="Q25" s="2" t="s">
        <v>71</v>
      </c>
      <c r="R25" s="6">
        <v>23600</v>
      </c>
      <c r="S25" s="6">
        <v>75500</v>
      </c>
      <c r="T25" s="7" t="s">
        <v>49</v>
      </c>
      <c r="U25" s="2">
        <v>16</v>
      </c>
      <c r="V25" s="2" t="str">
        <f>IF(Tabela1[[#This Row],[qtde_batalhas]]&lt;=10,"Baixo",IF(Tabela1[[#This Row],[qtde_batalhas]]&lt;=25,"Médio","Alto"))</f>
        <v>Médio</v>
      </c>
      <c r="W25" s="2" t="s">
        <v>49</v>
      </c>
      <c r="X25" s="6">
        <v>88000</v>
      </c>
      <c r="Y25" s="2" t="str">
        <f t="shared" si="0"/>
        <v>Aprovado</v>
      </c>
      <c r="Z25" s="1" t="str">
        <f t="shared" si="1"/>
        <v>Aprovado</v>
      </c>
      <c r="AA25" s="26">
        <f t="shared" si="2"/>
        <v>0</v>
      </c>
    </row>
    <row r="26" spans="1:27">
      <c r="A26" s="16">
        <f ca="1">YEAR(TODAY())-Tabela1[[#This Row],[idade]]</f>
        <v>1958</v>
      </c>
      <c r="B26" s="1">
        <f t="shared" ca="1" si="7"/>
        <v>68</v>
      </c>
      <c r="C26" s="1" t="str">
        <f>PROPER(Tabela1[[#This Row],[nome]])</f>
        <v>Loras Greyjoy</v>
      </c>
      <c r="D26" s="1" t="str">
        <f t="shared" si="6"/>
        <v>000.000.362-00</v>
      </c>
      <c r="G26" s="26">
        <f t="shared" si="3"/>
        <v>29000</v>
      </c>
      <c r="H26" s="26">
        <f t="shared" si="4"/>
        <v>67500</v>
      </c>
      <c r="I26" s="1" t="str">
        <f t="shared" si="5"/>
        <v>Não</v>
      </c>
      <c r="K26" s="2" t="s">
        <v>23</v>
      </c>
      <c r="L26" s="2" t="s">
        <v>109</v>
      </c>
      <c r="M26" s="3" t="s">
        <v>110</v>
      </c>
      <c r="N26" s="4">
        <f ca="1">DATEDIF(O26,TODAY(),"Y")</f>
        <v>68</v>
      </c>
      <c r="O26" s="5">
        <v>21145</v>
      </c>
      <c r="P26" s="2" t="s">
        <v>111</v>
      </c>
      <c r="Q26" s="2" t="s">
        <v>91</v>
      </c>
      <c r="R26" s="6">
        <v>29000</v>
      </c>
      <c r="S26" s="6">
        <v>67500</v>
      </c>
      <c r="T26" s="7" t="s">
        <v>49</v>
      </c>
      <c r="U26" s="2">
        <v>25</v>
      </c>
      <c r="V26" s="2" t="str">
        <f>IF(Tabela1[[#This Row],[qtde_batalhas]]&lt;=10,"Baixo",IF(Tabela1[[#This Row],[qtde_batalhas]]&lt;=25,"Médio","Alto"))</f>
        <v>Médio</v>
      </c>
      <c r="W26" s="2" t="s">
        <v>49</v>
      </c>
      <c r="X26" s="6">
        <v>18000</v>
      </c>
      <c r="Y26" s="2" t="str">
        <f t="shared" si="0"/>
        <v>Aprovado</v>
      </c>
      <c r="Z26" s="1" t="str">
        <f t="shared" si="1"/>
        <v>Aprovado</v>
      </c>
      <c r="AA26" s="26">
        <f t="shared" si="2"/>
        <v>19440</v>
      </c>
    </row>
    <row r="27" spans="1:27">
      <c r="A27" s="16">
        <f ca="1">YEAR(TODAY())-Tabela1[[#This Row],[idade]]</f>
        <v>1963</v>
      </c>
      <c r="B27" s="1">
        <f t="shared" ca="1" si="7"/>
        <v>63</v>
      </c>
      <c r="C27" s="1" t="str">
        <f>PROPER(Tabela1[[#This Row],[nome]])</f>
        <v>Jorah Hightower</v>
      </c>
      <c r="D27" s="1" t="str">
        <f t="shared" si="6"/>
        <v>000.000.346-00</v>
      </c>
      <c r="G27" s="26" t="str">
        <f t="shared" si="3"/>
        <v>-</v>
      </c>
      <c r="H27" s="26">
        <f t="shared" si="4"/>
        <v>0</v>
      </c>
      <c r="I27" s="1" t="str">
        <f t="shared" si="5"/>
        <v>Sim</v>
      </c>
      <c r="K27" s="2" t="s">
        <v>29</v>
      </c>
      <c r="L27" s="2" t="s">
        <v>112</v>
      </c>
      <c r="M27" s="3" t="s">
        <v>113</v>
      </c>
      <c r="N27" s="4">
        <f ca="1">DATEDIF(O27,TODAY(),"Y")</f>
        <v>63</v>
      </c>
      <c r="O27" s="5">
        <v>23259</v>
      </c>
      <c r="P27" s="2" t="s">
        <v>37</v>
      </c>
      <c r="Q27" s="2" t="s">
        <v>38</v>
      </c>
      <c r="S27" s="6">
        <v>0</v>
      </c>
      <c r="T27" s="7" t="s">
        <v>28</v>
      </c>
      <c r="U27" s="2">
        <v>1</v>
      </c>
      <c r="V27" s="2" t="str">
        <f>IF(Tabela1[[#This Row],[qtde_batalhas]]&lt;=10,"Baixo",IF(Tabela1[[#This Row],[qtde_batalhas]]&lt;=25,"Médio","Alto"))</f>
        <v>Baixo</v>
      </c>
      <c r="W27" s="2" t="s">
        <v>28</v>
      </c>
      <c r="X27" s="6">
        <v>12000</v>
      </c>
      <c r="Y27" s="2" t="str">
        <f t="shared" si="0"/>
        <v>Aprovado</v>
      </c>
      <c r="Z27" s="1" t="str">
        <f t="shared" si="1"/>
        <v>Aprovado</v>
      </c>
      <c r="AA27" s="26">
        <f t="shared" si="2"/>
        <v>0</v>
      </c>
    </row>
    <row r="28" spans="1:27">
      <c r="A28" s="16">
        <f ca="1">YEAR(TODAY())-Tabela1[[#This Row],[idade]]</f>
        <v>1968</v>
      </c>
      <c r="B28" s="1">
        <f t="shared" ca="1" si="7"/>
        <v>58</v>
      </c>
      <c r="C28" s="1" t="str">
        <f>PROPER(Tabela1[[#This Row],[nome]])</f>
        <v>Loras Clegane</v>
      </c>
      <c r="D28" s="1" t="str">
        <f t="shared" si="6"/>
        <v>000.000.287-00</v>
      </c>
      <c r="G28" s="26">
        <f t="shared" si="3"/>
        <v>25400</v>
      </c>
      <c r="H28" s="26">
        <f t="shared" si="4"/>
        <v>70500</v>
      </c>
      <c r="I28" s="1" t="str">
        <f t="shared" si="5"/>
        <v>Sim</v>
      </c>
      <c r="K28" s="2" t="s">
        <v>23</v>
      </c>
      <c r="L28" s="2" t="s">
        <v>116</v>
      </c>
      <c r="M28" s="3" t="s">
        <v>117</v>
      </c>
      <c r="N28" s="4">
        <f ca="1">DATEDIF(O28,TODAY(),"Y")</f>
        <v>58</v>
      </c>
      <c r="O28" s="5">
        <v>24911</v>
      </c>
      <c r="P28" s="2" t="s">
        <v>118</v>
      </c>
      <c r="Q28" s="2" t="s">
        <v>88</v>
      </c>
      <c r="R28" s="6">
        <v>25400</v>
      </c>
      <c r="S28" s="6">
        <v>70500</v>
      </c>
      <c r="T28" s="7" t="s">
        <v>28</v>
      </c>
      <c r="U28" s="2">
        <v>11</v>
      </c>
      <c r="V28" s="2" t="str">
        <f>IF(Tabela1[[#This Row],[qtde_batalhas]]&lt;=10,"Baixo",IF(Tabela1[[#This Row],[qtde_batalhas]]&lt;=25,"Médio","Alto"))</f>
        <v>Médio</v>
      </c>
      <c r="W28" s="2" t="s">
        <v>28</v>
      </c>
      <c r="X28" s="6">
        <v>47000</v>
      </c>
      <c r="Y28" s="2" t="str">
        <f t="shared" si="0"/>
        <v>Aprovado</v>
      </c>
      <c r="Z28" s="1" t="str">
        <f t="shared" si="1"/>
        <v>Negado</v>
      </c>
      <c r="AA28" s="26">
        <f t="shared" si="2"/>
        <v>0</v>
      </c>
    </row>
    <row r="29" spans="1:27">
      <c r="A29" s="16">
        <f ca="1">YEAR(TODAY())-Tabela1[[#This Row],[idade]]</f>
        <v>1978</v>
      </c>
      <c r="B29" s="1">
        <f t="shared" ca="1" si="7"/>
        <v>48</v>
      </c>
      <c r="C29" s="1" t="str">
        <f>PROPER(Tabela1[[#This Row],[nome]])</f>
        <v>Jojen Florent</v>
      </c>
      <c r="D29" s="1" t="str">
        <f t="shared" si="6"/>
        <v>-</v>
      </c>
      <c r="E29" t="str">
        <f>IF(P50="Lannisporto","Oeste",
IF(P50="Ninho da Águia","Vale",
IF(P50="Ponta Tempestade","Terras da Tempestade",
IF(P50="Pedra do Dragão","Terras da Coroa",
IF(P50="Pyke","Ilhas de Ferro",
IF(P50="Meereen","Essos",
IF(P50="Braavos","Essos",
IF(P50="Correrrio","Terras Fluviais",
IF(P50="Castelo Negro","Norte",
IF(P50="Vilavelha","Campina",
IF(P50="Ilha dos Ursos","Norte",
IF(P50="Fosso Cailin","Norte",
IF(P50="Harrenhal","Terras Fluviais",
IF(P50="Winterfell","Norte",
IF(P50="Jardim de Cima","Campina",
IF(P50="Dorne","Dorne",
IF(P50="Monte Chifre","Campina",
IF(P50="Atalaia da Água Cinzenta","Oeste",
IF(P50="Porto Real","Terras da Coroa",
IF(P50="Solar do Entardecer","Terras da Tempestade",
""))))))))))))))))))))</f>
        <v>Essos</v>
      </c>
      <c r="G29" s="26">
        <f t="shared" si="3"/>
        <v>13300</v>
      </c>
      <c r="H29" s="26">
        <f t="shared" si="4"/>
        <v>42000</v>
      </c>
      <c r="I29" s="1" t="str">
        <f t="shared" si="5"/>
        <v>Sim</v>
      </c>
      <c r="K29" s="2" t="s">
        <v>23</v>
      </c>
      <c r="L29" s="2" t="s">
        <v>46</v>
      </c>
      <c r="M29" s="3">
        <v>34300</v>
      </c>
      <c r="N29" s="4">
        <f ca="1">DATEDIF(O29,TODAY(),"Y")</f>
        <v>48</v>
      </c>
      <c r="O29" s="5">
        <v>28408</v>
      </c>
      <c r="P29" s="19" t="s">
        <v>119</v>
      </c>
      <c r="Q29" s="20" t="str">
        <f>IF(P29="Lannisporto","Oeste",
IF(P29="Ninho da Águia","Vale",
IF(P29="Ponta Tempestade","Terras da Tempestade",
IF(P29="Pedra do Dragão","Terras da Coroa",
IF(P29="Pyke","Ilhas de Ferro",
IF(P29="Meereen","Essos",
IF(P29="Braavos","Essos",
IF(P29="Correrrio","Terras Fluviais",
IF(P29="Castelo Negro","Norte",
IF(P29="Vilavelha","Campina",
IF(P29="Ilha dos Ursos","Norte",
IF(P29="Fosso Cailin","Norte",
IF(P29="Harrenhal","Terras Fluviais",
IF(P29="Winterfell","Norte",
IF(P29="Jardim de Cima","Campina",
IF(P29="Dorne","Dorne",
IF(P29="Monte Chifre","Campina",
IF(P29="Atalaia da Água Cinzenta","Oeste",
IF(P29="Porto Real","Terras da Coroa",
IF(P29="Solar do Entardecer","Terras da Tempestade",
""))))))))))))))))))))</f>
        <v>Norte</v>
      </c>
      <c r="R29" s="6">
        <v>13300</v>
      </c>
      <c r="S29" s="6">
        <v>42000</v>
      </c>
      <c r="T29" s="7" t="s">
        <v>28</v>
      </c>
      <c r="U29" s="2">
        <v>27</v>
      </c>
      <c r="V29" s="2" t="str">
        <f>IF(Tabela1[[#This Row],[qtde_batalhas]]&lt;=10,"Baixo",IF(Tabela1[[#This Row],[qtde_batalhas]]&lt;=25,"Médio","Alto"))</f>
        <v>Alto</v>
      </c>
      <c r="W29" s="2" t="s">
        <v>28</v>
      </c>
      <c r="X29" s="6">
        <v>40000</v>
      </c>
      <c r="Y29" s="2" t="str">
        <f t="shared" si="0"/>
        <v>Negado</v>
      </c>
      <c r="Z29" s="1" t="str">
        <f t="shared" si="1"/>
        <v>Aprovado</v>
      </c>
      <c r="AA29" s="26">
        <f t="shared" si="2"/>
        <v>0</v>
      </c>
    </row>
    <row r="30" spans="1:27">
      <c r="A30" s="16">
        <f ca="1">YEAR(TODAY())-Tabela1[[#This Row],[idade]]</f>
        <v>1997</v>
      </c>
      <c r="B30" s="1">
        <f t="shared" ca="1" si="7"/>
        <v>30</v>
      </c>
      <c r="C30" s="1" t="str">
        <f>PROPER(Tabela1[[#This Row],[nome]])</f>
        <v>Samwell Yronwood</v>
      </c>
      <c r="D30" s="1" t="str">
        <f t="shared" si="6"/>
        <v>000.000.124-00</v>
      </c>
      <c r="G30" s="26">
        <f t="shared" si="3"/>
        <v>21200</v>
      </c>
      <c r="H30" s="26">
        <f t="shared" si="4"/>
        <v>75000</v>
      </c>
      <c r="I30" s="1" t="str">
        <f t="shared" si="5"/>
        <v>Não</v>
      </c>
      <c r="K30" s="2" t="s">
        <v>23</v>
      </c>
      <c r="L30" s="2" t="s">
        <v>120</v>
      </c>
      <c r="M30" s="3" t="s">
        <v>121</v>
      </c>
      <c r="N30" s="4">
        <f ca="1">DATEDIF(O30,TODAY(),"Y")</f>
        <v>29</v>
      </c>
      <c r="O30" s="5">
        <v>35323</v>
      </c>
      <c r="P30" s="2" t="s">
        <v>122</v>
      </c>
      <c r="Q30" s="2" t="s">
        <v>98</v>
      </c>
      <c r="R30" s="6">
        <v>21200</v>
      </c>
      <c r="S30" s="6">
        <v>75000</v>
      </c>
      <c r="T30" s="7" t="s">
        <v>49</v>
      </c>
      <c r="U30" s="2">
        <v>6</v>
      </c>
      <c r="V30" s="2" t="str">
        <f>IF(Tabela1[[#This Row],[qtde_batalhas]]&lt;=10,"Baixo",IF(Tabela1[[#This Row],[qtde_batalhas]]&lt;=25,"Médio","Alto"))</f>
        <v>Baixo</v>
      </c>
      <c r="W30" s="2" t="s">
        <v>49</v>
      </c>
      <c r="X30" s="6">
        <v>63500</v>
      </c>
      <c r="Y30" s="2" t="str">
        <f t="shared" si="0"/>
        <v>Aprovado</v>
      </c>
      <c r="Z30" s="1" t="str">
        <f t="shared" si="1"/>
        <v>Aprovado</v>
      </c>
      <c r="AA30" s="26">
        <f t="shared" si="2"/>
        <v>68580</v>
      </c>
    </row>
    <row r="31" spans="1:27">
      <c r="A31" s="16">
        <f ca="1">YEAR(TODAY())-Tabela1[[#This Row],[idade]]</f>
        <v>1988</v>
      </c>
      <c r="B31" s="1">
        <f t="shared" ca="1" si="7"/>
        <v>38</v>
      </c>
      <c r="C31" s="1" t="str">
        <f>PROPER(Tabela1[[#This Row],[nome]])</f>
        <v>Catelyn Yronwood</v>
      </c>
      <c r="D31" s="1" t="str">
        <f t="shared" si="6"/>
        <v>000.000.226-00</v>
      </c>
      <c r="G31" s="26">
        <f t="shared" si="3"/>
        <v>19500</v>
      </c>
      <c r="H31" s="26">
        <f t="shared" si="4"/>
        <v>39000</v>
      </c>
      <c r="I31" s="1" t="str">
        <f t="shared" si="5"/>
        <v>Não</v>
      </c>
      <c r="K31" s="2" t="s">
        <v>23</v>
      </c>
      <c r="L31" s="2" t="s">
        <v>124</v>
      </c>
      <c r="M31" s="3" t="s">
        <v>125</v>
      </c>
      <c r="N31" s="4">
        <f ca="1">DATEDIF(O31,TODAY(),"Y")</f>
        <v>38</v>
      </c>
      <c r="O31" s="5">
        <v>32166</v>
      </c>
      <c r="P31" s="2" t="s">
        <v>90</v>
      </c>
      <c r="Q31" s="2" t="s">
        <v>91</v>
      </c>
      <c r="R31" s="6">
        <v>19500</v>
      </c>
      <c r="S31" s="6">
        <v>39000</v>
      </c>
      <c r="T31" s="7" t="s">
        <v>49</v>
      </c>
      <c r="U31" s="2">
        <v>25</v>
      </c>
      <c r="V31" s="2" t="str">
        <f>IF(Tabela1[[#This Row],[qtde_batalhas]]&lt;=10,"Baixo",IF(Tabela1[[#This Row],[qtde_batalhas]]&lt;=25,"Médio","Alto"))</f>
        <v>Médio</v>
      </c>
      <c r="W31" s="2" t="s">
        <v>49</v>
      </c>
      <c r="X31" s="6">
        <v>88500</v>
      </c>
      <c r="Y31" s="2" t="str">
        <f t="shared" si="0"/>
        <v>Aprovado</v>
      </c>
      <c r="Z31" s="1" t="str">
        <f t="shared" si="1"/>
        <v>Aprovado</v>
      </c>
      <c r="AA31" s="26">
        <f t="shared" si="2"/>
        <v>95580</v>
      </c>
    </row>
    <row r="32" spans="1:27">
      <c r="A32" s="16">
        <f ca="1">YEAR(TODAY())-Tabela1[[#This Row],[idade]]</f>
        <v>1958</v>
      </c>
      <c r="B32" s="1">
        <f t="shared" ca="1" si="7"/>
        <v>68</v>
      </c>
      <c r="C32" s="1" t="str">
        <f>PROPER(Tabela1[[#This Row],[nome]])</f>
        <v>Brienne Reed</v>
      </c>
      <c r="D32" s="1" t="str">
        <f t="shared" si="6"/>
        <v>000.000.306-00</v>
      </c>
      <c r="G32" s="26">
        <f t="shared" si="3"/>
        <v>3800</v>
      </c>
      <c r="H32" s="26">
        <f t="shared" si="4"/>
        <v>70000</v>
      </c>
      <c r="I32" s="1" t="str">
        <f t="shared" si="5"/>
        <v>Sim</v>
      </c>
      <c r="K32" s="2" t="s">
        <v>29</v>
      </c>
      <c r="L32" s="2" t="s">
        <v>127</v>
      </c>
      <c r="M32" s="3" t="s">
        <v>128</v>
      </c>
      <c r="N32" s="4">
        <f ca="1">DATEDIF(O32,TODAY(),"Y")</f>
        <v>68</v>
      </c>
      <c r="O32" s="5">
        <v>21293</v>
      </c>
      <c r="P32" s="2" t="s">
        <v>61</v>
      </c>
      <c r="Q32" s="2" t="s">
        <v>81</v>
      </c>
      <c r="R32" s="6">
        <v>3800</v>
      </c>
      <c r="S32" s="6">
        <v>70000</v>
      </c>
      <c r="T32" s="7" t="s">
        <v>28</v>
      </c>
      <c r="U32" s="2">
        <v>34</v>
      </c>
      <c r="V32" s="2" t="str">
        <f>IF(Tabela1[[#This Row],[qtde_batalhas]]&lt;=10,"Baixo",IF(Tabela1[[#This Row],[qtde_batalhas]]&lt;=25,"Médio","Alto"))</f>
        <v>Alto</v>
      </c>
      <c r="W32" s="2" t="s">
        <v>28</v>
      </c>
      <c r="X32" s="6">
        <v>7500</v>
      </c>
      <c r="Y32" s="2" t="str">
        <f t="shared" si="0"/>
        <v>Negado</v>
      </c>
      <c r="Z32" s="1" t="str">
        <f t="shared" si="1"/>
        <v>Negado</v>
      </c>
      <c r="AA32" s="26">
        <f t="shared" si="2"/>
        <v>0</v>
      </c>
    </row>
    <row r="33" spans="1:27">
      <c r="A33" s="16">
        <f ca="1">YEAR(TODAY())-Tabela1[[#This Row],[idade]]</f>
        <v>2007</v>
      </c>
      <c r="B33" s="1">
        <f t="shared" ca="1" si="7"/>
        <v>19</v>
      </c>
      <c r="C33" s="1" t="str">
        <f>PROPER(Tabela1[[#This Row],[nome]])</f>
        <v>Rhaegar Umber</v>
      </c>
      <c r="D33" s="1" t="str">
        <f t="shared" si="6"/>
        <v>000.000.247-00</v>
      </c>
      <c r="G33" s="26">
        <f t="shared" si="3"/>
        <v>18000</v>
      </c>
      <c r="H33" s="26">
        <f t="shared" si="4"/>
        <v>50500</v>
      </c>
      <c r="I33" s="1" t="str">
        <f t="shared" si="5"/>
        <v>Sim</v>
      </c>
      <c r="K33" s="2" t="s">
        <v>23</v>
      </c>
      <c r="L33" s="2" t="s">
        <v>129</v>
      </c>
      <c r="M33" s="3" t="s">
        <v>130</v>
      </c>
      <c r="N33" s="4">
        <f ca="1">DATEDIF(O33,TODAY(),"Y")</f>
        <v>19</v>
      </c>
      <c r="O33" s="5">
        <v>39220</v>
      </c>
      <c r="P33" s="2" t="s">
        <v>97</v>
      </c>
      <c r="Q33" s="2" t="s">
        <v>98</v>
      </c>
      <c r="R33" s="6">
        <v>18000</v>
      </c>
      <c r="S33" s="6">
        <v>50500</v>
      </c>
      <c r="T33" s="7" t="s">
        <v>28</v>
      </c>
      <c r="U33" s="2">
        <v>11</v>
      </c>
      <c r="V33" s="2" t="str">
        <f>IF(Tabela1[[#This Row],[qtde_batalhas]]&lt;=10,"Baixo",IF(Tabela1[[#This Row],[qtde_batalhas]]&lt;=25,"Médio","Alto"))</f>
        <v>Médio</v>
      </c>
      <c r="W33" s="2" t="s">
        <v>28</v>
      </c>
      <c r="X33" s="6">
        <v>26000</v>
      </c>
      <c r="Y33" s="2" t="str">
        <f t="shared" si="0"/>
        <v>Aprovado</v>
      </c>
      <c r="Z33" s="1" t="str">
        <f t="shared" si="1"/>
        <v>Negado</v>
      </c>
      <c r="AA33" s="26">
        <f t="shared" si="2"/>
        <v>0</v>
      </c>
    </row>
    <row r="34" spans="1:27">
      <c r="A34" s="16">
        <f ca="1">YEAR(TODAY())-Tabela1[[#This Row],[idade]]</f>
        <v>1984</v>
      </c>
      <c r="B34" s="1">
        <f t="shared" ca="1" si="7"/>
        <v>42</v>
      </c>
      <c r="C34" s="1" t="str">
        <f>PROPER(Tabela1[[#This Row],[nome]])</f>
        <v>Roose Manderly</v>
      </c>
      <c r="D34" s="1" t="str">
        <f t="shared" si="6"/>
        <v>-</v>
      </c>
      <c r="G34" s="26" t="str">
        <f t="shared" si="3"/>
        <v>-</v>
      </c>
      <c r="H34" s="26">
        <f t="shared" si="4"/>
        <v>19500</v>
      </c>
      <c r="I34" s="1" t="str">
        <f t="shared" si="5"/>
        <v>Não</v>
      </c>
      <c r="K34" s="2" t="s">
        <v>23</v>
      </c>
      <c r="L34" s="2" t="s">
        <v>132</v>
      </c>
      <c r="M34" s="3">
        <v>15400</v>
      </c>
      <c r="N34" s="4">
        <f ca="1">DATEDIF(O34,TODAY(),"Y")</f>
        <v>42</v>
      </c>
      <c r="O34" s="5">
        <v>30642</v>
      </c>
      <c r="P34" s="2" t="s">
        <v>133</v>
      </c>
      <c r="Q34" s="2" t="s">
        <v>133</v>
      </c>
      <c r="R34" s="6" t="s">
        <v>134</v>
      </c>
      <c r="S34" s="6">
        <v>19500</v>
      </c>
      <c r="T34" s="7" t="s">
        <v>49</v>
      </c>
      <c r="U34" s="2">
        <v>42</v>
      </c>
      <c r="V34" s="2" t="str">
        <f>IF(Tabela1[[#This Row],[qtde_batalhas]]&lt;=10,"Baixo",IF(Tabela1[[#This Row],[qtde_batalhas]]&lt;=25,"Médio","Alto"))</f>
        <v>Alto</v>
      </c>
      <c r="W34" s="2" t="s">
        <v>49</v>
      </c>
      <c r="X34" s="6">
        <v>89500</v>
      </c>
      <c r="Y34" s="2" t="str">
        <f t="shared" si="0"/>
        <v>Aprovado</v>
      </c>
      <c r="Z34" s="1" t="str">
        <f t="shared" si="1"/>
        <v>Aprovado</v>
      </c>
      <c r="AA34" s="26">
        <f t="shared" si="2"/>
        <v>96660</v>
      </c>
    </row>
    <row r="35" spans="1:27">
      <c r="A35" s="16">
        <f ca="1">YEAR(TODAY())-Tabela1[[#This Row],[idade]]</f>
        <v>1999</v>
      </c>
      <c r="B35" s="1">
        <f t="shared" ca="1" si="7"/>
        <v>27</v>
      </c>
      <c r="C35" s="1" t="str">
        <f>PROPER(Tabela1[[#This Row],[nome]])</f>
        <v>Jeor Florent</v>
      </c>
      <c r="D35" s="1" t="str">
        <f t="shared" si="6"/>
        <v>000.000.249-00</v>
      </c>
      <c r="G35" s="26">
        <f t="shared" si="3"/>
        <v>28800</v>
      </c>
      <c r="H35" s="26">
        <f t="shared" si="4"/>
        <v>78500</v>
      </c>
      <c r="I35" s="1" t="str">
        <f t="shared" si="5"/>
        <v>Não</v>
      </c>
      <c r="K35" s="2" t="s">
        <v>23</v>
      </c>
      <c r="L35" s="2" t="s">
        <v>135</v>
      </c>
      <c r="M35" s="3" t="s">
        <v>136</v>
      </c>
      <c r="N35" s="4">
        <f ca="1">DATEDIF(O35,TODAY(),"Y")</f>
        <v>27</v>
      </c>
      <c r="O35" s="5">
        <v>36319</v>
      </c>
      <c r="P35" s="2" t="s">
        <v>31</v>
      </c>
      <c r="Q35" s="2" t="s">
        <v>795</v>
      </c>
      <c r="R35" s="6">
        <v>28800</v>
      </c>
      <c r="S35" s="6">
        <v>78500</v>
      </c>
      <c r="T35" s="7" t="s">
        <v>49</v>
      </c>
      <c r="U35" s="2">
        <v>2</v>
      </c>
      <c r="V35" s="2" t="str">
        <f>IF(Tabela1[[#This Row],[qtde_batalhas]]&lt;=10,"Baixo",IF(Tabela1[[#This Row],[qtde_batalhas]]&lt;=25,"Médio","Alto"))</f>
        <v>Baixo</v>
      </c>
      <c r="W35" s="2" t="s">
        <v>49</v>
      </c>
      <c r="X35" s="6">
        <v>53000</v>
      </c>
      <c r="Y35" s="2" t="str">
        <f t="shared" si="0"/>
        <v>Aprovado</v>
      </c>
      <c r="Z35" s="1" t="str">
        <f t="shared" si="1"/>
        <v>Aprovado</v>
      </c>
      <c r="AA35" s="26">
        <f t="shared" si="2"/>
        <v>57240.000000000007</v>
      </c>
    </row>
    <row r="36" spans="1:27">
      <c r="A36" s="16">
        <f ca="1">YEAR(TODAY())-Tabela1[[#This Row],[idade]]</f>
        <v>1984</v>
      </c>
      <c r="B36" s="1">
        <f t="shared" ca="1" si="7"/>
        <v>42</v>
      </c>
      <c r="C36" s="1" t="str">
        <f>PROPER(Tabela1[[#This Row],[nome]])</f>
        <v>Bran Yronwood</v>
      </c>
      <c r="D36" s="1" t="str">
        <f t="shared" si="6"/>
        <v>000.000.057-00</v>
      </c>
      <c r="G36" s="26">
        <f t="shared" si="3"/>
        <v>17500</v>
      </c>
      <c r="H36" s="26">
        <f t="shared" si="4"/>
        <v>3500</v>
      </c>
      <c r="I36" s="1" t="str">
        <f t="shared" si="5"/>
        <v>Não</v>
      </c>
      <c r="K36" s="2" t="s">
        <v>23</v>
      </c>
      <c r="L36" s="2" t="s">
        <v>138</v>
      </c>
      <c r="M36" s="3" t="s">
        <v>139</v>
      </c>
      <c r="N36" s="4">
        <f ca="1">DATEDIF(O36,TODAY(),"Y")</f>
        <v>42</v>
      </c>
      <c r="O36" s="5">
        <v>30878</v>
      </c>
      <c r="P36" s="2" t="s">
        <v>61</v>
      </c>
      <c r="Q36" s="2" t="s">
        <v>81</v>
      </c>
      <c r="R36" s="6">
        <v>17500</v>
      </c>
      <c r="S36" s="6">
        <v>3500</v>
      </c>
      <c r="T36" s="7" t="s">
        <v>140</v>
      </c>
      <c r="U36" s="2">
        <v>25</v>
      </c>
      <c r="V36" s="2" t="str">
        <f>IF(Tabela1[[#This Row],[qtde_batalhas]]&lt;=10,"Baixo",IF(Tabela1[[#This Row],[qtde_batalhas]]&lt;=25,"Médio","Alto"))</f>
        <v>Médio</v>
      </c>
      <c r="W36" s="2" t="s">
        <v>140</v>
      </c>
      <c r="X36" s="6">
        <v>35000</v>
      </c>
      <c r="Y36" s="2" t="str">
        <f t="shared" si="0"/>
        <v>Aprovado</v>
      </c>
      <c r="Z36" s="1" t="str">
        <f t="shared" si="1"/>
        <v>Aprovado</v>
      </c>
      <c r="AA36" s="26">
        <f t="shared" si="2"/>
        <v>37800</v>
      </c>
    </row>
    <row r="37" spans="1:27">
      <c r="A37" s="16">
        <f ca="1">YEAR(TODAY())-Tabela1[[#This Row],[idade]]</f>
        <v>1982</v>
      </c>
      <c r="B37" s="1">
        <f t="shared" ca="1" si="7"/>
        <v>44</v>
      </c>
      <c r="C37" s="1" t="str">
        <f>PROPER(Tabela1[[#This Row],[nome]])</f>
        <v>Bronn Arryn</v>
      </c>
      <c r="D37" s="1" t="str">
        <f t="shared" si="6"/>
        <v>000.000.016-00</v>
      </c>
      <c r="G37" s="26">
        <f t="shared" si="3"/>
        <v>5300</v>
      </c>
      <c r="H37" s="26">
        <f t="shared" si="4"/>
        <v>6000</v>
      </c>
      <c r="I37" s="1" t="str">
        <f t="shared" si="5"/>
        <v>Sim</v>
      </c>
      <c r="K37" s="2" t="s">
        <v>23</v>
      </c>
      <c r="L37" s="2" t="s">
        <v>141</v>
      </c>
      <c r="M37" s="3" t="s">
        <v>142</v>
      </c>
      <c r="N37" s="4">
        <f ca="1">DATEDIF(O37,TODAY(),"Y")</f>
        <v>44</v>
      </c>
      <c r="O37" s="5">
        <v>29975</v>
      </c>
      <c r="P37" s="2" t="s">
        <v>52</v>
      </c>
      <c r="Q37" s="2" t="s">
        <v>57</v>
      </c>
      <c r="R37" s="6">
        <v>5300</v>
      </c>
      <c r="S37" s="6">
        <v>6000</v>
      </c>
      <c r="T37" s="7" t="s">
        <v>28</v>
      </c>
      <c r="U37" s="2">
        <v>1</v>
      </c>
      <c r="V37" s="2" t="str">
        <f>IF(Tabela1[[#This Row],[qtde_batalhas]]&lt;=10,"Baixo",IF(Tabela1[[#This Row],[qtde_batalhas]]&lt;=25,"Médio","Alto"))</f>
        <v>Baixo</v>
      </c>
      <c r="W37" s="2" t="s">
        <v>28</v>
      </c>
      <c r="X37" s="6">
        <v>4500</v>
      </c>
      <c r="Y37" s="2" t="str">
        <f t="shared" si="0"/>
        <v>Aprovado</v>
      </c>
      <c r="Z37" s="1" t="str">
        <f t="shared" si="1"/>
        <v>Aprovado</v>
      </c>
      <c r="AA37" s="26">
        <f t="shared" si="2"/>
        <v>4860</v>
      </c>
    </row>
    <row r="38" spans="1:27">
      <c r="A38" s="16">
        <f ca="1">YEAR(TODAY())-Tabela1[[#This Row],[idade]]</f>
        <v>1986</v>
      </c>
      <c r="B38" s="1">
        <f t="shared" ca="1" si="7"/>
        <v>40</v>
      </c>
      <c r="C38" s="1" t="str">
        <f>PROPER(Tabela1[[#This Row],[nome]])</f>
        <v>Shae Clegane</v>
      </c>
      <c r="D38" s="1" t="str">
        <f t="shared" si="6"/>
        <v>000.000.205-00</v>
      </c>
      <c r="G38" s="26">
        <f t="shared" si="3"/>
        <v>9900</v>
      </c>
      <c r="H38" s="26">
        <f t="shared" si="4"/>
        <v>3500</v>
      </c>
      <c r="I38" s="1" t="str">
        <f t="shared" si="5"/>
        <v>Não</v>
      </c>
      <c r="K38" s="2" t="s">
        <v>23</v>
      </c>
      <c r="L38" s="2" t="s">
        <v>144</v>
      </c>
      <c r="M38" s="3" t="s">
        <v>145</v>
      </c>
      <c r="N38" s="4">
        <f ca="1">DATEDIF(O38,TODAY(),"Y")</f>
        <v>40</v>
      </c>
      <c r="O38" s="5">
        <v>31539</v>
      </c>
      <c r="P38" s="2" t="s">
        <v>111</v>
      </c>
      <c r="Q38" s="2" t="s">
        <v>91</v>
      </c>
      <c r="R38" s="6">
        <v>9900</v>
      </c>
      <c r="S38" s="6">
        <v>3500</v>
      </c>
      <c r="T38" s="7" t="s">
        <v>49</v>
      </c>
      <c r="U38" s="2">
        <v>1</v>
      </c>
      <c r="V38" s="2" t="str">
        <f>IF(Tabela1[[#This Row],[qtde_batalhas]]&lt;=10,"Baixo",IF(Tabela1[[#This Row],[qtde_batalhas]]&lt;=25,"Médio","Alto"))</f>
        <v>Baixo</v>
      </c>
      <c r="W38" s="2" t="s">
        <v>49</v>
      </c>
      <c r="X38" s="6">
        <v>23500</v>
      </c>
      <c r="Y38" s="2" t="str">
        <f t="shared" si="0"/>
        <v>Aprovado</v>
      </c>
      <c r="Z38" s="1" t="str">
        <f t="shared" si="1"/>
        <v>Aprovado</v>
      </c>
      <c r="AA38" s="26">
        <f t="shared" si="2"/>
        <v>25380</v>
      </c>
    </row>
    <row r="39" spans="1:27">
      <c r="A39" s="16">
        <f ca="1">YEAR(TODAY())-Tabela1[[#This Row],[idade]]</f>
        <v>1961</v>
      </c>
      <c r="B39" s="1">
        <f t="shared" ca="1" si="7"/>
        <v>65</v>
      </c>
      <c r="C39" s="1" t="str">
        <f>PROPER(Tabela1[[#This Row],[nome]])</f>
        <v>Ramsay Hornwood</v>
      </c>
      <c r="D39" s="1" t="str">
        <f t="shared" si="6"/>
        <v>000.000.005-00</v>
      </c>
      <c r="G39" s="26">
        <f t="shared" si="3"/>
        <v>23400</v>
      </c>
      <c r="H39" s="26">
        <f t="shared" si="4"/>
        <v>28000</v>
      </c>
      <c r="I39" s="1" t="str">
        <f t="shared" si="5"/>
        <v>Não</v>
      </c>
      <c r="K39" s="2" t="s">
        <v>23</v>
      </c>
      <c r="L39" s="2" t="s">
        <v>146</v>
      </c>
      <c r="M39" s="3" t="s">
        <v>147</v>
      </c>
      <c r="N39" s="4">
        <f ca="1">DATEDIF(O39,TODAY(),"Y")</f>
        <v>65</v>
      </c>
      <c r="O39" s="5">
        <v>22236</v>
      </c>
      <c r="P39" s="2" t="s">
        <v>61</v>
      </c>
      <c r="Q39" s="2" t="s">
        <v>62</v>
      </c>
      <c r="R39" s="6">
        <v>23400</v>
      </c>
      <c r="S39" s="6">
        <v>28000</v>
      </c>
      <c r="T39" s="7" t="s">
        <v>49</v>
      </c>
      <c r="U39" s="2">
        <v>34</v>
      </c>
      <c r="V39" s="2" t="str">
        <f>IF(Tabela1[[#This Row],[qtde_batalhas]]&lt;=10,"Baixo",IF(Tabela1[[#This Row],[qtde_batalhas]]&lt;=25,"Médio","Alto"))</f>
        <v>Alto</v>
      </c>
      <c r="W39" s="2" t="s">
        <v>49</v>
      </c>
      <c r="X39" s="6">
        <v>74000</v>
      </c>
      <c r="Y39" s="2" t="str">
        <f t="shared" si="0"/>
        <v>Aprovado</v>
      </c>
      <c r="Z39" s="1" t="str">
        <f t="shared" si="1"/>
        <v>Aprovado</v>
      </c>
      <c r="AA39" s="26">
        <f t="shared" si="2"/>
        <v>79920</v>
      </c>
    </row>
    <row r="40" spans="1:27">
      <c r="A40" s="16">
        <f ca="1">YEAR(TODAY())-Tabela1[[#This Row],[idade]]</f>
        <v>1963</v>
      </c>
      <c r="B40" s="1">
        <f t="shared" ca="1" si="7"/>
        <v>63</v>
      </c>
      <c r="C40" s="1" t="str">
        <f>PROPER(Tabela1[[#This Row],[nome]])</f>
        <v>Meera Payne</v>
      </c>
      <c r="D40" s="1" t="str">
        <f t="shared" si="6"/>
        <v>000.000.131-00</v>
      </c>
      <c r="G40" s="26">
        <f t="shared" si="3"/>
        <v>14700</v>
      </c>
      <c r="H40" s="26">
        <f t="shared" si="4"/>
        <v>0</v>
      </c>
      <c r="I40" s="1" t="str">
        <f t="shared" si="5"/>
        <v>Sim</v>
      </c>
      <c r="L40" s="2" t="s">
        <v>149</v>
      </c>
      <c r="M40" s="3" t="s">
        <v>150</v>
      </c>
      <c r="N40" s="4">
        <f ca="1">DATEDIF(O40,TODAY(),"Y")</f>
        <v>63</v>
      </c>
      <c r="O40" s="5">
        <v>22974</v>
      </c>
      <c r="P40" s="2" t="s">
        <v>133</v>
      </c>
      <c r="Q40" s="2" t="s">
        <v>133</v>
      </c>
      <c r="R40" s="6">
        <v>14700</v>
      </c>
      <c r="S40" s="6">
        <v>0</v>
      </c>
      <c r="T40" s="7" t="s">
        <v>28</v>
      </c>
      <c r="U40" s="2">
        <v>40</v>
      </c>
      <c r="V40" s="2" t="str">
        <f>IF(Tabela1[[#This Row],[qtde_batalhas]]&lt;=10,"Baixo",IF(Tabela1[[#This Row],[qtde_batalhas]]&lt;=25,"Médio","Alto"))</f>
        <v>Alto</v>
      </c>
      <c r="W40" s="2" t="s">
        <v>28</v>
      </c>
      <c r="X40" s="6">
        <v>83500</v>
      </c>
      <c r="Y40" s="2" t="str">
        <f t="shared" si="0"/>
        <v>Negado</v>
      </c>
      <c r="Z40" s="1" t="str">
        <f t="shared" si="1"/>
        <v>Aprovado</v>
      </c>
      <c r="AA40" s="26">
        <f t="shared" si="2"/>
        <v>0</v>
      </c>
    </row>
    <row r="41" spans="1:27">
      <c r="A41" s="16">
        <f ca="1">YEAR(TODAY())-Tabela1[[#This Row],[idade]]</f>
        <v>2026</v>
      </c>
      <c r="B41" s="1">
        <f t="shared" ca="1" si="7"/>
        <v>126</v>
      </c>
      <c r="C41" s="1" t="str">
        <f>PROPER(Tabela1[[#This Row],[nome]])</f>
        <v>Melisandre Baratheon</v>
      </c>
      <c r="D41" s="1" t="str">
        <f t="shared" si="6"/>
        <v>000.000.364-00</v>
      </c>
      <c r="G41" s="26">
        <f t="shared" si="3"/>
        <v>14400</v>
      </c>
      <c r="H41" s="26">
        <f t="shared" si="4"/>
        <v>0</v>
      </c>
      <c r="I41" s="1" t="str">
        <f t="shared" si="5"/>
        <v>Não</v>
      </c>
      <c r="K41" s="2" t="s">
        <v>23</v>
      </c>
      <c r="L41" s="2" t="s">
        <v>152</v>
      </c>
      <c r="M41" s="3" t="s">
        <v>153</v>
      </c>
      <c r="P41" s="2" t="s">
        <v>70</v>
      </c>
      <c r="Q41" s="2" t="s">
        <v>71</v>
      </c>
      <c r="R41" s="6">
        <v>14400</v>
      </c>
      <c r="S41" s="6">
        <v>0</v>
      </c>
      <c r="T41" s="7" t="s">
        <v>49</v>
      </c>
      <c r="U41" s="2">
        <v>27</v>
      </c>
      <c r="V41" s="2" t="str">
        <f>IF(Tabela1[[#This Row],[qtde_batalhas]]&lt;=10,"Baixo",IF(Tabela1[[#This Row],[qtde_batalhas]]&lt;=25,"Médio","Alto"))</f>
        <v>Alto</v>
      </c>
      <c r="W41" s="2" t="s">
        <v>49</v>
      </c>
      <c r="X41" s="6">
        <v>33500</v>
      </c>
      <c r="Y41" s="2" t="str">
        <f t="shared" si="0"/>
        <v>Aprovado</v>
      </c>
      <c r="Z41" s="1" t="str">
        <f t="shared" si="1"/>
        <v>Aprovado</v>
      </c>
      <c r="AA41" s="26">
        <f t="shared" si="2"/>
        <v>36180</v>
      </c>
    </row>
    <row r="42" spans="1:27">
      <c r="A42" s="16">
        <f ca="1">YEAR(TODAY())-Tabela1[[#This Row],[idade]]</f>
        <v>1987</v>
      </c>
      <c r="B42" s="1">
        <f t="shared" ca="1" si="7"/>
        <v>39</v>
      </c>
      <c r="C42" s="1" t="str">
        <f>PROPER(Tabela1[[#This Row],[nome]])</f>
        <v>Podrick Targaryen</v>
      </c>
      <c r="D42" s="1" t="str">
        <f t="shared" si="6"/>
        <v>000.000.050-00</v>
      </c>
      <c r="G42" s="26">
        <f t="shared" si="3"/>
        <v>29900</v>
      </c>
      <c r="H42" s="26">
        <f t="shared" si="4"/>
        <v>0</v>
      </c>
      <c r="I42" s="1" t="str">
        <f t="shared" si="5"/>
        <v>Não</v>
      </c>
      <c r="K42" s="2" t="s">
        <v>23</v>
      </c>
      <c r="L42" s="2" t="s">
        <v>155</v>
      </c>
      <c r="M42" s="3" t="s">
        <v>156</v>
      </c>
      <c r="N42" s="4">
        <f ca="1">DATEDIF(O42,TODAY(),"Y")</f>
        <v>39</v>
      </c>
      <c r="O42" s="5">
        <v>31879</v>
      </c>
      <c r="P42" s="2" t="s">
        <v>97</v>
      </c>
      <c r="Q42" s="2" t="s">
        <v>98</v>
      </c>
      <c r="R42" s="6">
        <v>29900</v>
      </c>
      <c r="S42" s="6">
        <v>0</v>
      </c>
      <c r="T42" s="7" t="s">
        <v>49</v>
      </c>
      <c r="U42" s="2">
        <v>39</v>
      </c>
      <c r="V42" s="2" t="str">
        <f>IF(Tabela1[[#This Row],[qtde_batalhas]]&lt;=10,"Baixo",IF(Tabela1[[#This Row],[qtde_batalhas]]&lt;=25,"Médio","Alto"))</f>
        <v>Alto</v>
      </c>
      <c r="W42" s="2" t="s">
        <v>49</v>
      </c>
      <c r="X42" s="6">
        <v>75000</v>
      </c>
      <c r="Y42" s="2" t="str">
        <f t="shared" si="0"/>
        <v>Aprovado</v>
      </c>
      <c r="Z42" s="1" t="str">
        <f t="shared" si="1"/>
        <v>Aprovado</v>
      </c>
      <c r="AA42" s="26">
        <f t="shared" si="2"/>
        <v>81000</v>
      </c>
    </row>
    <row r="43" spans="1:27">
      <c r="A43" s="16">
        <f ca="1">YEAR(TODAY())-Tabela1[[#This Row],[idade]]</f>
        <v>1963</v>
      </c>
      <c r="B43" s="1">
        <f t="shared" ca="1" si="7"/>
        <v>63</v>
      </c>
      <c r="C43" s="1" t="str">
        <f>PROPER(Tabela1[[#This Row],[nome]])</f>
        <v>Margaery Manderly</v>
      </c>
      <c r="D43" s="1" t="str">
        <f t="shared" si="6"/>
        <v>000.000.222-00</v>
      </c>
      <c r="G43" s="26">
        <f t="shared" si="3"/>
        <v>16800</v>
      </c>
      <c r="H43" s="26">
        <f t="shared" si="4"/>
        <v>0</v>
      </c>
      <c r="I43" s="1" t="str">
        <f t="shared" si="5"/>
        <v>-</v>
      </c>
      <c r="K43" s="2" t="s">
        <v>23</v>
      </c>
      <c r="L43" s="2" t="s">
        <v>158</v>
      </c>
      <c r="M43" s="3" t="s">
        <v>159</v>
      </c>
      <c r="N43" s="4">
        <f ca="1">DATEDIF(O43,TODAY(),"Y")</f>
        <v>63</v>
      </c>
      <c r="O43" s="5">
        <v>23231</v>
      </c>
      <c r="P43" s="2" t="s">
        <v>119</v>
      </c>
      <c r="Q43" s="2" t="s">
        <v>91</v>
      </c>
      <c r="R43" s="6">
        <v>16800</v>
      </c>
      <c r="S43" s="6">
        <v>0</v>
      </c>
      <c r="U43" s="2">
        <v>32</v>
      </c>
      <c r="V43" s="2" t="str">
        <f>IF(Tabela1[[#This Row],[qtde_batalhas]]&lt;=10,"Baixo",IF(Tabela1[[#This Row],[qtde_batalhas]]&lt;=25,"Médio","Alto"))</f>
        <v>Alto</v>
      </c>
      <c r="X43" s="6">
        <v>61500</v>
      </c>
      <c r="Y43" s="2" t="str">
        <f t="shared" si="0"/>
        <v>Aprovado</v>
      </c>
      <c r="Z43" s="1" t="str">
        <f t="shared" si="1"/>
        <v>Aprovado</v>
      </c>
      <c r="AA43" s="26">
        <f t="shared" si="2"/>
        <v>66420</v>
      </c>
    </row>
    <row r="44" spans="1:27">
      <c r="A44" s="16">
        <f ca="1">YEAR(TODAY())-Tabela1[[#This Row],[idade]]</f>
        <v>1972</v>
      </c>
      <c r="B44" s="1">
        <f t="shared" ca="1" si="7"/>
        <v>54</v>
      </c>
      <c r="C44" s="1" t="str">
        <f>PROPER(Tabela1[[#This Row],[nome]])</f>
        <v>Ilhasenerys Seaworth</v>
      </c>
      <c r="D44" s="1" t="str">
        <f t="shared" si="6"/>
        <v>000.000.341-00</v>
      </c>
      <c r="G44" s="26">
        <f t="shared" si="3"/>
        <v>29700</v>
      </c>
      <c r="H44" s="26">
        <f t="shared" si="4"/>
        <v>34000</v>
      </c>
      <c r="I44" s="1" t="str">
        <f t="shared" si="5"/>
        <v>Não</v>
      </c>
      <c r="K44" s="2" t="s">
        <v>23</v>
      </c>
      <c r="L44" s="2" t="s">
        <v>796</v>
      </c>
      <c r="M44" s="3" t="s">
        <v>161</v>
      </c>
      <c r="N44" s="4">
        <f ca="1">DATEDIF(O44,TODAY(),"Y")</f>
        <v>54</v>
      </c>
      <c r="O44" s="5">
        <v>26213</v>
      </c>
      <c r="P44" s="2" t="s">
        <v>97</v>
      </c>
      <c r="Q44" s="2" t="s">
        <v>98</v>
      </c>
      <c r="R44" s="6">
        <v>29700</v>
      </c>
      <c r="S44" s="6">
        <v>34000</v>
      </c>
      <c r="T44" s="7" t="s">
        <v>49</v>
      </c>
      <c r="U44" s="2">
        <v>35</v>
      </c>
      <c r="V44" s="2" t="str">
        <f>IF(Tabela1[[#This Row],[qtde_batalhas]]&lt;=10,"Baixo",IF(Tabela1[[#This Row],[qtde_batalhas]]&lt;=25,"Médio","Alto"))</f>
        <v>Alto</v>
      </c>
      <c r="W44" s="2" t="s">
        <v>49</v>
      </c>
      <c r="X44" s="6">
        <v>35000</v>
      </c>
      <c r="Y44" s="2" t="str">
        <f t="shared" si="0"/>
        <v>Aprovado</v>
      </c>
      <c r="Z44" s="1" t="str">
        <f t="shared" si="1"/>
        <v>Aprovado</v>
      </c>
      <c r="AA44" s="26">
        <f t="shared" si="2"/>
        <v>37800</v>
      </c>
    </row>
    <row r="45" spans="1:27">
      <c r="A45" s="16">
        <f ca="1">YEAR(TODAY())-Tabela1[[#This Row],[idade]]</f>
        <v>1997</v>
      </c>
      <c r="B45" s="1">
        <f t="shared" ca="1" si="7"/>
        <v>29</v>
      </c>
      <c r="C45" s="1" t="str">
        <f>PROPER(Tabela1[[#This Row],[nome]])</f>
        <v>Brienne Manderly</v>
      </c>
      <c r="D45" s="1" t="str">
        <f t="shared" si="6"/>
        <v>000.000.140-00</v>
      </c>
      <c r="G45" s="26">
        <f t="shared" si="3"/>
        <v>11900</v>
      </c>
      <c r="H45" s="26">
        <f t="shared" si="4"/>
        <v>65000</v>
      </c>
      <c r="I45" s="1" t="str">
        <f t="shared" si="5"/>
        <v>Sim</v>
      </c>
      <c r="K45" s="2" t="s">
        <v>23</v>
      </c>
      <c r="L45" s="2" t="s">
        <v>55</v>
      </c>
      <c r="M45" s="3" t="s">
        <v>163</v>
      </c>
      <c r="N45" s="4">
        <f ca="1">DATEDIF(O45,TODAY(),"Y")</f>
        <v>29</v>
      </c>
      <c r="O45" s="5">
        <v>35472</v>
      </c>
      <c r="P45" s="2" t="s">
        <v>797</v>
      </c>
      <c r="Q45" s="2" t="s">
        <v>798</v>
      </c>
      <c r="R45" s="6">
        <v>11900</v>
      </c>
      <c r="S45" s="6">
        <v>65000</v>
      </c>
      <c r="T45" s="7" t="s">
        <v>28</v>
      </c>
      <c r="U45" s="2">
        <v>29</v>
      </c>
      <c r="V45" s="2" t="str">
        <f>IF(Tabela1[[#This Row],[qtde_batalhas]]&lt;=10,"Baixo",IF(Tabela1[[#This Row],[qtde_batalhas]]&lt;=25,"Médio","Alto"))</f>
        <v>Alto</v>
      </c>
      <c r="W45" s="2" t="s">
        <v>28</v>
      </c>
      <c r="X45" s="6">
        <v>12000</v>
      </c>
      <c r="Y45" s="2" t="str">
        <f t="shared" si="0"/>
        <v>Negado</v>
      </c>
      <c r="Z45" s="1" t="str">
        <f t="shared" si="1"/>
        <v>Negado</v>
      </c>
      <c r="AA45" s="26">
        <f t="shared" si="2"/>
        <v>0</v>
      </c>
    </row>
    <row r="46" spans="1:27">
      <c r="A46" s="16">
        <f ca="1">YEAR(TODAY())-Tabela1[[#This Row],[idade]]</f>
        <v>1989</v>
      </c>
      <c r="B46" s="1">
        <f t="shared" ca="1" si="7"/>
        <v>37</v>
      </c>
      <c r="C46" s="1" t="str">
        <f>PROPER(Tabela1[[#This Row],[nome]])</f>
        <v>Jorah Redwyne</v>
      </c>
      <c r="D46" s="1" t="str">
        <f t="shared" si="6"/>
        <v>-</v>
      </c>
      <c r="G46" s="26">
        <f t="shared" si="3"/>
        <v>2600</v>
      </c>
      <c r="H46" s="26" t="str">
        <f t="shared" si="4"/>
        <v>-</v>
      </c>
      <c r="I46" s="1" t="str">
        <f t="shared" si="5"/>
        <v>Não</v>
      </c>
      <c r="K46" s="2" t="s">
        <v>23</v>
      </c>
      <c r="L46" s="2" t="s">
        <v>165</v>
      </c>
      <c r="M46" s="3">
        <v>16500</v>
      </c>
      <c r="N46" s="4">
        <f ca="1">DATEDIF(O46,TODAY(),"Y")</f>
        <v>37</v>
      </c>
      <c r="O46" s="5">
        <v>32513</v>
      </c>
      <c r="P46" s="2" t="s">
        <v>133</v>
      </c>
      <c r="Q46" s="2" t="s">
        <v>98</v>
      </c>
      <c r="R46" s="6">
        <v>2600</v>
      </c>
      <c r="S46" s="6" t="s">
        <v>40</v>
      </c>
      <c r="T46" s="7" t="s">
        <v>49</v>
      </c>
      <c r="U46" s="2">
        <v>5</v>
      </c>
      <c r="V46" s="2" t="str">
        <f>IF(Tabela1[[#This Row],[qtde_batalhas]]&lt;=10,"Baixo",IF(Tabela1[[#This Row],[qtde_batalhas]]&lt;=25,"Médio","Alto"))</f>
        <v>Baixo</v>
      </c>
      <c r="W46" s="2" t="s">
        <v>49</v>
      </c>
      <c r="X46" s="6">
        <v>16500</v>
      </c>
      <c r="Y46" s="2" t="str">
        <f t="shared" si="0"/>
        <v>Aprovado</v>
      </c>
      <c r="Z46" s="1" t="str">
        <f t="shared" si="1"/>
        <v>Aprovado</v>
      </c>
      <c r="AA46" s="26">
        <f t="shared" si="2"/>
        <v>17820</v>
      </c>
    </row>
    <row r="47" spans="1:27">
      <c r="A47" s="16">
        <f ca="1">YEAR(TODAY())-Tabela1[[#This Row],[idade]]</f>
        <v>2001</v>
      </c>
      <c r="B47" s="1">
        <f t="shared" ca="1" si="7"/>
        <v>25</v>
      </c>
      <c r="C47" s="1" t="str">
        <f>PROPER(Tabela1[[#This Row],[nome]])</f>
        <v>Margaery  Hornwood</v>
      </c>
      <c r="D47" s="1" t="str">
        <f t="shared" si="6"/>
        <v>-</v>
      </c>
      <c r="G47" s="26">
        <f t="shared" si="3"/>
        <v>2500</v>
      </c>
      <c r="H47" s="26">
        <f t="shared" si="4"/>
        <v>72500</v>
      </c>
      <c r="I47" s="1" t="str">
        <f t="shared" si="5"/>
        <v>Não</v>
      </c>
      <c r="K47" s="2" t="s">
        <v>23</v>
      </c>
      <c r="L47" s="2" t="s">
        <v>799</v>
      </c>
      <c r="M47" s="3">
        <v>15100</v>
      </c>
      <c r="N47" s="4">
        <f ca="1">DATEDIF(O47,TODAY(),"Y")</f>
        <v>25</v>
      </c>
      <c r="O47" s="5">
        <v>37125</v>
      </c>
      <c r="P47" s="2" t="s">
        <v>76</v>
      </c>
      <c r="Q47" s="2" t="s">
        <v>133</v>
      </c>
      <c r="R47" s="6">
        <v>2500</v>
      </c>
      <c r="S47" s="6">
        <v>72500</v>
      </c>
      <c r="T47" s="7" t="s">
        <v>49</v>
      </c>
      <c r="U47" s="2">
        <v>32</v>
      </c>
      <c r="V47" s="2" t="str">
        <f>IF(Tabela1[[#This Row],[qtde_batalhas]]&lt;=10,"Baixo",IF(Tabela1[[#This Row],[qtde_batalhas]]&lt;=25,"Médio","Alto"))</f>
        <v>Alto</v>
      </c>
      <c r="W47" s="2" t="s">
        <v>49</v>
      </c>
      <c r="X47" s="6">
        <v>97000</v>
      </c>
      <c r="Y47" s="2" t="str">
        <f t="shared" si="0"/>
        <v>Aprovado</v>
      </c>
      <c r="Z47" s="1" t="str">
        <f t="shared" si="1"/>
        <v>Aprovado</v>
      </c>
      <c r="AA47" s="26">
        <f t="shared" si="2"/>
        <v>104760</v>
      </c>
    </row>
    <row r="48" spans="1:27">
      <c r="A48" s="16">
        <f ca="1">YEAR(TODAY())-Tabela1[[#This Row],[idade]]</f>
        <v>2005</v>
      </c>
      <c r="B48" s="1">
        <f t="shared" ca="1" si="7"/>
        <v>21</v>
      </c>
      <c r="C48" s="1" t="str">
        <f>PROPER(Tabela1[[#This Row],[nome]])</f>
        <v>Arya Redwyne</v>
      </c>
      <c r="D48" s="1" t="str">
        <f t="shared" si="6"/>
        <v>000.000.333-00</v>
      </c>
      <c r="G48" s="26">
        <f t="shared" si="3"/>
        <v>3800</v>
      </c>
      <c r="H48" s="26">
        <f t="shared" si="4"/>
        <v>0</v>
      </c>
      <c r="I48" s="1" t="str">
        <f t="shared" si="5"/>
        <v>Não</v>
      </c>
      <c r="K48" s="2" t="s">
        <v>23</v>
      </c>
      <c r="L48" s="2" t="s">
        <v>169</v>
      </c>
      <c r="M48" s="3" t="s">
        <v>170</v>
      </c>
      <c r="N48" s="4">
        <f ca="1">DATEDIF(O48,TODAY(),"Y")</f>
        <v>21</v>
      </c>
      <c r="O48" s="5">
        <v>38323</v>
      </c>
      <c r="P48" s="2" t="s">
        <v>111</v>
      </c>
      <c r="Q48" s="2" t="s">
        <v>88</v>
      </c>
      <c r="R48" s="6">
        <v>3800</v>
      </c>
      <c r="S48" s="6">
        <v>0</v>
      </c>
      <c r="T48" s="7" t="s">
        <v>49</v>
      </c>
      <c r="U48" s="2">
        <v>25</v>
      </c>
      <c r="V48" s="2" t="str">
        <f>IF(Tabela1[[#This Row],[qtde_batalhas]]&lt;=10,"Baixo",IF(Tabela1[[#This Row],[qtde_batalhas]]&lt;=25,"Médio","Alto"))</f>
        <v>Médio</v>
      </c>
      <c r="W48" s="2" t="s">
        <v>49</v>
      </c>
      <c r="X48" s="6">
        <v>50000</v>
      </c>
      <c r="Y48" s="2" t="str">
        <f t="shared" si="0"/>
        <v>Aprovado</v>
      </c>
      <c r="Z48" s="1" t="str">
        <f t="shared" si="1"/>
        <v>Aprovado</v>
      </c>
      <c r="AA48" s="26">
        <f t="shared" si="2"/>
        <v>54000</v>
      </c>
    </row>
    <row r="49" spans="1:27">
      <c r="A49" s="16">
        <f ca="1">YEAR(TODAY())-Tabela1[[#This Row],[idade]]</f>
        <v>1998</v>
      </c>
      <c r="B49" s="1">
        <f t="shared" ca="1" si="7"/>
        <v>28</v>
      </c>
      <c r="C49" s="1" t="str">
        <f>PROPER(Tabela1[[#This Row],[nome]])</f>
        <v>Varys Bracken</v>
      </c>
      <c r="D49" s="1" t="str">
        <f t="shared" si="6"/>
        <v>000.000.215-00</v>
      </c>
      <c r="G49" s="26">
        <f t="shared" si="3"/>
        <v>2000</v>
      </c>
      <c r="H49" s="26">
        <f t="shared" si="4"/>
        <v>51000</v>
      </c>
      <c r="I49" s="1" t="str">
        <f t="shared" si="5"/>
        <v>Não</v>
      </c>
      <c r="K49" s="2" t="s">
        <v>23</v>
      </c>
      <c r="L49" s="2" t="s">
        <v>172</v>
      </c>
      <c r="M49" s="3" t="s">
        <v>173</v>
      </c>
      <c r="N49" s="4">
        <f ca="1">DATEDIF(O49,TODAY(),"Y")</f>
        <v>28</v>
      </c>
      <c r="O49" s="5">
        <v>35887</v>
      </c>
      <c r="P49" s="2" t="s">
        <v>122</v>
      </c>
      <c r="Q49" s="2" t="s">
        <v>38</v>
      </c>
      <c r="R49" s="6">
        <v>2000</v>
      </c>
      <c r="S49" s="6">
        <v>51000</v>
      </c>
      <c r="T49" s="7" t="s">
        <v>140</v>
      </c>
      <c r="U49" s="2">
        <v>12</v>
      </c>
      <c r="V49" s="2" t="str">
        <f>IF(Tabela1[[#This Row],[qtde_batalhas]]&lt;=10,"Baixo",IF(Tabela1[[#This Row],[qtde_batalhas]]&lt;=25,"Médio","Alto"))</f>
        <v>Médio</v>
      </c>
      <c r="W49" s="2" t="s">
        <v>140</v>
      </c>
      <c r="X49" s="6">
        <v>72500</v>
      </c>
      <c r="Y49" s="2" t="str">
        <f t="shared" si="0"/>
        <v>Aprovado</v>
      </c>
      <c r="Z49" s="1" t="str">
        <f t="shared" si="1"/>
        <v>Aprovado</v>
      </c>
      <c r="AA49" s="26">
        <f t="shared" si="2"/>
        <v>78300</v>
      </c>
    </row>
    <row r="50" spans="1:27">
      <c r="A50" s="16">
        <f ca="1">YEAR(TODAY())-Tabela1[[#This Row],[idade]]</f>
        <v>1987</v>
      </c>
      <c r="B50" s="1">
        <f t="shared" ca="1" si="7"/>
        <v>39</v>
      </c>
      <c r="C50" s="1" t="str">
        <f>PROPER(Tabela1[[#This Row],[nome]])</f>
        <v>Brienne Royce</v>
      </c>
      <c r="D50" s="1" t="str">
        <f t="shared" si="6"/>
        <v>-</v>
      </c>
      <c r="G50" s="26">
        <f t="shared" si="3"/>
        <v>24700</v>
      </c>
      <c r="H50" s="26">
        <f t="shared" si="4"/>
        <v>23500</v>
      </c>
      <c r="I50" s="1" t="str">
        <f t="shared" si="5"/>
        <v>Não</v>
      </c>
      <c r="K50" s="2" t="s">
        <v>23</v>
      </c>
      <c r="L50" s="2" t="s">
        <v>176</v>
      </c>
      <c r="M50" s="3">
        <v>10800</v>
      </c>
      <c r="N50" s="4">
        <f ca="1">DATEDIF(O50,TODAY(),"Y")</f>
        <v>39</v>
      </c>
      <c r="O50" s="5">
        <v>31766</v>
      </c>
      <c r="P50" s="2" t="s">
        <v>70</v>
      </c>
      <c r="Q50" s="2" t="s">
        <v>98</v>
      </c>
      <c r="R50" s="6">
        <v>24700</v>
      </c>
      <c r="S50" s="6">
        <v>23500</v>
      </c>
      <c r="T50" s="7" t="s">
        <v>49</v>
      </c>
      <c r="U50" s="2">
        <v>43</v>
      </c>
      <c r="V50" s="2" t="str">
        <f>IF(Tabela1[[#This Row],[qtde_batalhas]]&lt;=10,"Baixo",IF(Tabela1[[#This Row],[qtde_batalhas]]&lt;=25,"Médio","Alto"))</f>
        <v>Alto</v>
      </c>
      <c r="W50" s="2" t="s">
        <v>49</v>
      </c>
      <c r="X50" s="6">
        <v>57000</v>
      </c>
      <c r="Y50" s="2" t="str">
        <f t="shared" si="0"/>
        <v>Aprovado</v>
      </c>
      <c r="Z50" s="1" t="str">
        <f t="shared" si="1"/>
        <v>Aprovado</v>
      </c>
      <c r="AA50" s="26">
        <f t="shared" si="2"/>
        <v>61560.000000000007</v>
      </c>
    </row>
    <row r="51" spans="1:27">
      <c r="A51" s="16">
        <f ca="1">YEAR(TODAY())-Tabela1[[#This Row],[idade]]</f>
        <v>1953</v>
      </c>
      <c r="B51" s="1">
        <f t="shared" ca="1" si="7"/>
        <v>73</v>
      </c>
      <c r="C51" s="1" t="str">
        <f>PROPER(Tabela1[[#This Row],[nome]])</f>
        <v>Rickon Redwyne</v>
      </c>
      <c r="D51" s="1" t="str">
        <f t="shared" si="6"/>
        <v>-</v>
      </c>
      <c r="G51" s="26">
        <f t="shared" si="3"/>
        <v>28600</v>
      </c>
      <c r="H51" s="26">
        <f t="shared" si="4"/>
        <v>40500</v>
      </c>
      <c r="I51" s="1" t="str">
        <f t="shared" si="5"/>
        <v>Não</v>
      </c>
      <c r="K51" s="2" t="s">
        <v>23</v>
      </c>
      <c r="L51" s="2" t="s">
        <v>178</v>
      </c>
      <c r="M51" s="3">
        <v>15000</v>
      </c>
      <c r="N51" s="4">
        <f ca="1">DATEDIF(O51,TODAY(),"Y")</f>
        <v>73</v>
      </c>
      <c r="O51" s="5">
        <v>19588</v>
      </c>
      <c r="P51" s="2" t="s">
        <v>111</v>
      </c>
      <c r="Q51" s="2" t="s">
        <v>91</v>
      </c>
      <c r="R51" s="6">
        <v>28600</v>
      </c>
      <c r="S51" s="6">
        <v>40500</v>
      </c>
      <c r="T51" s="7" t="s">
        <v>49</v>
      </c>
      <c r="U51" s="2">
        <v>20</v>
      </c>
      <c r="V51" s="2" t="str">
        <f>IF(Tabela1[[#This Row],[qtde_batalhas]]&lt;=10,"Baixo",IF(Tabela1[[#This Row],[qtde_batalhas]]&lt;=25,"Médio","Alto"))</f>
        <v>Médio</v>
      </c>
      <c r="W51" s="2" t="s">
        <v>49</v>
      </c>
      <c r="X51" s="6">
        <v>2500</v>
      </c>
      <c r="Y51" s="2" t="str">
        <f t="shared" si="0"/>
        <v>Aprovado</v>
      </c>
      <c r="Z51" s="1" t="str">
        <f t="shared" si="1"/>
        <v>Aprovado</v>
      </c>
      <c r="AA51" s="26">
        <f t="shared" si="2"/>
        <v>2700</v>
      </c>
    </row>
    <row r="52" spans="1:27">
      <c r="A52" s="16">
        <f ca="1">YEAR(TODAY())-Tabela1[[#This Row],[idade]]</f>
        <v>1984</v>
      </c>
      <c r="B52" s="1">
        <f t="shared" ca="1" si="7"/>
        <v>42</v>
      </c>
      <c r="C52" s="1" t="str">
        <f>PROPER(Tabela1[[#This Row],[nome]])</f>
        <v>Tormund Karstark</v>
      </c>
      <c r="D52" s="1" t="str">
        <f t="shared" si="6"/>
        <v>000.000.284-00</v>
      </c>
      <c r="G52" s="26">
        <f t="shared" si="3"/>
        <v>20400</v>
      </c>
      <c r="H52" s="26">
        <f t="shared" si="4"/>
        <v>0</v>
      </c>
      <c r="I52" s="1" t="str">
        <f t="shared" si="5"/>
        <v>Não</v>
      </c>
      <c r="K52" s="2" t="s">
        <v>23</v>
      </c>
      <c r="L52" s="2" t="s">
        <v>179</v>
      </c>
      <c r="M52" s="3" t="s">
        <v>180</v>
      </c>
      <c r="N52" s="4">
        <f ca="1">DATEDIF(O52,TODAY(),"Y")</f>
        <v>42</v>
      </c>
      <c r="O52" s="5">
        <v>30662</v>
      </c>
      <c r="P52" s="2" t="s">
        <v>118</v>
      </c>
      <c r="Q52" s="2" t="s">
        <v>91</v>
      </c>
      <c r="R52" s="6">
        <v>20400</v>
      </c>
      <c r="S52" s="6">
        <v>0</v>
      </c>
      <c r="T52" s="7" t="s">
        <v>140</v>
      </c>
      <c r="U52" s="2">
        <v>0</v>
      </c>
      <c r="V52" s="2" t="str">
        <f>IF(Tabela1[[#This Row],[qtde_batalhas]]&lt;=10,"Baixo",IF(Tabela1[[#This Row],[qtde_batalhas]]&lt;=25,"Médio","Alto"))</f>
        <v>Baixo</v>
      </c>
      <c r="W52" s="2" t="s">
        <v>140</v>
      </c>
      <c r="X52" s="6">
        <v>81000</v>
      </c>
      <c r="Y52" s="2" t="str">
        <f t="shared" si="0"/>
        <v>Aprovado</v>
      </c>
      <c r="Z52" s="1" t="str">
        <f t="shared" si="1"/>
        <v>Aprovado</v>
      </c>
      <c r="AA52" s="26">
        <f t="shared" si="2"/>
        <v>87480</v>
      </c>
    </row>
    <row r="53" spans="1:27">
      <c r="A53" s="16">
        <f ca="1">YEAR(TODAY())-Tabela1[[#This Row],[idade]]</f>
        <v>1978</v>
      </c>
      <c r="B53" s="1">
        <f t="shared" ca="1" si="7"/>
        <v>48</v>
      </c>
      <c r="C53" s="1" t="str">
        <f>PROPER(Tabela1[[#This Row],[nome]])</f>
        <v>Bran Ilhasyne</v>
      </c>
      <c r="D53" s="1" t="str">
        <f t="shared" si="6"/>
        <v>000.000.288-00</v>
      </c>
      <c r="G53" s="26">
        <f t="shared" si="3"/>
        <v>4500</v>
      </c>
      <c r="H53" s="26">
        <f t="shared" si="4"/>
        <v>0</v>
      </c>
      <c r="I53" s="1" t="str">
        <f t="shared" si="5"/>
        <v>Não</v>
      </c>
      <c r="K53" s="2" t="s">
        <v>23</v>
      </c>
      <c r="L53" s="2" t="s">
        <v>800</v>
      </c>
      <c r="M53" s="3" t="s">
        <v>182</v>
      </c>
      <c r="N53" s="4">
        <f ca="1">DATEDIF(O53,TODAY(),"Y")</f>
        <v>48</v>
      </c>
      <c r="O53" s="5">
        <v>28430</v>
      </c>
      <c r="P53" s="2" t="s">
        <v>118</v>
      </c>
      <c r="Q53" s="2" t="s">
        <v>62</v>
      </c>
      <c r="R53" s="6">
        <v>4500</v>
      </c>
      <c r="S53" s="6">
        <v>0</v>
      </c>
      <c r="T53" s="7" t="s">
        <v>49</v>
      </c>
      <c r="U53" s="2">
        <v>3</v>
      </c>
      <c r="V53" s="2" t="str">
        <f>IF(Tabela1[[#This Row],[qtde_batalhas]]&lt;=10,"Baixo",IF(Tabela1[[#This Row],[qtde_batalhas]]&lt;=25,"Médio","Alto"))</f>
        <v>Baixo</v>
      </c>
      <c r="W53" s="2" t="s">
        <v>49</v>
      </c>
      <c r="X53" s="6">
        <v>48500</v>
      </c>
      <c r="Y53" s="2" t="str">
        <f t="shared" si="0"/>
        <v>Aprovado</v>
      </c>
      <c r="Z53" s="1" t="str">
        <f t="shared" si="1"/>
        <v>Aprovado</v>
      </c>
      <c r="AA53" s="26">
        <f t="shared" si="2"/>
        <v>52380</v>
      </c>
    </row>
    <row r="54" spans="1:27">
      <c r="A54" s="16">
        <f ca="1">YEAR(TODAY())-Tabela1[[#This Row],[idade]]</f>
        <v>1987</v>
      </c>
      <c r="B54" s="1">
        <f t="shared" ca="1" si="7"/>
        <v>39</v>
      </c>
      <c r="C54" s="1" t="str">
        <f>PROPER(Tabela1[[#This Row],[nome]])</f>
        <v>Jorah Dondarrion</v>
      </c>
      <c r="D54" s="1" t="str">
        <f t="shared" si="6"/>
        <v>000.000.294-00</v>
      </c>
      <c r="G54" s="26">
        <f t="shared" si="3"/>
        <v>22200</v>
      </c>
      <c r="H54" s="26">
        <f t="shared" si="4"/>
        <v>0</v>
      </c>
      <c r="I54" s="1" t="str">
        <f t="shared" si="5"/>
        <v>Sim</v>
      </c>
      <c r="K54" s="2" t="s">
        <v>29</v>
      </c>
      <c r="L54" s="2" t="s">
        <v>42</v>
      </c>
      <c r="M54" s="3" t="s">
        <v>184</v>
      </c>
      <c r="N54" s="4">
        <f ca="1">DATEDIF(O54,TODAY(),"Y")</f>
        <v>39</v>
      </c>
      <c r="O54" s="5">
        <v>31693</v>
      </c>
      <c r="P54" s="2" t="s">
        <v>194</v>
      </c>
      <c r="Q54" s="2" t="s">
        <v>57</v>
      </c>
      <c r="R54" s="6">
        <v>22200</v>
      </c>
      <c r="S54" s="6">
        <v>0</v>
      </c>
      <c r="T54" s="7" t="s">
        <v>28</v>
      </c>
      <c r="U54" s="2">
        <v>3</v>
      </c>
      <c r="V54" s="2" t="str">
        <f>IF(Tabela1[[#This Row],[qtde_batalhas]]&lt;=10,"Baixo",IF(Tabela1[[#This Row],[qtde_batalhas]]&lt;=25,"Médio","Alto"))</f>
        <v>Baixo</v>
      </c>
      <c r="W54" s="2" t="s">
        <v>28</v>
      </c>
      <c r="X54" s="6">
        <v>7000</v>
      </c>
      <c r="Y54" s="2" t="str">
        <f t="shared" si="0"/>
        <v>Aprovado</v>
      </c>
      <c r="Z54" s="1" t="str">
        <f t="shared" si="1"/>
        <v>Aprovado</v>
      </c>
      <c r="AA54" s="26">
        <f t="shared" si="2"/>
        <v>0</v>
      </c>
    </row>
    <row r="55" spans="1:27">
      <c r="A55" s="16">
        <f ca="1">YEAR(TODAY())-Tabela1[[#This Row],[idade]]</f>
        <v>1970</v>
      </c>
      <c r="B55" s="1">
        <f t="shared" ca="1" si="7"/>
        <v>56</v>
      </c>
      <c r="C55" s="1" t="str">
        <f>PROPER(Tabela1[[#This Row],[nome]])</f>
        <v>Aegon Frey</v>
      </c>
      <c r="D55" s="1" t="str">
        <f t="shared" si="6"/>
        <v>000.000.338-00</v>
      </c>
      <c r="G55" s="26">
        <f t="shared" si="3"/>
        <v>11100</v>
      </c>
      <c r="H55" s="26">
        <f t="shared" si="4"/>
        <v>63000</v>
      </c>
      <c r="I55" s="1" t="str">
        <f t="shared" si="5"/>
        <v>Não</v>
      </c>
      <c r="K55" s="2" t="s">
        <v>23</v>
      </c>
      <c r="L55" s="2" t="s">
        <v>185</v>
      </c>
      <c r="M55" s="3" t="s">
        <v>186</v>
      </c>
      <c r="N55" s="4">
        <f ca="1">DATEDIF(O55,TODAY(),"Y")</f>
        <v>56</v>
      </c>
      <c r="O55" s="5">
        <v>25525</v>
      </c>
      <c r="P55" s="2" t="s">
        <v>122</v>
      </c>
      <c r="Q55" s="2" t="s">
        <v>133</v>
      </c>
      <c r="R55" s="6">
        <v>11100</v>
      </c>
      <c r="S55" s="6">
        <v>63000</v>
      </c>
      <c r="T55" s="7" t="s">
        <v>49</v>
      </c>
      <c r="U55" s="2">
        <v>0</v>
      </c>
      <c r="V55" s="2" t="str">
        <f>IF(Tabela1[[#This Row],[qtde_batalhas]]&lt;=10,"Baixo",IF(Tabela1[[#This Row],[qtde_batalhas]]&lt;=25,"Médio","Alto"))</f>
        <v>Baixo</v>
      </c>
      <c r="W55" s="2" t="s">
        <v>49</v>
      </c>
      <c r="X55" s="6">
        <v>56000</v>
      </c>
      <c r="Y55" s="2" t="str">
        <f t="shared" si="0"/>
        <v>Aprovado</v>
      </c>
      <c r="Z55" s="1" t="str">
        <f t="shared" si="1"/>
        <v>Aprovado</v>
      </c>
      <c r="AA55" s="26">
        <f t="shared" si="2"/>
        <v>60480.000000000007</v>
      </c>
    </row>
    <row r="56" spans="1:27">
      <c r="A56" s="16">
        <f ca="1">YEAR(TODAY())-Tabela1[[#This Row],[idade]]</f>
        <v>1978</v>
      </c>
      <c r="B56" s="1">
        <f t="shared" ca="1" si="7"/>
        <v>48</v>
      </c>
      <c r="C56" s="1" t="str">
        <f>PROPER(Tabela1[[#This Row],[nome]])</f>
        <v>Ilhasenerys Snow</v>
      </c>
      <c r="D56" s="1" t="str">
        <f t="shared" si="6"/>
        <v>-</v>
      </c>
      <c r="E56" t="str">
        <f>IF(P77="Lannisporto","Oeste",
IF(P77="Ninho da Águia","Vale",
IF(P77="Ponta Tempestade","Terras da Tempestade",
IF(P77="Pedra do Dragão","Terras da Coroa",
IF(P77="Pyke","Ilhas de Ferro",
IF(P77="Meereen","Essos",
IF(P77="Braavos","Essos",
IF(P77="Correrrio","Terras Fluviais",
IF(P77="Castelo Negro","Norte",
IF(P77="Vilavelha","Campina",
IF(P77="Ilha dos Ursos","Norte",
IF(P77="Fosso Cailin","Norte",
IF(P77="Harrenhal","Terras Fluviais",
IF(P77="Winterfell","Norte",
IF(P77="Jardim de Cima","Campina",
IF(P77="Dorne","Dorne",
IF(P77="Monte Chifre","Campina",
IF(P77="Atalaia da Água Cinzenta","Oeste",
IF(P77="Porto Real","Terras da Coroa",
IF(P77="Solar do Entardecer","Terras da Tempestade",
""))))))))))))))))))))</f>
        <v>Campina</v>
      </c>
      <c r="G56" s="26">
        <f t="shared" si="3"/>
        <v>15800</v>
      </c>
      <c r="H56" s="26" t="str">
        <f t="shared" si="4"/>
        <v>-</v>
      </c>
      <c r="I56" s="1" t="str">
        <f t="shared" si="5"/>
        <v>Não</v>
      </c>
      <c r="K56" s="2" t="s">
        <v>23</v>
      </c>
      <c r="L56" s="2" t="s">
        <v>801</v>
      </c>
      <c r="M56" s="3">
        <v>14200</v>
      </c>
      <c r="N56" s="4">
        <f ca="1">DATEDIF(O56,TODAY(),"Y")</f>
        <v>48</v>
      </c>
      <c r="O56" s="5">
        <v>28681</v>
      </c>
      <c r="P56" s="20" t="s">
        <v>133</v>
      </c>
      <c r="Q56" s="20" t="str">
        <f>IF(P56="Lannisporto","Oeste",
IF(P56="Ninho da Águia","Vale",
IF(P56="Ponta Tempestade","Terras da Tempestade",
IF(P56="Pedra do Dragão","Terras da Coroa",
IF(P56="Pyke","Ilhas de Ferro",
IF(P56="Meereen","Essos",
IF(P56="Braavos","Essos",
IF(P56="Correrrio","Terras Fluviais",
IF(P56="Castelo Negro","Norte",
IF(P56="Vilavelha","Campina",
IF(P56="Ilha dos Ursos","Norte",
IF(P56="Fosso Cailin","Norte",
IF(P56="Harrenhal","Terras Fluviais",
IF(P56="Winterfell","Norte",
IF(P56="Jardim de Cima","Campina",
IF(P56="Dorne","Dorne",
IF(P56="Monte Chifre","Campina",
IF(P56="Atalaia da Água Cinzenta","Oeste",
IF(P56="Porto Real","Terras da Coroa",
IF(P56="Solar do Entardecer","Terras da Tempestade",
""))))))))))))))))))))</f>
        <v>Dorne</v>
      </c>
      <c r="R56" s="6">
        <v>15800</v>
      </c>
      <c r="S56" s="6" t="s">
        <v>40</v>
      </c>
      <c r="T56" s="7" t="s">
        <v>49</v>
      </c>
      <c r="U56" s="2">
        <v>12</v>
      </c>
      <c r="V56" s="2" t="str">
        <f>IF(Tabela1[[#This Row],[qtde_batalhas]]&lt;=10,"Baixo",IF(Tabela1[[#This Row],[qtde_batalhas]]&lt;=25,"Médio","Alto"))</f>
        <v>Médio</v>
      </c>
      <c r="W56" s="2" t="s">
        <v>49</v>
      </c>
      <c r="X56" s="6">
        <v>69500</v>
      </c>
      <c r="Y56" s="2" t="str">
        <f t="shared" si="0"/>
        <v>Aprovado</v>
      </c>
      <c r="Z56" s="1" t="str">
        <f t="shared" si="1"/>
        <v>Aprovado</v>
      </c>
      <c r="AA56" s="26">
        <f t="shared" si="2"/>
        <v>75060</v>
      </c>
    </row>
    <row r="57" spans="1:27">
      <c r="A57" s="16">
        <f ca="1">YEAR(TODAY())-Tabela1[[#This Row],[idade]]</f>
        <v>1956</v>
      </c>
      <c r="B57" s="1">
        <f t="shared" ca="1" si="7"/>
        <v>70</v>
      </c>
      <c r="C57" s="1" t="str">
        <f>PROPER(Tabela1[[#This Row],[nome]])</f>
        <v>Asha Baratheon</v>
      </c>
      <c r="D57" s="1" t="str">
        <f t="shared" si="6"/>
        <v>000.000.195-00</v>
      </c>
      <c r="G57" s="26">
        <f t="shared" si="3"/>
        <v>16300</v>
      </c>
      <c r="H57" s="26">
        <f t="shared" si="4"/>
        <v>16500</v>
      </c>
      <c r="I57" s="1" t="str">
        <f t="shared" si="5"/>
        <v>Não</v>
      </c>
      <c r="K57" s="2" t="s">
        <v>23</v>
      </c>
      <c r="L57" s="2" t="s">
        <v>190</v>
      </c>
      <c r="M57" s="3" t="s">
        <v>191</v>
      </c>
      <c r="N57" s="4">
        <f ca="1">DATEDIF(O57,TODAY(),"Y")</f>
        <v>70</v>
      </c>
      <c r="O57" s="5">
        <v>20570</v>
      </c>
      <c r="P57" s="2" t="s">
        <v>61</v>
      </c>
      <c r="Q57" s="2" t="s">
        <v>71</v>
      </c>
      <c r="R57" s="6">
        <v>16300</v>
      </c>
      <c r="S57" s="6">
        <v>16500</v>
      </c>
      <c r="T57" s="7" t="s">
        <v>49</v>
      </c>
      <c r="U57" s="2">
        <v>25</v>
      </c>
      <c r="V57" s="2" t="str">
        <f>IF(Tabela1[[#This Row],[qtde_batalhas]]&lt;=10,"Baixo",IF(Tabela1[[#This Row],[qtde_batalhas]]&lt;=25,"Médio","Alto"))</f>
        <v>Médio</v>
      </c>
      <c r="W57" s="2" t="s">
        <v>49</v>
      </c>
      <c r="X57" s="6">
        <v>65500</v>
      </c>
      <c r="Y57" s="2" t="str">
        <f t="shared" si="0"/>
        <v>Aprovado</v>
      </c>
      <c r="Z57" s="1" t="str">
        <f t="shared" si="1"/>
        <v>Aprovado</v>
      </c>
      <c r="AA57" s="26">
        <f t="shared" si="2"/>
        <v>70740</v>
      </c>
    </row>
    <row r="58" spans="1:27">
      <c r="A58" s="16">
        <f ca="1">YEAR(TODAY())-Tabela1[[#This Row],[idade]]</f>
        <v>2002</v>
      </c>
      <c r="B58" s="1">
        <f t="shared" ca="1" si="7"/>
        <v>24</v>
      </c>
      <c r="C58" s="1" t="str">
        <f>PROPER(Tabela1[[#This Row],[nome]])</f>
        <v>Rickon Crakehall</v>
      </c>
      <c r="D58" s="1" t="str">
        <f t="shared" si="6"/>
        <v>000.000.066-00</v>
      </c>
      <c r="G58" s="26">
        <f t="shared" si="3"/>
        <v>6100</v>
      </c>
      <c r="H58" s="26" t="str">
        <f t="shared" si="4"/>
        <v>-</v>
      </c>
      <c r="I58" s="1" t="str">
        <f t="shared" si="5"/>
        <v>Não</v>
      </c>
      <c r="K58" s="2" t="s">
        <v>23</v>
      </c>
      <c r="L58" s="2" t="s">
        <v>192</v>
      </c>
      <c r="M58" s="3" t="s">
        <v>193</v>
      </c>
      <c r="N58" s="4">
        <f ca="1">DATEDIF(O58,TODAY(),"Y")</f>
        <v>24</v>
      </c>
      <c r="O58" s="5">
        <v>37435</v>
      </c>
      <c r="P58" s="2" t="s">
        <v>87</v>
      </c>
      <c r="Q58" s="2" t="s">
        <v>408</v>
      </c>
      <c r="R58" s="6">
        <v>6100</v>
      </c>
      <c r="T58" s="7" t="s">
        <v>49</v>
      </c>
      <c r="U58" s="2">
        <v>15</v>
      </c>
      <c r="V58" s="2" t="str">
        <f>IF(Tabela1[[#This Row],[qtde_batalhas]]&lt;=10,"Baixo",IF(Tabela1[[#This Row],[qtde_batalhas]]&lt;=25,"Médio","Alto"))</f>
        <v>Médio</v>
      </c>
      <c r="W58" s="2" t="s">
        <v>49</v>
      </c>
      <c r="X58" s="6">
        <v>67000</v>
      </c>
      <c r="Y58" s="2" t="str">
        <f t="shared" si="0"/>
        <v>Aprovado</v>
      </c>
      <c r="Z58" s="1" t="str">
        <f t="shared" si="1"/>
        <v>Aprovado</v>
      </c>
      <c r="AA58" s="26">
        <f t="shared" si="2"/>
        <v>72360</v>
      </c>
    </row>
    <row r="59" spans="1:27">
      <c r="A59" s="16">
        <f ca="1">YEAR(TODAY())-Tabela1[[#This Row],[idade]]</f>
        <v>1979</v>
      </c>
      <c r="B59" s="1">
        <f t="shared" ca="1" si="7"/>
        <v>47</v>
      </c>
      <c r="C59" s="1" t="str">
        <f>PROPER(Tabela1[[#This Row],[nome]])</f>
        <v>Eddard Mallister</v>
      </c>
      <c r="D59" s="1" t="str">
        <f t="shared" si="6"/>
        <v>000.000.309-00</v>
      </c>
      <c r="G59" s="26">
        <f t="shared" si="3"/>
        <v>22700</v>
      </c>
      <c r="H59" s="26">
        <f t="shared" si="4"/>
        <v>8500</v>
      </c>
      <c r="I59" s="1" t="str">
        <f t="shared" si="5"/>
        <v>-</v>
      </c>
      <c r="K59" s="2" t="s">
        <v>23</v>
      </c>
      <c r="L59" s="2" t="s">
        <v>197</v>
      </c>
      <c r="M59" s="3" t="s">
        <v>198</v>
      </c>
      <c r="N59" s="4">
        <f ca="1">DATEDIF(O59,TODAY(),"Y")</f>
        <v>47</v>
      </c>
      <c r="O59" s="5">
        <v>28802</v>
      </c>
      <c r="P59" s="2" t="s">
        <v>166</v>
      </c>
      <c r="Q59" s="2" t="s">
        <v>408</v>
      </c>
      <c r="R59" s="6">
        <v>22700</v>
      </c>
      <c r="S59" s="6">
        <v>8500</v>
      </c>
      <c r="U59" s="2">
        <v>35</v>
      </c>
      <c r="V59" s="2" t="str">
        <f>IF(Tabela1[[#This Row],[qtde_batalhas]]&lt;=10,"Baixo",IF(Tabela1[[#This Row],[qtde_batalhas]]&lt;=25,"Médio","Alto"))</f>
        <v>Alto</v>
      </c>
      <c r="X59" s="6">
        <v>23500</v>
      </c>
      <c r="Y59" s="2" t="str">
        <f t="shared" si="0"/>
        <v>Aprovado</v>
      </c>
      <c r="Z59" s="1" t="str">
        <f t="shared" si="1"/>
        <v>Aprovado</v>
      </c>
      <c r="AA59" s="26">
        <f t="shared" si="2"/>
        <v>25380</v>
      </c>
    </row>
    <row r="60" spans="1:27">
      <c r="A60" s="16">
        <f ca="1">YEAR(TODAY())-Tabela1[[#This Row],[idade]]</f>
        <v>1993</v>
      </c>
      <c r="B60" s="1">
        <f t="shared" ca="1" si="7"/>
        <v>33</v>
      </c>
      <c r="C60" s="1" t="str">
        <f>PROPER(Tabela1[[#This Row],[nome]])</f>
        <v>Ilhasario Clegane</v>
      </c>
      <c r="D60" s="1" t="str">
        <f t="shared" si="6"/>
        <v>000.000.270-00</v>
      </c>
      <c r="G60" s="26">
        <f t="shared" si="3"/>
        <v>29700</v>
      </c>
      <c r="H60" s="26">
        <f t="shared" si="4"/>
        <v>22000</v>
      </c>
      <c r="I60" s="1" t="str">
        <f t="shared" si="5"/>
        <v>Não</v>
      </c>
      <c r="K60" s="2" t="s">
        <v>23</v>
      </c>
      <c r="L60" s="2" t="s">
        <v>802</v>
      </c>
      <c r="M60" s="3" t="s">
        <v>201</v>
      </c>
      <c r="N60" s="4">
        <f ca="1">DATEDIF(O60,TODAY(),"Y")</f>
        <v>33</v>
      </c>
      <c r="O60" s="5">
        <v>33881</v>
      </c>
      <c r="P60" s="2" t="s">
        <v>37</v>
      </c>
      <c r="Q60" s="2" t="s">
        <v>91</v>
      </c>
      <c r="R60" s="6">
        <v>29700</v>
      </c>
      <c r="S60" s="6">
        <v>22000</v>
      </c>
      <c r="T60" s="7" t="s">
        <v>49</v>
      </c>
      <c r="U60" s="2">
        <v>38</v>
      </c>
      <c r="V60" s="2" t="str">
        <f>IF(Tabela1[[#This Row],[qtde_batalhas]]&lt;=10,"Baixo",IF(Tabela1[[#This Row],[qtde_batalhas]]&lt;=25,"Médio","Alto"))</f>
        <v>Alto</v>
      </c>
      <c r="W60" s="2" t="s">
        <v>49</v>
      </c>
      <c r="X60" s="6">
        <v>81000</v>
      </c>
      <c r="Y60" s="2" t="str">
        <f t="shared" si="0"/>
        <v>Aprovado</v>
      </c>
      <c r="Z60" s="1" t="str">
        <f t="shared" si="1"/>
        <v>Aprovado</v>
      </c>
      <c r="AA60" s="26">
        <f t="shared" si="2"/>
        <v>87480</v>
      </c>
    </row>
    <row r="61" spans="1:27">
      <c r="A61" s="16">
        <f ca="1">YEAR(TODAY())-Tabela1[[#This Row],[idade]]</f>
        <v>1988</v>
      </c>
      <c r="B61" s="1">
        <f t="shared" ca="1" si="7"/>
        <v>38</v>
      </c>
      <c r="C61" s="1" t="str">
        <f>PROPER(Tabela1[[#This Row],[nome]])</f>
        <v>Ellaria Mallister</v>
      </c>
      <c r="D61" s="1" t="str">
        <f t="shared" si="6"/>
        <v>000.000.194-00</v>
      </c>
      <c r="G61" s="26">
        <f t="shared" si="3"/>
        <v>13500</v>
      </c>
      <c r="H61" s="26">
        <f t="shared" si="4"/>
        <v>24000</v>
      </c>
      <c r="I61" s="1" t="str">
        <f t="shared" si="5"/>
        <v>Não</v>
      </c>
      <c r="K61" s="2" t="s">
        <v>29</v>
      </c>
      <c r="L61" s="2" t="s">
        <v>203</v>
      </c>
      <c r="M61" s="3" t="s">
        <v>204</v>
      </c>
      <c r="N61" s="4">
        <f ca="1">DATEDIF(O61,TODAY(),"Y")</f>
        <v>38</v>
      </c>
      <c r="O61" s="5">
        <v>32102</v>
      </c>
      <c r="P61" s="2" t="s">
        <v>52</v>
      </c>
      <c r="Q61" s="2" t="s">
        <v>792</v>
      </c>
      <c r="R61" s="6">
        <v>13500</v>
      </c>
      <c r="S61" s="6">
        <v>24000</v>
      </c>
      <c r="T61" s="7" t="s">
        <v>49</v>
      </c>
      <c r="U61" s="2">
        <v>2</v>
      </c>
      <c r="V61" s="2" t="str">
        <f>IF(Tabela1[[#This Row],[qtde_batalhas]]&lt;=10,"Baixo",IF(Tabela1[[#This Row],[qtde_batalhas]]&lt;=25,"Médio","Alto"))</f>
        <v>Baixo</v>
      </c>
      <c r="W61" s="2" t="s">
        <v>49</v>
      </c>
      <c r="X61" s="6">
        <v>17500</v>
      </c>
      <c r="Y61" s="2" t="str">
        <f t="shared" si="0"/>
        <v>Aprovado</v>
      </c>
      <c r="Z61" s="1" t="str">
        <f t="shared" si="1"/>
        <v>Aprovado</v>
      </c>
      <c r="AA61" s="26">
        <f t="shared" si="2"/>
        <v>0</v>
      </c>
    </row>
    <row r="62" spans="1:27">
      <c r="A62" s="16">
        <f ca="1">YEAR(TODAY())-Tabela1[[#This Row],[idade]]</f>
        <v>1991</v>
      </c>
      <c r="B62" s="1">
        <f t="shared" ca="1" si="7"/>
        <v>35</v>
      </c>
      <c r="C62" s="1" t="str">
        <f>PROPER(Tabela1[[#This Row],[nome]])</f>
        <v>Stannis  Cerwyn</v>
      </c>
      <c r="D62" s="1" t="str">
        <f t="shared" si="6"/>
        <v>-</v>
      </c>
      <c r="G62" s="26">
        <f t="shared" si="3"/>
        <v>17600</v>
      </c>
      <c r="H62" s="26">
        <f t="shared" si="4"/>
        <v>44000</v>
      </c>
      <c r="I62" s="1" t="str">
        <f t="shared" si="5"/>
        <v>Não</v>
      </c>
      <c r="K62" s="2" t="s">
        <v>29</v>
      </c>
      <c r="L62" s="2" t="s">
        <v>803</v>
      </c>
      <c r="M62" s="3">
        <v>3400</v>
      </c>
      <c r="N62" s="4">
        <f ca="1">DATEDIF(O62,TODAY(),"Y")</f>
        <v>35</v>
      </c>
      <c r="O62" s="5">
        <v>33204</v>
      </c>
      <c r="P62" s="2" t="s">
        <v>90</v>
      </c>
      <c r="Q62" s="2" t="s">
        <v>91</v>
      </c>
      <c r="R62" s="6">
        <v>17600</v>
      </c>
      <c r="S62" s="6">
        <v>44000</v>
      </c>
      <c r="T62" s="7" t="s">
        <v>49</v>
      </c>
      <c r="U62" s="2">
        <v>22</v>
      </c>
      <c r="V62" s="2" t="str">
        <f>IF(Tabela1[[#This Row],[qtde_batalhas]]&lt;=10,"Baixo",IF(Tabela1[[#This Row],[qtde_batalhas]]&lt;=25,"Médio","Alto"))</f>
        <v>Médio</v>
      </c>
      <c r="W62" s="2" t="s">
        <v>49</v>
      </c>
      <c r="X62" s="6">
        <v>56500</v>
      </c>
      <c r="Y62" s="2" t="str">
        <f t="shared" si="0"/>
        <v>Aprovado</v>
      </c>
      <c r="Z62" s="1" t="str">
        <f t="shared" si="1"/>
        <v>Aprovado</v>
      </c>
      <c r="AA62" s="26">
        <f t="shared" si="2"/>
        <v>0</v>
      </c>
    </row>
    <row r="63" spans="1:27">
      <c r="A63" s="16">
        <f ca="1">YEAR(TODAY())-Tabela1[[#This Row],[idade]]</f>
        <v>1959</v>
      </c>
      <c r="B63" s="1">
        <f t="shared" ca="1" si="7"/>
        <v>67</v>
      </c>
      <c r="C63" s="1" t="str">
        <f>PROPER(Tabela1[[#This Row],[nome]])</f>
        <v>Ellaria Tarly</v>
      </c>
      <c r="D63" s="1" t="str">
        <f t="shared" si="6"/>
        <v>000.000.026-00</v>
      </c>
      <c r="G63" s="26">
        <f t="shared" si="3"/>
        <v>3200</v>
      </c>
      <c r="H63" s="26">
        <f t="shared" si="4"/>
        <v>6500</v>
      </c>
      <c r="I63" s="1" t="str">
        <f t="shared" si="5"/>
        <v>Não</v>
      </c>
      <c r="K63" s="2" t="s">
        <v>29</v>
      </c>
      <c r="L63" s="2" t="s">
        <v>206</v>
      </c>
      <c r="M63" s="3" t="s">
        <v>207</v>
      </c>
      <c r="N63" s="4">
        <f ca="1">DATEDIF(O63,TODAY(),"Y")</f>
        <v>67</v>
      </c>
      <c r="O63" s="5">
        <v>21512</v>
      </c>
      <c r="P63" s="2" t="s">
        <v>103</v>
      </c>
      <c r="Q63" s="2" t="s">
        <v>71</v>
      </c>
      <c r="R63" s="6">
        <v>3200</v>
      </c>
      <c r="S63" s="6">
        <v>6500</v>
      </c>
      <c r="T63" s="7" t="s">
        <v>49</v>
      </c>
      <c r="U63" s="2">
        <v>20</v>
      </c>
      <c r="V63" s="2" t="str">
        <f>IF(Tabela1[[#This Row],[qtde_batalhas]]&lt;=10,"Baixo",IF(Tabela1[[#This Row],[qtde_batalhas]]&lt;=25,"Médio","Alto"))</f>
        <v>Médio</v>
      </c>
      <c r="W63" s="2" t="s">
        <v>49</v>
      </c>
      <c r="X63" s="6">
        <v>52500</v>
      </c>
      <c r="Y63" s="2" t="str">
        <f t="shared" si="0"/>
        <v>Aprovado</v>
      </c>
      <c r="Z63" s="1" t="str">
        <f t="shared" si="1"/>
        <v>Aprovado</v>
      </c>
      <c r="AA63" s="26">
        <f t="shared" si="2"/>
        <v>0</v>
      </c>
    </row>
    <row r="64" spans="1:27">
      <c r="A64" s="16">
        <f ca="1">YEAR(TODAY())-Tabela1[[#This Row],[idade]]</f>
        <v>1975</v>
      </c>
      <c r="B64" s="1">
        <f t="shared" ca="1" si="7"/>
        <v>51</v>
      </c>
      <c r="C64" s="1" t="str">
        <f>PROPER(Tabela1[[#This Row],[nome]])</f>
        <v>Ilhasario Tyrell</v>
      </c>
      <c r="D64" s="1" t="str">
        <f t="shared" si="6"/>
        <v>000.000.251-00</v>
      </c>
      <c r="G64" s="26">
        <f t="shared" si="3"/>
        <v>16300</v>
      </c>
      <c r="H64" s="26" t="str">
        <f t="shared" si="4"/>
        <v>-</v>
      </c>
      <c r="I64" s="1" t="str">
        <f t="shared" si="5"/>
        <v>Não</v>
      </c>
      <c r="K64" s="2" t="s">
        <v>23</v>
      </c>
      <c r="L64" s="2" t="s">
        <v>804</v>
      </c>
      <c r="M64" s="3" t="s">
        <v>211</v>
      </c>
      <c r="N64" s="4">
        <f ca="1">DATEDIF(O64,TODAY(),"Y")</f>
        <v>51</v>
      </c>
      <c r="O64" s="5">
        <v>27377</v>
      </c>
      <c r="P64" s="2" t="s">
        <v>37</v>
      </c>
      <c r="Q64" s="2" t="s">
        <v>62</v>
      </c>
      <c r="R64" s="6">
        <v>16300</v>
      </c>
      <c r="T64" s="7" t="s">
        <v>140</v>
      </c>
      <c r="U64" s="2">
        <v>8</v>
      </c>
      <c r="V64" s="2" t="str">
        <f>IF(Tabela1[[#This Row],[qtde_batalhas]]&lt;=10,"Baixo",IF(Tabela1[[#This Row],[qtde_batalhas]]&lt;=25,"Médio","Alto"))</f>
        <v>Baixo</v>
      </c>
      <c r="W64" s="2" t="s">
        <v>140</v>
      </c>
      <c r="X64" s="6">
        <v>33000</v>
      </c>
      <c r="Y64" s="2" t="str">
        <f t="shared" si="0"/>
        <v>Aprovado</v>
      </c>
      <c r="Z64" s="1" t="str">
        <f t="shared" si="1"/>
        <v>Aprovado</v>
      </c>
      <c r="AA64" s="26">
        <f t="shared" si="2"/>
        <v>35640</v>
      </c>
    </row>
    <row r="65" spans="1:27">
      <c r="A65" s="16">
        <f ca="1">YEAR(TODAY())-Tabela1[[#This Row],[idade]]</f>
        <v>1980</v>
      </c>
      <c r="B65" s="1">
        <f t="shared" ca="1" si="7"/>
        <v>47</v>
      </c>
      <c r="C65" s="1" t="str">
        <f>PROPER(Tabela1[[#This Row],[nome]])</f>
        <v>Ilhasario Marbrand</v>
      </c>
      <c r="D65" s="1" t="str">
        <f t="shared" si="6"/>
        <v>000.000.014-00</v>
      </c>
      <c r="G65" s="26">
        <f t="shared" si="3"/>
        <v>15000</v>
      </c>
      <c r="H65" s="26">
        <f t="shared" si="4"/>
        <v>32500</v>
      </c>
      <c r="I65" s="1" t="str">
        <f t="shared" si="5"/>
        <v>Não</v>
      </c>
      <c r="K65" s="2" t="s">
        <v>29</v>
      </c>
      <c r="L65" s="2" t="s">
        <v>805</v>
      </c>
      <c r="M65" s="3" t="s">
        <v>213</v>
      </c>
      <c r="N65" s="4">
        <f ca="1">DATEDIF(O65,TODAY(),"Y")</f>
        <v>46</v>
      </c>
      <c r="O65" s="5">
        <v>29113</v>
      </c>
      <c r="P65" s="2" t="s">
        <v>87</v>
      </c>
      <c r="Q65" s="2" t="s">
        <v>91</v>
      </c>
      <c r="R65" s="6">
        <v>15000</v>
      </c>
      <c r="S65" s="6">
        <v>32500</v>
      </c>
      <c r="T65" s="7" t="s">
        <v>49</v>
      </c>
      <c r="U65" s="2">
        <v>40</v>
      </c>
      <c r="V65" s="2" t="str">
        <f>IF(Tabela1[[#This Row],[qtde_batalhas]]&lt;=10,"Baixo",IF(Tabela1[[#This Row],[qtde_batalhas]]&lt;=25,"Médio","Alto"))</f>
        <v>Alto</v>
      </c>
      <c r="W65" s="2" t="s">
        <v>49</v>
      </c>
      <c r="X65" s="6">
        <v>4500</v>
      </c>
      <c r="Y65" s="2" t="str">
        <f t="shared" si="0"/>
        <v>Aprovado</v>
      </c>
      <c r="Z65" s="1" t="str">
        <f t="shared" si="1"/>
        <v>Aprovado</v>
      </c>
      <c r="AA65" s="26">
        <f t="shared" si="2"/>
        <v>0</v>
      </c>
    </row>
    <row r="66" spans="1:27">
      <c r="A66" s="16">
        <f ca="1">YEAR(TODAY())-Tabela1[[#This Row],[idade]]</f>
        <v>1987</v>
      </c>
      <c r="B66" s="1">
        <f t="shared" ca="1" si="7"/>
        <v>39</v>
      </c>
      <c r="C66" s="1" t="str">
        <f>PROPER(Tabela1[[#This Row],[nome]])</f>
        <v>Thoros Tarth</v>
      </c>
      <c r="D66" s="1" t="str">
        <f t="shared" si="6"/>
        <v>-</v>
      </c>
      <c r="G66" s="26">
        <f t="shared" si="3"/>
        <v>13200</v>
      </c>
      <c r="H66" s="26" t="str">
        <f t="shared" si="4"/>
        <v>-</v>
      </c>
      <c r="I66" s="1" t="str">
        <f t="shared" si="5"/>
        <v>Não</v>
      </c>
      <c r="K66" s="2" t="s">
        <v>23</v>
      </c>
      <c r="L66" s="2" t="s">
        <v>215</v>
      </c>
      <c r="M66" s="3">
        <v>23900</v>
      </c>
      <c r="N66" s="4">
        <f ca="1">DATEDIF(O66,TODAY(),"Y")</f>
        <v>39</v>
      </c>
      <c r="O66" s="5">
        <v>31740</v>
      </c>
      <c r="P66" s="2" t="s">
        <v>103</v>
      </c>
      <c r="Q66" s="2" t="s">
        <v>81</v>
      </c>
      <c r="R66" s="6">
        <v>13200</v>
      </c>
      <c r="S66" s="6" t="s">
        <v>40</v>
      </c>
      <c r="T66" s="7" t="s">
        <v>49</v>
      </c>
      <c r="U66" s="2">
        <v>38</v>
      </c>
      <c r="V66" s="2" t="str">
        <f>IF(Tabela1[[#This Row],[qtde_batalhas]]&lt;=10,"Baixo",IF(Tabela1[[#This Row],[qtde_batalhas]]&lt;=25,"Médio","Alto"))</f>
        <v>Alto</v>
      </c>
      <c r="W66" s="2" t="s">
        <v>49</v>
      </c>
      <c r="X66" s="6">
        <v>36000</v>
      </c>
      <c r="Y66" s="2" t="str">
        <f t="shared" si="0"/>
        <v>Aprovado</v>
      </c>
      <c r="Z66" s="1" t="str">
        <f t="shared" si="1"/>
        <v>Aprovado</v>
      </c>
      <c r="AA66" s="26">
        <f t="shared" si="2"/>
        <v>38880</v>
      </c>
    </row>
    <row r="67" spans="1:27">
      <c r="A67" s="16">
        <f ca="1">YEAR(TODAY())-Tabela1[[#This Row],[idade]]</f>
        <v>2002</v>
      </c>
      <c r="B67" s="1">
        <f t="shared" ca="1" si="7"/>
        <v>24</v>
      </c>
      <c r="C67" s="1" t="str">
        <f>PROPER(Tabela1[[#This Row],[nome]])</f>
        <v>Arya Marbrand</v>
      </c>
      <c r="D67" s="1" t="str">
        <f t="shared" si="6"/>
        <v>000.000.133-00</v>
      </c>
      <c r="G67" s="26">
        <f t="shared" si="3"/>
        <v>21600</v>
      </c>
      <c r="H67" s="26">
        <f t="shared" si="4"/>
        <v>25000</v>
      </c>
      <c r="I67" s="1" t="str">
        <f t="shared" si="5"/>
        <v>Não</v>
      </c>
      <c r="K67" s="2" t="s">
        <v>23</v>
      </c>
      <c r="L67" s="2" t="s">
        <v>217</v>
      </c>
      <c r="M67" s="3" t="s">
        <v>218</v>
      </c>
      <c r="N67" s="4">
        <f ca="1">DATEDIF(O67,TODAY(),"Y")</f>
        <v>24</v>
      </c>
      <c r="O67" s="5">
        <v>37172</v>
      </c>
      <c r="P67" s="2" t="s">
        <v>61</v>
      </c>
      <c r="Q67" s="2" t="s">
        <v>27</v>
      </c>
      <c r="R67" s="6">
        <v>21600</v>
      </c>
      <c r="S67" s="6">
        <v>25000</v>
      </c>
      <c r="T67" s="7" t="s">
        <v>49</v>
      </c>
      <c r="U67" s="2">
        <v>33</v>
      </c>
      <c r="V67" s="2" t="str">
        <f>IF(Tabela1[[#This Row],[qtde_batalhas]]&lt;=10,"Baixo",IF(Tabela1[[#This Row],[qtde_batalhas]]&lt;=25,"Médio","Alto"))</f>
        <v>Alto</v>
      </c>
      <c r="W67" s="2" t="s">
        <v>49</v>
      </c>
      <c r="X67" s="6">
        <v>17500</v>
      </c>
      <c r="Y67" s="2" t="str">
        <f t="shared" ref="Y67:Y130" si="8">IF(AND(V67="Alto",T67="Sim"),"Negado","Aprovado")</f>
        <v>Aprovado</v>
      </c>
      <c r="Z67" s="1" t="str">
        <f t="shared" ref="Z67:Z130" si="9">IF(AND(ISNUMBER(S67),S67&gt;50000,T67="Sim"),"Negado","Aprovado")</f>
        <v>Aprovado</v>
      </c>
      <c r="AA67" s="26">
        <f t="shared" ref="AA67:AA130" si="10">IF(OR(Y67="Negado",Z67="Negado"),0,IF(K67="Ativo",X67*1.08,0))</f>
        <v>18900</v>
      </c>
    </row>
    <row r="68" spans="1:27">
      <c r="A68" s="16">
        <f ca="1">YEAR(TODAY())-Tabela1[[#This Row],[idade]]</f>
        <v>2026</v>
      </c>
      <c r="B68" s="1">
        <f t="shared" ref="B68:B131" ca="1" si="11">INT((TODAY()-O68)/365)</f>
        <v>126</v>
      </c>
      <c r="C68" s="1" t="str">
        <f>PROPER(Tabela1[[#This Row],[nome]])</f>
        <v>Ilhasvos Tyrell</v>
      </c>
      <c r="D68" s="1" t="str">
        <f t="shared" ref="D68:D131" si="12">IF(LEN(SUBSTITUTE(SUBSTITUTE(SUBSTITUTE(M68,".",""),"-","")," ",""))=11,M68,"-")</f>
        <v>-</v>
      </c>
      <c r="G68" s="26" t="str">
        <f t="shared" ref="G68:G131" si="13">IF(R68="","-",IF(ISNUMBER(R68),R68,IF(UPPER(TRIM(R68))="SEM RENDA","-","-")))</f>
        <v>-</v>
      </c>
      <c r="H68" s="26" t="str">
        <f t="shared" ref="H68:H131" si="14">IF(S68="","-",IF(ISNUMBER(S68),S68,IF(UPPER(TRIM(S68))="SEM RENDA","-","-")))</f>
        <v>-</v>
      </c>
      <c r="I68" s="1" t="str">
        <f t="shared" ref="I68:I131" si="15">IF(TRIM(W68)="","-",
IF(OR(UPPER(TRIM(W68))="SIM",TRIM(W68)="1"),"Sim",
IF(OR(UPPER(TRIM(W68))="NÃO",UPPER(TRIM(W68))="NAO",TRIM(W68)="0"),"Não",
"-")))</f>
        <v>Sim</v>
      </c>
      <c r="K68" s="2" t="s">
        <v>23</v>
      </c>
      <c r="L68" s="2" t="s">
        <v>806</v>
      </c>
      <c r="M68" s="3">
        <v>16100</v>
      </c>
      <c r="P68" s="2" t="s">
        <v>90</v>
      </c>
      <c r="Q68" s="2" t="s">
        <v>57</v>
      </c>
      <c r="R68" s="6" t="s">
        <v>134</v>
      </c>
      <c r="T68" s="7" t="s">
        <v>28</v>
      </c>
      <c r="U68" s="2">
        <v>28</v>
      </c>
      <c r="V68" s="2" t="str">
        <f>IF(Tabela1[[#This Row],[qtde_batalhas]]&lt;=10,"Baixo",IF(Tabela1[[#This Row],[qtde_batalhas]]&lt;=25,"Médio","Alto"))</f>
        <v>Alto</v>
      </c>
      <c r="W68" s="2" t="s">
        <v>28</v>
      </c>
      <c r="X68" s="6">
        <v>13000</v>
      </c>
      <c r="Y68" s="2" t="str">
        <f t="shared" si="8"/>
        <v>Negado</v>
      </c>
      <c r="Z68" s="1" t="str">
        <f t="shared" si="9"/>
        <v>Aprovado</v>
      </c>
      <c r="AA68" s="26">
        <f t="shared" si="10"/>
        <v>0</v>
      </c>
    </row>
    <row r="69" spans="1:27">
      <c r="A69" s="16">
        <f ca="1">YEAR(TODAY())-Tabela1[[#This Row],[idade]]</f>
        <v>2026</v>
      </c>
      <c r="B69" s="1">
        <f t="shared" ca="1" si="11"/>
        <v>126</v>
      </c>
      <c r="C69" s="1" t="str">
        <f>PROPER(Tabela1[[#This Row],[nome]])</f>
        <v>Lyanna Florent</v>
      </c>
      <c r="D69" s="1" t="str">
        <f t="shared" si="12"/>
        <v>-</v>
      </c>
      <c r="G69" s="26">
        <f t="shared" si="13"/>
        <v>19900</v>
      </c>
      <c r="H69" s="26">
        <f t="shared" si="14"/>
        <v>35000</v>
      </c>
      <c r="I69" s="1" t="str">
        <f t="shared" si="15"/>
        <v>Não</v>
      </c>
      <c r="K69" s="2" t="s">
        <v>23</v>
      </c>
      <c r="L69" s="2" t="s">
        <v>221</v>
      </c>
      <c r="M69" s="3">
        <v>6300</v>
      </c>
      <c r="P69" s="2" t="s">
        <v>37</v>
      </c>
      <c r="Q69" s="2" t="s">
        <v>38</v>
      </c>
      <c r="R69" s="6">
        <v>19900</v>
      </c>
      <c r="S69" s="6">
        <v>35000</v>
      </c>
      <c r="T69" s="7" t="s">
        <v>140</v>
      </c>
      <c r="U69" s="2">
        <v>25</v>
      </c>
      <c r="V69" s="2" t="str">
        <f>IF(Tabela1[[#This Row],[qtde_batalhas]]&lt;=10,"Baixo",IF(Tabela1[[#This Row],[qtde_batalhas]]&lt;=25,"Médio","Alto"))</f>
        <v>Médio</v>
      </c>
      <c r="W69" s="2" t="s">
        <v>140</v>
      </c>
      <c r="X69" s="6">
        <v>59500</v>
      </c>
      <c r="Y69" s="2" t="str">
        <f t="shared" si="8"/>
        <v>Aprovado</v>
      </c>
      <c r="Z69" s="1" t="str">
        <f t="shared" si="9"/>
        <v>Aprovado</v>
      </c>
      <c r="AA69" s="26">
        <f t="shared" si="10"/>
        <v>64260.000000000007</v>
      </c>
    </row>
    <row r="70" spans="1:27">
      <c r="A70" s="16">
        <f ca="1">YEAR(TODAY())-Tabela1[[#This Row],[idade]]</f>
        <v>1970</v>
      </c>
      <c r="B70" s="1">
        <f t="shared" ca="1" si="11"/>
        <v>56</v>
      </c>
      <c r="C70" s="1" t="str">
        <f>PROPER(Tabela1[[#This Row],[nome]])</f>
        <v>Varys Bolton</v>
      </c>
      <c r="D70" s="1" t="str">
        <f t="shared" si="12"/>
        <v>-</v>
      </c>
      <c r="G70" s="26">
        <f t="shared" si="13"/>
        <v>14100</v>
      </c>
      <c r="H70" s="26">
        <f t="shared" si="14"/>
        <v>1500</v>
      </c>
      <c r="I70" s="1" t="str">
        <f t="shared" si="15"/>
        <v>Não</v>
      </c>
      <c r="K70" s="2" t="s">
        <v>23</v>
      </c>
      <c r="L70" s="2" t="s">
        <v>222</v>
      </c>
      <c r="M70" s="3">
        <v>27200</v>
      </c>
      <c r="N70" s="4">
        <f ca="1">DATEDIF(O70,TODAY(),"Y")</f>
        <v>56</v>
      </c>
      <c r="O70" s="5">
        <v>25710</v>
      </c>
      <c r="P70" s="2" t="s">
        <v>111</v>
      </c>
      <c r="Q70" s="2" t="s">
        <v>91</v>
      </c>
      <c r="R70" s="6">
        <v>14100</v>
      </c>
      <c r="S70" s="6">
        <v>1500</v>
      </c>
      <c r="T70" s="7" t="s">
        <v>49</v>
      </c>
      <c r="U70" s="2">
        <v>26</v>
      </c>
      <c r="V70" s="2" t="str">
        <f>IF(Tabela1[[#This Row],[qtde_batalhas]]&lt;=10,"Baixo",IF(Tabela1[[#This Row],[qtde_batalhas]]&lt;=25,"Médio","Alto"))</f>
        <v>Alto</v>
      </c>
      <c r="W70" s="2" t="s">
        <v>49</v>
      </c>
      <c r="X70" s="6">
        <v>36000</v>
      </c>
      <c r="Y70" s="2" t="str">
        <f t="shared" si="8"/>
        <v>Aprovado</v>
      </c>
      <c r="Z70" s="1" t="str">
        <f t="shared" si="9"/>
        <v>Aprovado</v>
      </c>
      <c r="AA70" s="26">
        <f t="shared" si="10"/>
        <v>38880</v>
      </c>
    </row>
    <row r="71" spans="1:27">
      <c r="A71" s="16">
        <f ca="1">YEAR(TODAY())-Tabela1[[#This Row],[idade]]</f>
        <v>1993</v>
      </c>
      <c r="B71" s="1">
        <f t="shared" ca="1" si="11"/>
        <v>33</v>
      </c>
      <c r="C71" s="1" t="str">
        <f>PROPER(Tabela1[[#This Row],[nome]])</f>
        <v>Shae Seaworth</v>
      </c>
      <c r="D71" s="1" t="str">
        <f t="shared" si="12"/>
        <v>000.000.030-00</v>
      </c>
      <c r="G71" s="26">
        <f t="shared" si="13"/>
        <v>3400</v>
      </c>
      <c r="H71" s="26">
        <f t="shared" si="14"/>
        <v>0</v>
      </c>
      <c r="I71" s="1" t="str">
        <f t="shared" si="15"/>
        <v>Não</v>
      </c>
      <c r="K71" s="2" t="s">
        <v>23</v>
      </c>
      <c r="L71" s="2" t="s">
        <v>223</v>
      </c>
      <c r="M71" s="3" t="s">
        <v>224</v>
      </c>
      <c r="N71" s="4">
        <f ca="1">DATEDIF(O71,TODAY(),"Y")</f>
        <v>33</v>
      </c>
      <c r="O71" s="5">
        <v>34027</v>
      </c>
      <c r="P71" s="2" t="s">
        <v>76</v>
      </c>
      <c r="Q71" s="2" t="s">
        <v>71</v>
      </c>
      <c r="R71" s="6">
        <v>3400</v>
      </c>
      <c r="S71" s="6">
        <v>0</v>
      </c>
      <c r="T71" s="7" t="s">
        <v>49</v>
      </c>
      <c r="U71" s="2">
        <v>13</v>
      </c>
      <c r="V71" s="2" t="str">
        <f>IF(Tabela1[[#This Row],[qtde_batalhas]]&lt;=10,"Baixo",IF(Tabela1[[#This Row],[qtde_batalhas]]&lt;=25,"Médio","Alto"))</f>
        <v>Médio</v>
      </c>
      <c r="W71" s="2" t="s">
        <v>49</v>
      </c>
      <c r="X71" s="6">
        <v>70000</v>
      </c>
      <c r="Y71" s="2" t="str">
        <f t="shared" si="8"/>
        <v>Aprovado</v>
      </c>
      <c r="Z71" s="1" t="str">
        <f t="shared" si="9"/>
        <v>Aprovado</v>
      </c>
      <c r="AA71" s="26">
        <f t="shared" si="10"/>
        <v>75600</v>
      </c>
    </row>
    <row r="72" spans="1:27">
      <c r="A72" s="16">
        <f ca="1">YEAR(TODAY())-Tabela1[[#This Row],[idade]]</f>
        <v>1985</v>
      </c>
      <c r="B72" s="1">
        <f t="shared" ca="1" si="11"/>
        <v>42</v>
      </c>
      <c r="C72" s="1" t="str">
        <f>PROPER(Tabela1[[#This Row],[nome]])</f>
        <v>Jojen Reed</v>
      </c>
      <c r="D72" s="1" t="str">
        <f t="shared" si="12"/>
        <v>000.000.136-00</v>
      </c>
      <c r="G72" s="26">
        <f t="shared" si="13"/>
        <v>20000</v>
      </c>
      <c r="H72" s="26">
        <f t="shared" si="14"/>
        <v>20500</v>
      </c>
      <c r="I72" s="1" t="str">
        <f t="shared" si="15"/>
        <v>Sim</v>
      </c>
      <c r="K72" s="2" t="s">
        <v>23</v>
      </c>
      <c r="L72" s="2" t="s">
        <v>226</v>
      </c>
      <c r="M72" s="3" t="s">
        <v>227</v>
      </c>
      <c r="N72" s="4">
        <f ca="1">DATEDIF(O72,TODAY(),"Y")</f>
        <v>41</v>
      </c>
      <c r="O72" s="5">
        <v>30944</v>
      </c>
      <c r="P72" s="2" t="s">
        <v>31</v>
      </c>
      <c r="Q72" s="2" t="s">
        <v>32</v>
      </c>
      <c r="R72" s="6">
        <v>20000</v>
      </c>
      <c r="S72" s="6">
        <v>20500</v>
      </c>
      <c r="T72" s="7" t="s">
        <v>28</v>
      </c>
      <c r="U72" s="2">
        <v>8</v>
      </c>
      <c r="V72" s="2" t="str">
        <f>IF(Tabela1[[#This Row],[qtde_batalhas]]&lt;=10,"Baixo",IF(Tabela1[[#This Row],[qtde_batalhas]]&lt;=25,"Médio","Alto"))</f>
        <v>Baixo</v>
      </c>
      <c r="W72" s="2" t="s">
        <v>28</v>
      </c>
      <c r="X72" s="6">
        <v>44000</v>
      </c>
      <c r="Y72" s="2" t="str">
        <f t="shared" si="8"/>
        <v>Aprovado</v>
      </c>
      <c r="Z72" s="1" t="str">
        <f t="shared" si="9"/>
        <v>Aprovado</v>
      </c>
      <c r="AA72" s="26">
        <f t="shared" si="10"/>
        <v>47520</v>
      </c>
    </row>
    <row r="73" spans="1:27">
      <c r="A73" s="16">
        <f ca="1">YEAR(TODAY())-Tabela1[[#This Row],[idade]]</f>
        <v>1994</v>
      </c>
      <c r="B73" s="1">
        <f t="shared" ca="1" si="11"/>
        <v>32</v>
      </c>
      <c r="C73" s="1" t="str">
        <f>PROPER(Tabela1[[#This Row],[nome]])</f>
        <v>Podrick Blackwood</v>
      </c>
      <c r="D73" s="1" t="str">
        <f t="shared" si="12"/>
        <v>000.000.135-00</v>
      </c>
      <c r="G73" s="26" t="str">
        <f t="shared" si="13"/>
        <v>-</v>
      </c>
      <c r="H73" s="26">
        <f t="shared" si="14"/>
        <v>0</v>
      </c>
      <c r="I73" s="1" t="str">
        <f t="shared" si="15"/>
        <v>Não</v>
      </c>
      <c r="K73" s="2" t="s">
        <v>23</v>
      </c>
      <c r="L73" s="2" t="s">
        <v>229</v>
      </c>
      <c r="M73" s="3" t="s">
        <v>230</v>
      </c>
      <c r="N73" s="4">
        <f ca="1">DATEDIF(O73,TODAY(),"Y")</f>
        <v>32</v>
      </c>
      <c r="O73" s="5">
        <v>34411</v>
      </c>
      <c r="P73" s="2" t="s">
        <v>133</v>
      </c>
      <c r="Q73" s="2" t="s">
        <v>133</v>
      </c>
      <c r="S73" s="6">
        <v>0</v>
      </c>
      <c r="T73" s="7" t="s">
        <v>49</v>
      </c>
      <c r="U73" s="2">
        <v>20</v>
      </c>
      <c r="V73" s="2" t="str">
        <f>IF(Tabela1[[#This Row],[qtde_batalhas]]&lt;=10,"Baixo",IF(Tabela1[[#This Row],[qtde_batalhas]]&lt;=25,"Médio","Alto"))</f>
        <v>Médio</v>
      </c>
      <c r="W73" s="2" t="s">
        <v>49</v>
      </c>
      <c r="X73" s="6">
        <v>42000</v>
      </c>
      <c r="Y73" s="2" t="str">
        <f t="shared" si="8"/>
        <v>Aprovado</v>
      </c>
      <c r="Z73" s="1" t="str">
        <f t="shared" si="9"/>
        <v>Aprovado</v>
      </c>
      <c r="AA73" s="26">
        <f t="shared" si="10"/>
        <v>45360</v>
      </c>
    </row>
    <row r="74" spans="1:27">
      <c r="A74" s="16">
        <f ca="1">YEAR(TODAY())-Tabela1[[#This Row],[idade]]</f>
        <v>1992</v>
      </c>
      <c r="B74" s="1">
        <f t="shared" ca="1" si="11"/>
        <v>34</v>
      </c>
      <c r="C74" s="1" t="str">
        <f>PROPER(Tabela1[[#This Row],[nome]])</f>
        <v>Renly Mallister</v>
      </c>
      <c r="D74" s="1" t="str">
        <f t="shared" si="12"/>
        <v>000.000.372-00</v>
      </c>
      <c r="E74" t="str">
        <f>IF(P95="Lannisporto","Oeste",
IF(P95="Ninho da Águia","Vale",
IF(P95="Ponta Tempestade","Terras da Tempestade",
IF(P95="Pedra do Dragão","Terras da Coroa",
IF(P95="Pyke","Ilhas de Ferro",
IF(P95="Meereen","Essos",
IF(P95="Braavos","Essos",
IF(P95="Correrrio","Terras Fluviais",
IF(P95="Castelo Negro","Norte",
IF(P95="Vilavelha","Campina",
IF(P95="Ilha dos Ursos","Norte",
IF(P95="Fosso Cailin","Norte",
IF(P95="Harrenhal","Terras Fluviais",
IF(P95="Winterfell","Norte",
IF(P95="Jardim de Cima","Campina",
IF(P95="Dorne","Dorne",
IF(P95="Monte Chifre","Campina",
IF(P95="Atalaia da Água Cinzenta","Oeste",
IF(P95="Porto Real","Terras da Coroa",
IF(P95="Solar do Entardecer","Terras da Tempestade",
""))))))))))))))))))))</f>
        <v>Terras da Coroa</v>
      </c>
      <c r="G74" s="26">
        <f t="shared" si="13"/>
        <v>28000</v>
      </c>
      <c r="H74" s="26">
        <f t="shared" si="14"/>
        <v>36500</v>
      </c>
      <c r="I74" s="1" t="str">
        <f t="shared" si="15"/>
        <v>Não</v>
      </c>
      <c r="K74" s="2" t="s">
        <v>23</v>
      </c>
      <c r="L74" s="2" t="s">
        <v>231</v>
      </c>
      <c r="M74" s="3" t="s">
        <v>232</v>
      </c>
      <c r="N74" s="4">
        <f ca="1">DATEDIF(O74,TODAY(),"Y")</f>
        <v>34</v>
      </c>
      <c r="O74" s="5">
        <v>33525</v>
      </c>
      <c r="P74" s="19" t="s">
        <v>119</v>
      </c>
      <c r="Q74" s="20" t="str">
        <f>IF(P74="Lannisporto","Oeste",
IF(P74="Ninho da Águia","Vale",
IF(P74="Ponta Tempestade","Terras da Tempestade",
IF(P74="Pedra do Dragão","Terras da Coroa",
IF(P74="Pyke","Ilhas de Ferro",
IF(P74="Meereen","Essos",
IF(P74="Braavos","Essos",
IF(P74="Correrrio","Terras Fluviais",
IF(P74="Castelo Negro","Norte",
IF(P74="Vilavelha","Campina",
IF(P74="Ilha dos Ursos","Norte",
IF(P74="Fosso Cailin","Norte",
IF(P74="Harrenhal","Terras Fluviais",
IF(P74="Winterfell","Norte",
IF(P74="Jardim de Cima","Campina",
IF(P74="Dorne","Dorne",
IF(P74="Monte Chifre","Campina",
IF(P74="Atalaia da Água Cinzenta","Oeste",
IF(P74="Porto Real","Terras da Coroa",
IF(P74="Solar do Entardecer","Terras da Tempestade",
""))))))))))))))))))))</f>
        <v>Norte</v>
      </c>
      <c r="R74" s="6">
        <v>28000</v>
      </c>
      <c r="S74" s="6">
        <v>36500</v>
      </c>
      <c r="T74" s="7" t="s">
        <v>49</v>
      </c>
      <c r="U74" s="2">
        <v>33</v>
      </c>
      <c r="V74" s="2" t="str">
        <f>IF(Tabela1[[#This Row],[qtde_batalhas]]&lt;=10,"Baixo",IF(Tabela1[[#This Row],[qtde_batalhas]]&lt;=25,"Médio","Alto"))</f>
        <v>Alto</v>
      </c>
      <c r="W74" s="2" t="s">
        <v>49</v>
      </c>
      <c r="X74" s="6">
        <v>60000</v>
      </c>
      <c r="Y74" s="2" t="str">
        <f t="shared" si="8"/>
        <v>Aprovado</v>
      </c>
      <c r="Z74" s="1" t="str">
        <f t="shared" si="9"/>
        <v>Aprovado</v>
      </c>
      <c r="AA74" s="26">
        <f t="shared" si="10"/>
        <v>64800.000000000007</v>
      </c>
    </row>
    <row r="75" spans="1:27">
      <c r="A75" s="16">
        <f ca="1">YEAR(TODAY())-Tabela1[[#This Row],[idade]]</f>
        <v>2002</v>
      </c>
      <c r="B75" s="1">
        <f t="shared" ca="1" si="11"/>
        <v>24</v>
      </c>
      <c r="C75" s="1" t="str">
        <f>PROPER(Tabela1[[#This Row],[nome]])</f>
        <v>Cersei Clegane</v>
      </c>
      <c r="D75" s="1" t="str">
        <f t="shared" si="12"/>
        <v>000.000.323-00</v>
      </c>
      <c r="G75" s="26">
        <f t="shared" si="13"/>
        <v>25200</v>
      </c>
      <c r="H75" s="26">
        <f t="shared" si="14"/>
        <v>0</v>
      </c>
      <c r="I75" s="1" t="str">
        <f t="shared" si="15"/>
        <v>Não</v>
      </c>
      <c r="K75" s="2" t="s">
        <v>23</v>
      </c>
      <c r="L75" s="2" t="s">
        <v>233</v>
      </c>
      <c r="M75" s="3" t="s">
        <v>234</v>
      </c>
      <c r="N75" s="4">
        <f ca="1">DATEDIF(O75,TODAY(),"Y")</f>
        <v>24</v>
      </c>
      <c r="O75" s="5">
        <v>37259</v>
      </c>
      <c r="P75" s="2" t="s">
        <v>133</v>
      </c>
      <c r="Q75" s="2" t="s">
        <v>133</v>
      </c>
      <c r="R75" s="6">
        <v>25200</v>
      </c>
      <c r="S75" s="6">
        <v>0</v>
      </c>
      <c r="T75" s="7" t="s">
        <v>49</v>
      </c>
      <c r="U75" s="2">
        <v>10</v>
      </c>
      <c r="V75" s="2" t="str">
        <f>IF(Tabela1[[#This Row],[qtde_batalhas]]&lt;=10,"Baixo",IF(Tabela1[[#This Row],[qtde_batalhas]]&lt;=25,"Médio","Alto"))</f>
        <v>Baixo</v>
      </c>
      <c r="W75" s="2" t="s">
        <v>49</v>
      </c>
      <c r="X75" s="6">
        <v>69500</v>
      </c>
      <c r="Y75" s="2" t="str">
        <f t="shared" si="8"/>
        <v>Aprovado</v>
      </c>
      <c r="Z75" s="1" t="str">
        <f t="shared" si="9"/>
        <v>Aprovado</v>
      </c>
      <c r="AA75" s="26">
        <f t="shared" si="10"/>
        <v>75060</v>
      </c>
    </row>
    <row r="76" spans="1:27">
      <c r="A76" s="16">
        <f ca="1">YEAR(TODAY())-Tabela1[[#This Row],[idade]]</f>
        <v>1971</v>
      </c>
      <c r="B76" s="1">
        <f t="shared" ca="1" si="11"/>
        <v>55</v>
      </c>
      <c r="C76" s="1" t="str">
        <f>PROPER(Tabela1[[#This Row],[nome]])</f>
        <v>Beric Crakehall</v>
      </c>
      <c r="D76" s="1" t="str">
        <f t="shared" si="12"/>
        <v>000.000.067-00</v>
      </c>
      <c r="G76" s="26">
        <f t="shared" si="13"/>
        <v>22100</v>
      </c>
      <c r="H76" s="26">
        <f t="shared" si="14"/>
        <v>41500</v>
      </c>
      <c r="I76" s="1" t="str">
        <f t="shared" si="15"/>
        <v>Não</v>
      </c>
      <c r="K76" s="2" t="s">
        <v>23</v>
      </c>
      <c r="L76" s="2" t="s">
        <v>235</v>
      </c>
      <c r="M76" s="3" t="s">
        <v>236</v>
      </c>
      <c r="N76" s="4">
        <f ca="1">DATEDIF(O76,TODAY(),"Y")</f>
        <v>55</v>
      </c>
      <c r="O76" s="5">
        <v>26104</v>
      </c>
      <c r="P76" s="2" t="s">
        <v>61</v>
      </c>
      <c r="Q76" s="2" t="s">
        <v>62</v>
      </c>
      <c r="R76" s="6">
        <v>22100</v>
      </c>
      <c r="S76" s="6">
        <v>41500</v>
      </c>
      <c r="T76" s="7" t="s">
        <v>49</v>
      </c>
      <c r="U76" s="2">
        <v>18</v>
      </c>
      <c r="V76" s="2" t="str">
        <f>IF(Tabela1[[#This Row],[qtde_batalhas]]&lt;=10,"Baixo",IF(Tabela1[[#This Row],[qtde_batalhas]]&lt;=25,"Médio","Alto"))</f>
        <v>Médio</v>
      </c>
      <c r="W76" s="2" t="s">
        <v>49</v>
      </c>
      <c r="X76" s="6">
        <v>65000</v>
      </c>
      <c r="Y76" s="2" t="str">
        <f t="shared" si="8"/>
        <v>Aprovado</v>
      </c>
      <c r="Z76" s="1" t="str">
        <f t="shared" si="9"/>
        <v>Aprovado</v>
      </c>
      <c r="AA76" s="26">
        <f t="shared" si="10"/>
        <v>70200</v>
      </c>
    </row>
    <row r="77" spans="1:27">
      <c r="A77" s="16">
        <f ca="1">YEAR(TODAY())-Tabela1[[#This Row],[idade]]</f>
        <v>1967</v>
      </c>
      <c r="B77" s="1">
        <f t="shared" ca="1" si="11"/>
        <v>59</v>
      </c>
      <c r="C77" s="1" t="str">
        <f>PROPER(Tabela1[[#This Row],[nome]])</f>
        <v>Ellaria Bracken</v>
      </c>
      <c r="D77" s="1" t="str">
        <f t="shared" si="12"/>
        <v>000.000.138-00</v>
      </c>
      <c r="G77" s="26">
        <f t="shared" si="13"/>
        <v>6300</v>
      </c>
      <c r="H77" s="26">
        <f t="shared" si="14"/>
        <v>15000</v>
      </c>
      <c r="I77" s="1" t="str">
        <f t="shared" si="15"/>
        <v>Não</v>
      </c>
      <c r="K77" s="2" t="s">
        <v>29</v>
      </c>
      <c r="L77" s="2" t="s">
        <v>237</v>
      </c>
      <c r="M77" s="3" t="s">
        <v>238</v>
      </c>
      <c r="N77" s="4">
        <f ca="1">DATEDIF(O77,TODAY(),"Y")</f>
        <v>59</v>
      </c>
      <c r="O77" s="5">
        <v>24512</v>
      </c>
      <c r="P77" s="2" t="s">
        <v>166</v>
      </c>
      <c r="Q77" s="2" t="s">
        <v>98</v>
      </c>
      <c r="R77" s="6">
        <v>6300</v>
      </c>
      <c r="S77" s="6">
        <v>15000</v>
      </c>
      <c r="T77" s="7" t="s">
        <v>49</v>
      </c>
      <c r="U77" s="2">
        <v>42</v>
      </c>
      <c r="V77" s="2" t="str">
        <f>IF(Tabela1[[#This Row],[qtde_batalhas]]&lt;=10,"Baixo",IF(Tabela1[[#This Row],[qtde_batalhas]]&lt;=25,"Médio","Alto"))</f>
        <v>Alto</v>
      </c>
      <c r="W77" s="2" t="s">
        <v>49</v>
      </c>
      <c r="X77" s="6">
        <v>8500</v>
      </c>
      <c r="Y77" s="2" t="str">
        <f t="shared" si="8"/>
        <v>Aprovado</v>
      </c>
      <c r="Z77" s="1" t="str">
        <f t="shared" si="9"/>
        <v>Aprovado</v>
      </c>
      <c r="AA77" s="26">
        <f t="shared" si="10"/>
        <v>0</v>
      </c>
    </row>
    <row r="78" spans="1:27">
      <c r="A78" s="16">
        <f ca="1">YEAR(TODAY())-Tabela1[[#This Row],[idade]]</f>
        <v>1956</v>
      </c>
      <c r="B78" s="1">
        <f t="shared" ca="1" si="11"/>
        <v>70</v>
      </c>
      <c r="C78" s="1" t="str">
        <f>PROPER(Tabela1[[#This Row],[nome]])</f>
        <v>Ellaria  Reed</v>
      </c>
      <c r="D78" s="1" t="str">
        <f t="shared" si="12"/>
        <v>000.000.311-00</v>
      </c>
      <c r="G78" s="26">
        <f t="shared" si="13"/>
        <v>2500</v>
      </c>
      <c r="H78" s="26">
        <f t="shared" si="14"/>
        <v>0</v>
      </c>
      <c r="I78" s="1" t="str">
        <f t="shared" si="15"/>
        <v>Não</v>
      </c>
      <c r="K78" s="2" t="s">
        <v>29</v>
      </c>
      <c r="L78" s="2" t="s">
        <v>807</v>
      </c>
      <c r="M78" s="3" t="s">
        <v>240</v>
      </c>
      <c r="N78" s="4">
        <f ca="1">DATEDIF(O78,TODAY(),"Y")</f>
        <v>70</v>
      </c>
      <c r="O78" s="5">
        <v>20502</v>
      </c>
      <c r="P78" s="2" t="s">
        <v>52</v>
      </c>
      <c r="Q78" s="2" t="s">
        <v>57</v>
      </c>
      <c r="R78" s="6">
        <v>2500</v>
      </c>
      <c r="S78" s="6">
        <v>0</v>
      </c>
      <c r="T78" s="7" t="s">
        <v>49</v>
      </c>
      <c r="U78" s="2">
        <v>38</v>
      </c>
      <c r="V78" s="2" t="str">
        <f>IF(Tabela1[[#This Row],[qtde_batalhas]]&lt;=10,"Baixo",IF(Tabela1[[#This Row],[qtde_batalhas]]&lt;=25,"Médio","Alto"))</f>
        <v>Alto</v>
      </c>
      <c r="W78" s="2" t="s">
        <v>49</v>
      </c>
      <c r="X78" s="6">
        <v>44500</v>
      </c>
      <c r="Y78" s="2" t="str">
        <f t="shared" si="8"/>
        <v>Aprovado</v>
      </c>
      <c r="Z78" s="1" t="str">
        <f t="shared" si="9"/>
        <v>Aprovado</v>
      </c>
      <c r="AA78" s="26">
        <f t="shared" si="10"/>
        <v>0</v>
      </c>
    </row>
    <row r="79" spans="1:27">
      <c r="A79" s="16">
        <f ca="1">YEAR(TODAY())-Tabela1[[#This Row],[idade]]</f>
        <v>1989</v>
      </c>
      <c r="B79" s="1">
        <f t="shared" ca="1" si="11"/>
        <v>37</v>
      </c>
      <c r="C79" s="1" t="str">
        <f>PROPER(Tabela1[[#This Row],[nome]])</f>
        <v>Ilhasenerys Tallhart</v>
      </c>
      <c r="D79" s="1" t="str">
        <f t="shared" si="12"/>
        <v>000.000.092-00</v>
      </c>
      <c r="G79" s="26">
        <f t="shared" si="13"/>
        <v>29200</v>
      </c>
      <c r="H79" s="26">
        <f t="shared" si="14"/>
        <v>45000</v>
      </c>
      <c r="I79" s="1" t="str">
        <f t="shared" si="15"/>
        <v>Não</v>
      </c>
      <c r="K79" s="2" t="s">
        <v>23</v>
      </c>
      <c r="L79" s="2" t="s">
        <v>808</v>
      </c>
      <c r="M79" s="3" t="s">
        <v>242</v>
      </c>
      <c r="N79" s="4">
        <f ca="1">DATEDIF(O79,TODAY(),"Y")</f>
        <v>37</v>
      </c>
      <c r="O79" s="5">
        <v>32543</v>
      </c>
      <c r="P79" s="2" t="s">
        <v>97</v>
      </c>
      <c r="Q79" s="2" t="s">
        <v>98</v>
      </c>
      <c r="R79" s="6">
        <v>29200</v>
      </c>
      <c r="S79" s="6">
        <v>45000</v>
      </c>
      <c r="T79" s="7" t="s">
        <v>49</v>
      </c>
      <c r="U79" s="2">
        <v>26</v>
      </c>
      <c r="V79" s="2" t="str">
        <f>IF(Tabela1[[#This Row],[qtde_batalhas]]&lt;=10,"Baixo",IF(Tabela1[[#This Row],[qtde_batalhas]]&lt;=25,"Médio","Alto"))</f>
        <v>Alto</v>
      </c>
      <c r="W79" s="2" t="s">
        <v>49</v>
      </c>
      <c r="X79" s="6">
        <v>23500</v>
      </c>
      <c r="Y79" s="2" t="str">
        <f t="shared" si="8"/>
        <v>Aprovado</v>
      </c>
      <c r="Z79" s="1" t="str">
        <f t="shared" si="9"/>
        <v>Aprovado</v>
      </c>
      <c r="AA79" s="26">
        <f t="shared" si="10"/>
        <v>25380</v>
      </c>
    </row>
    <row r="80" spans="1:27">
      <c r="A80" s="16">
        <f ca="1">YEAR(TODAY())-Tabela1[[#This Row],[idade]]</f>
        <v>1999</v>
      </c>
      <c r="B80" s="1">
        <f t="shared" ca="1" si="11"/>
        <v>27</v>
      </c>
      <c r="C80" s="1" t="str">
        <f>PROPER(Tabela1[[#This Row],[nome]])</f>
        <v>Lyanna Marbrand</v>
      </c>
      <c r="D80" s="1" t="str">
        <f t="shared" si="12"/>
        <v>000.000.283-00</v>
      </c>
      <c r="G80" s="26">
        <f t="shared" si="13"/>
        <v>5300</v>
      </c>
      <c r="H80" s="26">
        <f t="shared" si="14"/>
        <v>22000</v>
      </c>
      <c r="I80" s="1" t="str">
        <f t="shared" si="15"/>
        <v>Não</v>
      </c>
      <c r="K80" s="2" t="s">
        <v>23</v>
      </c>
      <c r="L80" s="2" t="s">
        <v>243</v>
      </c>
      <c r="M80" s="3" t="s">
        <v>244</v>
      </c>
      <c r="N80" s="4">
        <f ca="1">DATEDIF(O80,TODAY(),"Y")</f>
        <v>27</v>
      </c>
      <c r="O80" s="5">
        <v>36308</v>
      </c>
      <c r="P80" s="2" t="s">
        <v>87</v>
      </c>
      <c r="Q80" s="2" t="s">
        <v>88</v>
      </c>
      <c r="R80" s="6">
        <v>5300</v>
      </c>
      <c r="S80" s="6">
        <v>22000</v>
      </c>
      <c r="T80" s="7" t="s">
        <v>49</v>
      </c>
      <c r="U80" s="2">
        <v>11</v>
      </c>
      <c r="V80" s="2" t="str">
        <f>IF(Tabela1[[#This Row],[qtde_batalhas]]&lt;=10,"Baixo",IF(Tabela1[[#This Row],[qtde_batalhas]]&lt;=25,"Médio","Alto"))</f>
        <v>Médio</v>
      </c>
      <c r="W80" s="2" t="s">
        <v>49</v>
      </c>
      <c r="X80" s="6">
        <v>28500</v>
      </c>
      <c r="Y80" s="2" t="str">
        <f t="shared" si="8"/>
        <v>Aprovado</v>
      </c>
      <c r="Z80" s="1" t="str">
        <f t="shared" si="9"/>
        <v>Aprovado</v>
      </c>
      <c r="AA80" s="26">
        <f t="shared" si="10"/>
        <v>30780.000000000004</v>
      </c>
    </row>
    <row r="81" spans="1:27">
      <c r="A81" s="16">
        <f ca="1">YEAR(TODAY())-Tabela1[[#This Row],[idade]]</f>
        <v>1971</v>
      </c>
      <c r="B81" s="1">
        <f t="shared" ca="1" si="11"/>
        <v>55</v>
      </c>
      <c r="C81" s="1" t="str">
        <f>PROPER(Tabela1[[#This Row],[nome]])</f>
        <v>Ramsay Dondarrion</v>
      </c>
      <c r="D81" s="1" t="str">
        <f t="shared" si="12"/>
        <v>000.000.054-00</v>
      </c>
      <c r="G81" s="26">
        <f t="shared" si="13"/>
        <v>29100</v>
      </c>
      <c r="H81" s="26">
        <f t="shared" si="14"/>
        <v>5500</v>
      </c>
      <c r="I81" s="1" t="str">
        <f t="shared" si="15"/>
        <v>Não</v>
      </c>
      <c r="K81" s="2" t="s">
        <v>23</v>
      </c>
      <c r="L81" s="2" t="s">
        <v>246</v>
      </c>
      <c r="M81" s="3" t="s">
        <v>247</v>
      </c>
      <c r="N81" s="4">
        <f ca="1">DATEDIF(O81,TODAY(),"Y")</f>
        <v>55</v>
      </c>
      <c r="O81" s="5">
        <v>25874</v>
      </c>
      <c r="P81" s="2" t="s">
        <v>133</v>
      </c>
      <c r="Q81" s="2" t="s">
        <v>133</v>
      </c>
      <c r="R81" s="6">
        <v>29100</v>
      </c>
      <c r="S81" s="6">
        <v>5500</v>
      </c>
      <c r="T81" s="7" t="s">
        <v>49</v>
      </c>
      <c r="U81" s="2">
        <v>11</v>
      </c>
      <c r="V81" s="2" t="str">
        <f>IF(Tabela1[[#This Row],[qtde_batalhas]]&lt;=10,"Baixo",IF(Tabela1[[#This Row],[qtde_batalhas]]&lt;=25,"Médio","Alto"))</f>
        <v>Médio</v>
      </c>
      <c r="W81" s="2" t="s">
        <v>49</v>
      </c>
      <c r="X81" s="6">
        <v>56000</v>
      </c>
      <c r="Y81" s="2" t="str">
        <f t="shared" si="8"/>
        <v>Aprovado</v>
      </c>
      <c r="Z81" s="1" t="str">
        <f t="shared" si="9"/>
        <v>Aprovado</v>
      </c>
      <c r="AA81" s="26">
        <f t="shared" si="10"/>
        <v>60480.000000000007</v>
      </c>
    </row>
    <row r="82" spans="1:27">
      <c r="A82" s="16">
        <f ca="1">YEAR(TODAY())-Tabela1[[#This Row],[idade]]</f>
        <v>1973</v>
      </c>
      <c r="B82" s="1">
        <f t="shared" ca="1" si="11"/>
        <v>53</v>
      </c>
      <c r="C82" s="1" t="str">
        <f>PROPER(Tabela1[[#This Row],[nome]])</f>
        <v>Thoros  Baelish</v>
      </c>
      <c r="D82" s="1" t="str">
        <f t="shared" si="12"/>
        <v>000.000.011-00</v>
      </c>
      <c r="G82" s="26">
        <f t="shared" si="13"/>
        <v>27800</v>
      </c>
      <c r="H82" s="26">
        <f t="shared" si="14"/>
        <v>52000</v>
      </c>
      <c r="I82" s="1" t="str">
        <f t="shared" si="15"/>
        <v>Não</v>
      </c>
      <c r="K82" s="2" t="s">
        <v>23</v>
      </c>
      <c r="L82" s="2" t="s">
        <v>809</v>
      </c>
      <c r="M82" s="3" t="s">
        <v>250</v>
      </c>
      <c r="N82" s="4">
        <f ca="1">DATEDIF(O82,TODAY(),"Y")</f>
        <v>53</v>
      </c>
      <c r="O82" s="5">
        <v>26812</v>
      </c>
      <c r="P82" s="2" t="s">
        <v>70</v>
      </c>
      <c r="Q82" s="2" t="s">
        <v>71</v>
      </c>
      <c r="R82" s="6">
        <v>27800</v>
      </c>
      <c r="S82" s="6">
        <v>52000</v>
      </c>
      <c r="T82" s="7" t="s">
        <v>49</v>
      </c>
      <c r="U82" s="2">
        <v>43</v>
      </c>
      <c r="V82" s="2" t="str">
        <f>IF(Tabela1[[#This Row],[qtde_batalhas]]&lt;=10,"Baixo",IF(Tabela1[[#This Row],[qtde_batalhas]]&lt;=25,"Médio","Alto"))</f>
        <v>Alto</v>
      </c>
      <c r="W82" s="2" t="s">
        <v>49</v>
      </c>
      <c r="X82" s="6">
        <v>93500</v>
      </c>
      <c r="Y82" s="2" t="str">
        <f t="shared" si="8"/>
        <v>Aprovado</v>
      </c>
      <c r="Z82" s="1" t="str">
        <f t="shared" si="9"/>
        <v>Aprovado</v>
      </c>
      <c r="AA82" s="26">
        <f t="shared" si="10"/>
        <v>100980</v>
      </c>
    </row>
    <row r="83" spans="1:27">
      <c r="A83" s="16">
        <f ca="1">YEAR(TODAY())-Tabela1[[#This Row],[idade]]</f>
        <v>1986</v>
      </c>
      <c r="B83" s="1">
        <f t="shared" ca="1" si="11"/>
        <v>40</v>
      </c>
      <c r="C83" s="1" t="str">
        <f>PROPER(Tabela1[[#This Row],[nome]])</f>
        <v>Melisandre Blackwood</v>
      </c>
      <c r="D83" s="1" t="str">
        <f t="shared" si="12"/>
        <v>000.000.051-00</v>
      </c>
      <c r="G83" s="26">
        <f t="shared" si="13"/>
        <v>18700</v>
      </c>
      <c r="H83" s="26">
        <f t="shared" si="14"/>
        <v>15000</v>
      </c>
      <c r="I83" s="1" t="str">
        <f t="shared" si="15"/>
        <v>-</v>
      </c>
      <c r="K83" s="2" t="s">
        <v>23</v>
      </c>
      <c r="L83" s="2" t="s">
        <v>251</v>
      </c>
      <c r="M83" s="3" t="s">
        <v>252</v>
      </c>
      <c r="N83" s="4">
        <f ca="1">DATEDIF(O83,TODAY(),"Y")</f>
        <v>40</v>
      </c>
      <c r="O83" s="5">
        <v>31647</v>
      </c>
      <c r="P83" s="2" t="s">
        <v>111</v>
      </c>
      <c r="Q83" s="2" t="s">
        <v>91</v>
      </c>
      <c r="R83" s="6">
        <v>18700</v>
      </c>
      <c r="S83" s="6">
        <v>15000</v>
      </c>
      <c r="U83" s="2">
        <v>26</v>
      </c>
      <c r="V83" s="2" t="str">
        <f>IF(Tabela1[[#This Row],[qtde_batalhas]]&lt;=10,"Baixo",IF(Tabela1[[#This Row],[qtde_batalhas]]&lt;=25,"Médio","Alto"))</f>
        <v>Alto</v>
      </c>
      <c r="X83" s="6">
        <v>89500</v>
      </c>
      <c r="Y83" s="2" t="str">
        <f t="shared" si="8"/>
        <v>Aprovado</v>
      </c>
      <c r="Z83" s="1" t="str">
        <f t="shared" si="9"/>
        <v>Aprovado</v>
      </c>
      <c r="AA83" s="26">
        <f t="shared" si="10"/>
        <v>96660</v>
      </c>
    </row>
    <row r="84" spans="1:27">
      <c r="A84" s="16">
        <f ca="1">YEAR(TODAY())-Tabela1[[#This Row],[idade]]</f>
        <v>1962</v>
      </c>
      <c r="B84" s="1">
        <f t="shared" ca="1" si="11"/>
        <v>64</v>
      </c>
      <c r="C84" s="1" t="str">
        <f>PROPER(Tabela1[[#This Row],[nome]])</f>
        <v>Yara Baelish</v>
      </c>
      <c r="D84" s="1" t="str">
        <f t="shared" si="12"/>
        <v>-</v>
      </c>
      <c r="G84" s="26">
        <f t="shared" si="13"/>
        <v>24300</v>
      </c>
      <c r="H84" s="26">
        <f t="shared" si="14"/>
        <v>16500</v>
      </c>
      <c r="I84" s="1" t="str">
        <f t="shared" si="15"/>
        <v>Sim</v>
      </c>
      <c r="K84" s="2" t="s">
        <v>23</v>
      </c>
      <c r="L84" s="2" t="s">
        <v>253</v>
      </c>
      <c r="M84" s="3">
        <v>34400</v>
      </c>
      <c r="N84" s="4">
        <f ca="1">DATEDIF(O84,TODAY(),"Y")</f>
        <v>64</v>
      </c>
      <c r="O84" s="5">
        <v>22836</v>
      </c>
      <c r="P84" s="2" t="s">
        <v>254</v>
      </c>
      <c r="Q84" s="2" t="s">
        <v>810</v>
      </c>
      <c r="R84" s="6">
        <v>24300</v>
      </c>
      <c r="S84" s="6">
        <v>16500</v>
      </c>
      <c r="T84" s="7" t="s">
        <v>28</v>
      </c>
      <c r="U84" s="2">
        <v>24</v>
      </c>
      <c r="V84" s="2" t="str">
        <f>IF(Tabela1[[#This Row],[qtde_batalhas]]&lt;=10,"Baixo",IF(Tabela1[[#This Row],[qtde_batalhas]]&lt;=25,"Médio","Alto"))</f>
        <v>Médio</v>
      </c>
      <c r="W84" s="2" t="s">
        <v>28</v>
      </c>
      <c r="X84" s="6">
        <v>57000</v>
      </c>
      <c r="Y84" s="2" t="str">
        <f t="shared" si="8"/>
        <v>Aprovado</v>
      </c>
      <c r="Z84" s="1" t="str">
        <f t="shared" si="9"/>
        <v>Aprovado</v>
      </c>
      <c r="AA84" s="26">
        <f t="shared" si="10"/>
        <v>61560.000000000007</v>
      </c>
    </row>
    <row r="85" spans="1:27">
      <c r="A85" s="16">
        <f ca="1">YEAR(TODAY())-Tabela1[[#This Row],[idade]]</f>
        <v>2001</v>
      </c>
      <c r="B85" s="1">
        <f t="shared" ca="1" si="11"/>
        <v>25</v>
      </c>
      <c r="C85" s="1" t="str">
        <f>PROPER(Tabela1[[#This Row],[nome]])</f>
        <v>Cersei Stark</v>
      </c>
      <c r="D85" s="1" t="str">
        <f t="shared" si="12"/>
        <v>000.000.293-00</v>
      </c>
      <c r="G85" s="26">
        <f t="shared" si="13"/>
        <v>28800</v>
      </c>
      <c r="H85" s="26" t="str">
        <f t="shared" si="14"/>
        <v>-</v>
      </c>
      <c r="I85" s="1" t="str">
        <f t="shared" si="15"/>
        <v>Não</v>
      </c>
      <c r="K85" s="2" t="s">
        <v>23</v>
      </c>
      <c r="L85" s="2" t="s">
        <v>256</v>
      </c>
      <c r="M85" s="3" t="s">
        <v>257</v>
      </c>
      <c r="N85" s="4">
        <f ca="1">DATEDIF(O85,TODAY(),"Y")</f>
        <v>25</v>
      </c>
      <c r="O85" s="5">
        <v>37091</v>
      </c>
      <c r="P85" s="2" t="s">
        <v>26</v>
      </c>
      <c r="Q85" s="2" t="s">
        <v>27</v>
      </c>
      <c r="R85" s="6">
        <v>28800</v>
      </c>
      <c r="T85" s="7" t="s">
        <v>49</v>
      </c>
      <c r="U85" s="2">
        <v>12</v>
      </c>
      <c r="V85" s="2" t="str">
        <f>IF(Tabela1[[#This Row],[qtde_batalhas]]&lt;=10,"Baixo",IF(Tabela1[[#This Row],[qtde_batalhas]]&lt;=25,"Médio","Alto"))</f>
        <v>Médio</v>
      </c>
      <c r="W85" s="2" t="s">
        <v>49</v>
      </c>
      <c r="X85" s="6">
        <v>46500</v>
      </c>
      <c r="Y85" s="2" t="str">
        <f t="shared" si="8"/>
        <v>Aprovado</v>
      </c>
      <c r="Z85" s="1" t="str">
        <f t="shared" si="9"/>
        <v>Aprovado</v>
      </c>
      <c r="AA85" s="26">
        <f t="shared" si="10"/>
        <v>50220</v>
      </c>
    </row>
    <row r="86" spans="1:27">
      <c r="A86" s="16">
        <f ca="1">YEAR(TODAY())-Tabela1[[#This Row],[idade]]</f>
        <v>1971</v>
      </c>
      <c r="B86" s="1">
        <f t="shared" ca="1" si="11"/>
        <v>55</v>
      </c>
      <c r="C86" s="1" t="str">
        <f>PROPER(Tabela1[[#This Row],[nome]])</f>
        <v>Jon  Karstark</v>
      </c>
      <c r="D86" s="1" t="str">
        <f t="shared" si="12"/>
        <v>000.000.139-00</v>
      </c>
      <c r="E86" t="str">
        <f>IF(P107="Lannisporto","Oeste",
IF(P107="Ninho da Águia","Vale",
IF(P107="Ponta Tempestade","Terras da Tempestade",
IF(P107="Pedra do Dragão","Terras da Coroa",
IF(P107="Pyke","Ilhas de Ferro",
IF(P107="Meereen","Essos",
IF(P107="Braavos","Essos",
IF(P107="Correrrio","Terras Fluviais",
IF(P107="Castelo Negro","Norte",
IF(P107="Vilavelha","Campina",
IF(P107="Ilha dos Ursos","Norte",
IF(P107="Fosso Cailin","Norte",
IF(P107="Harrenhal","Terras Fluviais",
IF(P107="Winterfell","Norte",
IF(P107="Jardim de Cima","Campina",
IF(P107="Dorne","Dorne",
IF(P107="Monte Chifre","Campina",
IF(P107="Atalaia da Água Cinzenta","Oeste",
IF(P107="Porto Real","Terras da Coroa",
IF(P107="Solar do Entardecer","Terras da Tempestade",
""))))))))))))))))))))</f>
        <v>Essos</v>
      </c>
      <c r="G86" s="26">
        <f t="shared" si="13"/>
        <v>12200</v>
      </c>
      <c r="H86" s="26">
        <f t="shared" si="14"/>
        <v>70500</v>
      </c>
      <c r="I86" s="1" t="str">
        <f t="shared" si="15"/>
        <v>Não</v>
      </c>
      <c r="K86" s="2" t="s">
        <v>23</v>
      </c>
      <c r="L86" s="2" t="s">
        <v>811</v>
      </c>
      <c r="M86" s="3" t="s">
        <v>259</v>
      </c>
      <c r="N86" s="4">
        <f ca="1">DATEDIF(O86,TODAY(),"Y")</f>
        <v>55</v>
      </c>
      <c r="O86" s="5">
        <v>26161</v>
      </c>
      <c r="P86" s="19" t="s">
        <v>122</v>
      </c>
      <c r="Q86" s="20" t="str">
        <f>IF(P86="Lannisporto","Oeste",
IF(P86="Ninho da Águia","Vale",
IF(P86="Ponta Tempestade","Terras da Tempestade",
IF(P86="Pedra do Dragão","Terras da Coroa",
IF(P86="Pyke","Ilhas de Ferro",
IF(P86="Meereen","Essos",
IF(P86="Braavos","Essos",
IF(P86="Correrrio","Terras Fluviais",
IF(P86="Castelo Negro","Norte",
IF(P86="Vilavelha","Campina",
IF(P86="Ilha dos Ursos","Norte",
IF(P86="Fosso Cailin","Norte",
IF(P86="Harrenhal","Terras Fluviais",
IF(P86="Winterfell","Norte",
IF(P86="Jardim de Cima","Campina",
IF(P86="Dorne","Dorne",
IF(P86="Monte Chifre","Campina",
IF(P86="Atalaia da Água Cinzenta","Oeste",
IF(P86="Porto Real","Terras da Coroa",
IF(P86="Solar do Entardecer","Terras da Tempestade",
""))))))))))))))))))))</f>
        <v>Campina</v>
      </c>
      <c r="R86" s="6">
        <v>12200</v>
      </c>
      <c r="S86" s="6">
        <v>70500</v>
      </c>
      <c r="T86" s="7" t="s">
        <v>49</v>
      </c>
      <c r="U86" s="2">
        <v>33</v>
      </c>
      <c r="V86" s="2" t="str">
        <f>IF(Tabela1[[#This Row],[qtde_batalhas]]&lt;=10,"Baixo",IF(Tabela1[[#This Row],[qtde_batalhas]]&lt;=25,"Médio","Alto"))</f>
        <v>Alto</v>
      </c>
      <c r="W86" s="2" t="s">
        <v>49</v>
      </c>
      <c r="X86" s="6">
        <v>78000</v>
      </c>
      <c r="Y86" s="2" t="str">
        <f t="shared" si="8"/>
        <v>Aprovado</v>
      </c>
      <c r="Z86" s="1" t="str">
        <f t="shared" si="9"/>
        <v>Aprovado</v>
      </c>
      <c r="AA86" s="26">
        <f t="shared" si="10"/>
        <v>84240</v>
      </c>
    </row>
    <row r="87" spans="1:27">
      <c r="A87" s="16">
        <f ca="1">YEAR(TODAY())-Tabela1[[#This Row],[idade]]</f>
        <v>1958</v>
      </c>
      <c r="B87" s="1">
        <f t="shared" ca="1" si="11"/>
        <v>68</v>
      </c>
      <c r="C87" s="1" t="str">
        <f>PROPER(Tabela1[[#This Row],[nome]])</f>
        <v>Yara Royce</v>
      </c>
      <c r="D87" s="1" t="str">
        <f t="shared" si="12"/>
        <v>-</v>
      </c>
      <c r="G87" s="26">
        <f t="shared" si="13"/>
        <v>11500</v>
      </c>
      <c r="H87" s="26">
        <f t="shared" si="14"/>
        <v>17500</v>
      </c>
      <c r="I87" s="1" t="str">
        <f t="shared" si="15"/>
        <v>Não</v>
      </c>
      <c r="K87" s="2" t="s">
        <v>23</v>
      </c>
      <c r="L87" s="2" t="s">
        <v>262</v>
      </c>
      <c r="M87" s="3">
        <v>32000</v>
      </c>
      <c r="N87" s="4">
        <f ca="1">DATEDIF(O87,TODAY(),"Y")</f>
        <v>68</v>
      </c>
      <c r="O87" s="5">
        <v>21162</v>
      </c>
      <c r="P87" s="2" t="s">
        <v>90</v>
      </c>
      <c r="Q87" s="2" t="s">
        <v>91</v>
      </c>
      <c r="R87" s="6">
        <v>11500</v>
      </c>
      <c r="S87" s="6">
        <v>17500</v>
      </c>
      <c r="T87" s="7" t="s">
        <v>49</v>
      </c>
      <c r="U87" s="2">
        <v>19</v>
      </c>
      <c r="V87" s="2" t="str">
        <f>IF(Tabela1[[#This Row],[qtde_batalhas]]&lt;=10,"Baixo",IF(Tabela1[[#This Row],[qtde_batalhas]]&lt;=25,"Médio","Alto"))</f>
        <v>Médio</v>
      </c>
      <c r="W87" s="2" t="s">
        <v>49</v>
      </c>
      <c r="X87" s="6">
        <v>26000</v>
      </c>
      <c r="Y87" s="2" t="str">
        <f t="shared" si="8"/>
        <v>Aprovado</v>
      </c>
      <c r="Z87" s="1" t="str">
        <f t="shared" si="9"/>
        <v>Aprovado</v>
      </c>
      <c r="AA87" s="26">
        <f t="shared" si="10"/>
        <v>28080.000000000004</v>
      </c>
    </row>
    <row r="88" spans="1:27">
      <c r="A88" s="16">
        <f ca="1">YEAR(TODAY())-Tabela1[[#This Row],[idade]]</f>
        <v>1989</v>
      </c>
      <c r="B88" s="1">
        <f t="shared" ca="1" si="11"/>
        <v>37</v>
      </c>
      <c r="C88" s="1" t="str">
        <f>PROPER(Tabela1[[#This Row],[nome]])</f>
        <v>Jeor Lannister</v>
      </c>
      <c r="D88" s="1" t="str">
        <f t="shared" si="12"/>
        <v>000.000.091-00</v>
      </c>
      <c r="G88" s="26">
        <f t="shared" si="13"/>
        <v>24700</v>
      </c>
      <c r="H88" s="26">
        <f t="shared" si="14"/>
        <v>23000</v>
      </c>
      <c r="I88" s="1" t="str">
        <f t="shared" si="15"/>
        <v>Sim</v>
      </c>
      <c r="K88" s="2" t="s">
        <v>23</v>
      </c>
      <c r="L88" s="2" t="s">
        <v>263</v>
      </c>
      <c r="M88" s="3" t="s">
        <v>264</v>
      </c>
      <c r="N88" s="4">
        <f ca="1">DATEDIF(O88,TODAY(),"Y")</f>
        <v>37</v>
      </c>
      <c r="O88" s="5">
        <v>32412</v>
      </c>
      <c r="P88" s="2" t="s">
        <v>111</v>
      </c>
      <c r="Q88" s="2" t="s">
        <v>91</v>
      </c>
      <c r="R88" s="6">
        <v>24700</v>
      </c>
      <c r="S88" s="6">
        <v>23000</v>
      </c>
      <c r="T88" s="7" t="s">
        <v>28</v>
      </c>
      <c r="U88" s="2">
        <v>10</v>
      </c>
      <c r="V88" s="2" t="str">
        <f>IF(Tabela1[[#This Row],[qtde_batalhas]]&lt;=10,"Baixo",IF(Tabela1[[#This Row],[qtde_batalhas]]&lt;=25,"Médio","Alto"))</f>
        <v>Baixo</v>
      </c>
      <c r="W88" s="2" t="s">
        <v>28</v>
      </c>
      <c r="X88" s="6">
        <v>37500</v>
      </c>
      <c r="Y88" s="2" t="str">
        <f t="shared" si="8"/>
        <v>Aprovado</v>
      </c>
      <c r="Z88" s="1" t="str">
        <f t="shared" si="9"/>
        <v>Aprovado</v>
      </c>
      <c r="AA88" s="26">
        <f t="shared" si="10"/>
        <v>40500</v>
      </c>
    </row>
    <row r="89" spans="1:27">
      <c r="A89" s="16">
        <f ca="1">YEAR(TODAY())-Tabela1[[#This Row],[idade]]</f>
        <v>1964</v>
      </c>
      <c r="B89" s="1">
        <f t="shared" ca="1" si="11"/>
        <v>62</v>
      </c>
      <c r="C89" s="1" t="str">
        <f>PROPER(Tabela1[[#This Row],[nome]])</f>
        <v>Bran Florent</v>
      </c>
      <c r="D89" s="1" t="str">
        <f t="shared" si="12"/>
        <v>000.000.218-00</v>
      </c>
      <c r="G89" s="26" t="str">
        <f t="shared" si="13"/>
        <v>-</v>
      </c>
      <c r="H89" s="26" t="str">
        <f t="shared" si="14"/>
        <v>-</v>
      </c>
      <c r="I89" s="1" t="str">
        <f t="shared" si="15"/>
        <v>Não</v>
      </c>
      <c r="K89" s="2" t="s">
        <v>23</v>
      </c>
      <c r="L89" s="2" t="s">
        <v>266</v>
      </c>
      <c r="M89" s="3" t="s">
        <v>267</v>
      </c>
      <c r="N89" s="4">
        <f ca="1">DATEDIF(O89,TODAY(),"Y")</f>
        <v>62</v>
      </c>
      <c r="O89" s="5">
        <v>23488</v>
      </c>
      <c r="P89" s="2" t="s">
        <v>26</v>
      </c>
      <c r="Q89" s="2" t="s">
        <v>27</v>
      </c>
      <c r="R89" s="6" t="s">
        <v>134</v>
      </c>
      <c r="S89" s="6" t="s">
        <v>40</v>
      </c>
      <c r="T89" s="7" t="s">
        <v>49</v>
      </c>
      <c r="U89" s="2">
        <v>38</v>
      </c>
      <c r="V89" s="2" t="str">
        <f>IF(Tabela1[[#This Row],[qtde_batalhas]]&lt;=10,"Baixo",IF(Tabela1[[#This Row],[qtde_batalhas]]&lt;=25,"Médio","Alto"))</f>
        <v>Alto</v>
      </c>
      <c r="W89" s="2" t="s">
        <v>49</v>
      </c>
      <c r="X89" s="6">
        <v>72000</v>
      </c>
      <c r="Y89" s="2" t="str">
        <f t="shared" si="8"/>
        <v>Aprovado</v>
      </c>
      <c r="Z89" s="1" t="str">
        <f t="shared" si="9"/>
        <v>Aprovado</v>
      </c>
      <c r="AA89" s="26">
        <f t="shared" si="10"/>
        <v>77760</v>
      </c>
    </row>
    <row r="90" spans="1:27">
      <c r="A90" s="16">
        <f ca="1">YEAR(TODAY())-Tabela1[[#This Row],[idade]]</f>
        <v>2002</v>
      </c>
      <c r="B90" s="1">
        <f t="shared" ca="1" si="11"/>
        <v>24</v>
      </c>
      <c r="C90" s="1" t="str">
        <f>PROPER(Tabela1[[#This Row],[nome]])</f>
        <v>Jojen Redwyne</v>
      </c>
      <c r="D90" s="1" t="str">
        <f t="shared" si="12"/>
        <v>000.000.334-00</v>
      </c>
      <c r="G90" s="26">
        <f t="shared" si="13"/>
        <v>8900</v>
      </c>
      <c r="H90" s="26">
        <f t="shared" si="14"/>
        <v>19500</v>
      </c>
      <c r="I90" s="1" t="str">
        <f t="shared" si="15"/>
        <v>Sim</v>
      </c>
      <c r="K90" s="2" t="s">
        <v>23</v>
      </c>
      <c r="L90" s="2" t="s">
        <v>268</v>
      </c>
      <c r="M90" s="3" t="s">
        <v>269</v>
      </c>
      <c r="N90" s="4">
        <f ca="1">DATEDIF(O90,TODAY(),"Y")</f>
        <v>24</v>
      </c>
      <c r="O90" s="5">
        <v>37491</v>
      </c>
      <c r="P90" s="2" t="s">
        <v>133</v>
      </c>
      <c r="Q90" s="2" t="s">
        <v>133</v>
      </c>
      <c r="R90" s="6">
        <v>8900</v>
      </c>
      <c r="S90" s="6">
        <v>19500</v>
      </c>
      <c r="T90" s="7" t="s">
        <v>28</v>
      </c>
      <c r="U90" s="2">
        <v>33</v>
      </c>
      <c r="V90" s="2" t="str">
        <f>IF(Tabela1[[#This Row],[qtde_batalhas]]&lt;=10,"Baixo",IF(Tabela1[[#This Row],[qtde_batalhas]]&lt;=25,"Médio","Alto"))</f>
        <v>Alto</v>
      </c>
      <c r="W90" s="2" t="s">
        <v>28</v>
      </c>
      <c r="X90" s="6">
        <v>96500</v>
      </c>
      <c r="Y90" s="2" t="str">
        <f t="shared" si="8"/>
        <v>Negado</v>
      </c>
      <c r="Z90" s="1" t="str">
        <f t="shared" si="9"/>
        <v>Aprovado</v>
      </c>
      <c r="AA90" s="26">
        <f t="shared" si="10"/>
        <v>0</v>
      </c>
    </row>
    <row r="91" spans="1:27">
      <c r="A91" s="16">
        <f ca="1">YEAR(TODAY())-Tabela1[[#This Row],[idade]]</f>
        <v>2026</v>
      </c>
      <c r="B91" s="1">
        <f t="shared" ca="1" si="11"/>
        <v>126</v>
      </c>
      <c r="C91" s="1" t="str">
        <f>PROPER(Tabela1[[#This Row],[nome]])</f>
        <v>Bronn Mallister</v>
      </c>
      <c r="D91" s="1" t="str">
        <f t="shared" si="12"/>
        <v>000.000.200-00</v>
      </c>
      <c r="G91" s="26">
        <f t="shared" si="13"/>
        <v>28000</v>
      </c>
      <c r="H91" s="26">
        <f t="shared" si="14"/>
        <v>76500</v>
      </c>
      <c r="I91" s="1" t="str">
        <f t="shared" si="15"/>
        <v>Não</v>
      </c>
      <c r="K91" s="2" t="s">
        <v>23</v>
      </c>
      <c r="L91" s="2" t="s">
        <v>271</v>
      </c>
      <c r="M91" s="3" t="s">
        <v>272</v>
      </c>
      <c r="P91" s="2" t="s">
        <v>97</v>
      </c>
      <c r="Q91" s="2" t="s">
        <v>98</v>
      </c>
      <c r="R91" s="6">
        <v>28000</v>
      </c>
      <c r="S91" s="6">
        <v>76500</v>
      </c>
      <c r="T91" s="7" t="s">
        <v>49</v>
      </c>
      <c r="U91" s="2">
        <v>39</v>
      </c>
      <c r="V91" s="2" t="str">
        <f>IF(Tabela1[[#This Row],[qtde_batalhas]]&lt;=10,"Baixo",IF(Tabela1[[#This Row],[qtde_batalhas]]&lt;=25,"Médio","Alto"))</f>
        <v>Alto</v>
      </c>
      <c r="W91" s="2" t="s">
        <v>49</v>
      </c>
      <c r="X91" s="6">
        <v>32000</v>
      </c>
      <c r="Y91" s="2" t="str">
        <f t="shared" si="8"/>
        <v>Aprovado</v>
      </c>
      <c r="Z91" s="1" t="str">
        <f t="shared" si="9"/>
        <v>Aprovado</v>
      </c>
      <c r="AA91" s="26">
        <f t="shared" si="10"/>
        <v>34560</v>
      </c>
    </row>
    <row r="92" spans="1:27">
      <c r="A92" s="16">
        <f ca="1">YEAR(TODAY())-Tabela1[[#This Row],[idade]]</f>
        <v>1986</v>
      </c>
      <c r="B92" s="1">
        <f t="shared" ca="1" si="11"/>
        <v>40</v>
      </c>
      <c r="C92" s="1" t="str">
        <f>PROPER(Tabela1[[#This Row],[nome]])</f>
        <v>Olenna Reed</v>
      </c>
      <c r="D92" s="1" t="str">
        <f t="shared" si="12"/>
        <v>000.000.248-00</v>
      </c>
      <c r="G92" s="26">
        <f t="shared" si="13"/>
        <v>17400</v>
      </c>
      <c r="H92" s="26">
        <f t="shared" si="14"/>
        <v>53000</v>
      </c>
      <c r="I92" s="1" t="str">
        <f t="shared" si="15"/>
        <v>Sim</v>
      </c>
      <c r="K92" s="2" t="s">
        <v>23</v>
      </c>
      <c r="L92" s="2" t="s">
        <v>274</v>
      </c>
      <c r="M92" s="3" t="s">
        <v>275</v>
      </c>
      <c r="N92" s="4">
        <f ca="1">DATEDIF(O92,TODAY(),"Y")</f>
        <v>40</v>
      </c>
      <c r="O92" s="5">
        <v>31408</v>
      </c>
      <c r="P92" s="17" t="s">
        <v>812</v>
      </c>
      <c r="Q92" s="2" t="s">
        <v>813</v>
      </c>
      <c r="R92" s="6">
        <v>17400</v>
      </c>
      <c r="S92" s="6">
        <v>53000</v>
      </c>
      <c r="T92" s="7" t="s">
        <v>28</v>
      </c>
      <c r="U92" s="2">
        <v>20</v>
      </c>
      <c r="V92" s="2" t="str">
        <f>IF(Tabela1[[#This Row],[qtde_batalhas]]&lt;=10,"Baixo",IF(Tabela1[[#This Row],[qtde_batalhas]]&lt;=25,"Médio","Alto"))</f>
        <v>Médio</v>
      </c>
      <c r="W92" s="2" t="s">
        <v>28</v>
      </c>
      <c r="X92" s="6">
        <v>52500</v>
      </c>
      <c r="Y92" s="2" t="str">
        <f t="shared" si="8"/>
        <v>Aprovado</v>
      </c>
      <c r="Z92" s="1" t="str">
        <f t="shared" si="9"/>
        <v>Negado</v>
      </c>
      <c r="AA92" s="26">
        <f t="shared" si="10"/>
        <v>0</v>
      </c>
    </row>
    <row r="93" spans="1:27">
      <c r="A93" s="16">
        <f ca="1">YEAR(TODAY())-Tabela1[[#This Row],[idade]]</f>
        <v>1966</v>
      </c>
      <c r="B93" s="1">
        <f t="shared" ca="1" si="11"/>
        <v>60</v>
      </c>
      <c r="C93" s="1" t="str">
        <f>PROPER(Tabela1[[#This Row],[nome]])</f>
        <v>Jon Hightower</v>
      </c>
      <c r="D93" s="1" t="str">
        <f t="shared" si="12"/>
        <v>000.000.081-00</v>
      </c>
      <c r="G93" s="26">
        <f t="shared" si="13"/>
        <v>18900</v>
      </c>
      <c r="H93" s="26">
        <f t="shared" si="14"/>
        <v>1000</v>
      </c>
      <c r="I93" s="1" t="str">
        <f t="shared" si="15"/>
        <v>Sim</v>
      </c>
      <c r="K93" s="2" t="s">
        <v>23</v>
      </c>
      <c r="L93" s="2" t="s">
        <v>277</v>
      </c>
      <c r="M93" s="3" t="s">
        <v>278</v>
      </c>
      <c r="N93" s="4">
        <f ca="1">DATEDIF(O93,TODAY(),"Y")</f>
        <v>60</v>
      </c>
      <c r="O93" s="5">
        <v>24362</v>
      </c>
      <c r="P93" s="2" t="s">
        <v>276</v>
      </c>
      <c r="Q93" s="2" t="s">
        <v>91</v>
      </c>
      <c r="R93" s="6">
        <v>18900</v>
      </c>
      <c r="S93" s="6">
        <v>1000</v>
      </c>
      <c r="T93" s="7" t="s">
        <v>28</v>
      </c>
      <c r="U93" s="2">
        <v>42</v>
      </c>
      <c r="V93" s="2" t="str">
        <f>IF(Tabela1[[#This Row],[qtde_batalhas]]&lt;=10,"Baixo",IF(Tabela1[[#This Row],[qtde_batalhas]]&lt;=25,"Médio","Alto"))</f>
        <v>Alto</v>
      </c>
      <c r="W93" s="2" t="s">
        <v>28</v>
      </c>
      <c r="X93" s="6">
        <v>16500</v>
      </c>
      <c r="Y93" s="2" t="str">
        <f t="shared" si="8"/>
        <v>Negado</v>
      </c>
      <c r="Z93" s="1" t="str">
        <f t="shared" si="9"/>
        <v>Aprovado</v>
      </c>
      <c r="AA93" s="26">
        <f t="shared" si="10"/>
        <v>0</v>
      </c>
    </row>
    <row r="94" spans="1:27">
      <c r="A94" s="16">
        <f ca="1">YEAR(TODAY())-Tabela1[[#This Row],[idade]]</f>
        <v>1954</v>
      </c>
      <c r="B94" s="1">
        <f t="shared" ca="1" si="11"/>
        <v>72</v>
      </c>
      <c r="C94" s="1" t="str">
        <f>PROPER(Tabela1[[#This Row],[nome]])</f>
        <v>Renly Dayne</v>
      </c>
      <c r="D94" s="1" t="str">
        <f t="shared" si="12"/>
        <v>000.000.065-00</v>
      </c>
      <c r="G94" s="26">
        <f t="shared" si="13"/>
        <v>21000</v>
      </c>
      <c r="H94" s="26">
        <f t="shared" si="14"/>
        <v>0</v>
      </c>
      <c r="I94" s="1" t="str">
        <f t="shared" si="15"/>
        <v>Não</v>
      </c>
      <c r="K94" s="2" t="s">
        <v>29</v>
      </c>
      <c r="L94" s="2" t="s">
        <v>279</v>
      </c>
      <c r="M94" s="3" t="s">
        <v>280</v>
      </c>
      <c r="N94" s="4">
        <f ca="1">DATEDIF(O94,TODAY(),"Y")</f>
        <v>72</v>
      </c>
      <c r="O94" s="5">
        <v>19672</v>
      </c>
      <c r="P94" s="2" t="s">
        <v>133</v>
      </c>
      <c r="Q94" s="2" t="s">
        <v>133</v>
      </c>
      <c r="R94" s="6">
        <v>21000</v>
      </c>
      <c r="S94" s="6">
        <v>0</v>
      </c>
      <c r="T94" s="7" t="s">
        <v>140</v>
      </c>
      <c r="U94" s="2">
        <v>11</v>
      </c>
      <c r="V94" s="2" t="str">
        <f>IF(Tabela1[[#This Row],[qtde_batalhas]]&lt;=10,"Baixo",IF(Tabela1[[#This Row],[qtde_batalhas]]&lt;=25,"Médio","Alto"))</f>
        <v>Médio</v>
      </c>
      <c r="W94" s="2" t="s">
        <v>140</v>
      </c>
      <c r="X94" s="6">
        <v>75500</v>
      </c>
      <c r="Y94" s="2" t="str">
        <f t="shared" si="8"/>
        <v>Aprovado</v>
      </c>
      <c r="Z94" s="1" t="str">
        <f t="shared" si="9"/>
        <v>Aprovado</v>
      </c>
      <c r="AA94" s="26">
        <f t="shared" si="10"/>
        <v>0</v>
      </c>
    </row>
    <row r="95" spans="1:27">
      <c r="A95" s="16">
        <f ca="1">YEAR(TODAY())-Tabela1[[#This Row],[idade]]</f>
        <v>1984</v>
      </c>
      <c r="B95" s="1">
        <f t="shared" ca="1" si="11"/>
        <v>42</v>
      </c>
      <c r="C95" s="1" t="str">
        <f>PROPER(Tabela1[[#This Row],[nome]])</f>
        <v>Missandei Karstark</v>
      </c>
      <c r="D95" s="1" t="str">
        <f t="shared" si="12"/>
        <v>000.000.044-00</v>
      </c>
      <c r="G95" s="26">
        <f t="shared" si="13"/>
        <v>6000</v>
      </c>
      <c r="H95" s="26">
        <f t="shared" si="14"/>
        <v>55000</v>
      </c>
      <c r="I95" s="1" t="str">
        <f t="shared" si="15"/>
        <v>Não</v>
      </c>
      <c r="K95" s="2" t="s">
        <v>23</v>
      </c>
      <c r="L95" s="2" t="s">
        <v>281</v>
      </c>
      <c r="M95" s="3" t="s">
        <v>282</v>
      </c>
      <c r="N95" s="4">
        <f ca="1">DATEDIF(O95,TODAY(),"Y")</f>
        <v>42</v>
      </c>
      <c r="O95" s="5">
        <v>30666</v>
      </c>
      <c r="P95" s="2" t="s">
        <v>37</v>
      </c>
      <c r="Q95" s="2" t="s">
        <v>814</v>
      </c>
      <c r="R95" s="6">
        <v>6000</v>
      </c>
      <c r="S95" s="6">
        <v>55000</v>
      </c>
      <c r="T95" s="7" t="s">
        <v>49</v>
      </c>
      <c r="U95" s="2">
        <v>5</v>
      </c>
      <c r="V95" s="2" t="str">
        <f>IF(Tabela1[[#This Row],[qtde_batalhas]]&lt;=10,"Baixo",IF(Tabela1[[#This Row],[qtde_batalhas]]&lt;=25,"Médio","Alto"))</f>
        <v>Baixo</v>
      </c>
      <c r="W95" s="2" t="s">
        <v>49</v>
      </c>
      <c r="X95" s="6">
        <v>10000</v>
      </c>
      <c r="Y95" s="2" t="str">
        <f t="shared" si="8"/>
        <v>Aprovado</v>
      </c>
      <c r="Z95" s="1" t="str">
        <f t="shared" si="9"/>
        <v>Aprovado</v>
      </c>
      <c r="AA95" s="26">
        <f t="shared" si="10"/>
        <v>10800</v>
      </c>
    </row>
    <row r="96" spans="1:27">
      <c r="A96" s="16">
        <f ca="1">YEAR(TODAY())-Tabela1[[#This Row],[idade]]</f>
        <v>1966</v>
      </c>
      <c r="B96" s="1">
        <f t="shared" ca="1" si="11"/>
        <v>60</v>
      </c>
      <c r="C96" s="1" t="str">
        <f>PROPER(Tabela1[[#This Row],[nome]])</f>
        <v>Catelyn Cerwyn</v>
      </c>
      <c r="D96" s="1" t="str">
        <f t="shared" si="12"/>
        <v>000.000.308-00</v>
      </c>
      <c r="G96" s="26">
        <f t="shared" si="13"/>
        <v>13800</v>
      </c>
      <c r="H96" s="26">
        <f t="shared" si="14"/>
        <v>45500</v>
      </c>
      <c r="I96" s="1" t="str">
        <f t="shared" si="15"/>
        <v>Não</v>
      </c>
      <c r="K96" s="2" t="s">
        <v>23</v>
      </c>
      <c r="L96" s="2" t="s">
        <v>284</v>
      </c>
      <c r="M96" s="3" t="s">
        <v>285</v>
      </c>
      <c r="N96" s="4">
        <f ca="1">DATEDIF(O96,TODAY(),"Y")</f>
        <v>60</v>
      </c>
      <c r="O96" s="5">
        <v>24082</v>
      </c>
      <c r="P96" s="2" t="s">
        <v>194</v>
      </c>
      <c r="Q96" s="2" t="s">
        <v>408</v>
      </c>
      <c r="R96" s="6">
        <v>13800</v>
      </c>
      <c r="S96" s="6">
        <v>45500</v>
      </c>
      <c r="T96" s="7" t="s">
        <v>49</v>
      </c>
      <c r="U96" s="2">
        <v>30</v>
      </c>
      <c r="V96" s="2" t="str">
        <f>IF(Tabela1[[#This Row],[qtde_batalhas]]&lt;=10,"Baixo",IF(Tabela1[[#This Row],[qtde_batalhas]]&lt;=25,"Médio","Alto"))</f>
        <v>Alto</v>
      </c>
      <c r="W96" s="2" t="s">
        <v>49</v>
      </c>
      <c r="X96" s="6">
        <v>17500</v>
      </c>
      <c r="Y96" s="2" t="str">
        <f t="shared" si="8"/>
        <v>Aprovado</v>
      </c>
      <c r="Z96" s="1" t="str">
        <f t="shared" si="9"/>
        <v>Aprovado</v>
      </c>
      <c r="AA96" s="26">
        <f t="shared" si="10"/>
        <v>18900</v>
      </c>
    </row>
    <row r="97" spans="1:27">
      <c r="A97" s="16">
        <f ca="1">YEAR(TODAY())-Tabela1[[#This Row],[idade]]</f>
        <v>1990</v>
      </c>
      <c r="B97" s="1">
        <f t="shared" ca="1" si="11"/>
        <v>36</v>
      </c>
      <c r="C97" s="1" t="str">
        <f>PROPER(Tabela1[[#This Row],[nome]])</f>
        <v>Margaery Ilhasyne</v>
      </c>
      <c r="D97" s="1" t="str">
        <f t="shared" si="12"/>
        <v>000.000.276-00</v>
      </c>
      <c r="G97" s="26">
        <f t="shared" si="13"/>
        <v>23900</v>
      </c>
      <c r="H97" s="26">
        <f t="shared" si="14"/>
        <v>58000</v>
      </c>
      <c r="I97" s="1" t="str">
        <f t="shared" si="15"/>
        <v>Não</v>
      </c>
      <c r="K97" s="2" t="s">
        <v>23</v>
      </c>
      <c r="L97" s="2" t="s">
        <v>815</v>
      </c>
      <c r="M97" s="3" t="s">
        <v>287</v>
      </c>
      <c r="N97" s="4">
        <f ca="1">DATEDIF(O97,TODAY(),"Y")</f>
        <v>36</v>
      </c>
      <c r="O97" s="5">
        <v>32791</v>
      </c>
      <c r="P97" s="2" t="s">
        <v>122</v>
      </c>
      <c r="Q97" s="2" t="s">
        <v>98</v>
      </c>
      <c r="R97" s="6">
        <v>23900</v>
      </c>
      <c r="S97" s="6">
        <v>58000</v>
      </c>
      <c r="T97" s="7" t="s">
        <v>49</v>
      </c>
      <c r="U97" s="2">
        <v>27</v>
      </c>
      <c r="V97" s="2" t="str">
        <f>IF(Tabela1[[#This Row],[qtde_batalhas]]&lt;=10,"Baixo",IF(Tabela1[[#This Row],[qtde_batalhas]]&lt;=25,"Médio","Alto"))</f>
        <v>Alto</v>
      </c>
      <c r="W97" s="2" t="s">
        <v>49</v>
      </c>
      <c r="X97" s="6">
        <v>38000</v>
      </c>
      <c r="Y97" s="2" t="str">
        <f t="shared" si="8"/>
        <v>Aprovado</v>
      </c>
      <c r="Z97" s="1" t="str">
        <f t="shared" si="9"/>
        <v>Aprovado</v>
      </c>
      <c r="AA97" s="26">
        <f t="shared" si="10"/>
        <v>41040</v>
      </c>
    </row>
    <row r="98" spans="1:27">
      <c r="A98" s="16">
        <f ca="1">YEAR(TODAY())-Tabela1[[#This Row],[idade]]</f>
        <v>1952</v>
      </c>
      <c r="B98" s="1">
        <f t="shared" ca="1" si="11"/>
        <v>74</v>
      </c>
      <c r="C98" s="1" t="str">
        <f>PROPER(Tabela1[[#This Row],[nome]])</f>
        <v>Rickon Karstark</v>
      </c>
      <c r="D98" s="1" t="str">
        <f t="shared" si="12"/>
        <v>000.000.088-00</v>
      </c>
      <c r="G98" s="26">
        <f t="shared" si="13"/>
        <v>7300</v>
      </c>
      <c r="H98" s="26">
        <f t="shared" si="14"/>
        <v>1000</v>
      </c>
      <c r="I98" s="1" t="str">
        <f t="shared" si="15"/>
        <v>Não</v>
      </c>
      <c r="K98" s="2" t="s">
        <v>23</v>
      </c>
      <c r="L98" s="2" t="s">
        <v>288</v>
      </c>
      <c r="M98" s="3" t="s">
        <v>289</v>
      </c>
      <c r="N98" s="4">
        <f ca="1">DATEDIF(O98,TODAY(),"Y")</f>
        <v>74</v>
      </c>
      <c r="O98" s="5">
        <v>19121</v>
      </c>
      <c r="P98" s="2" t="s">
        <v>90</v>
      </c>
      <c r="Q98" s="2" t="s">
        <v>91</v>
      </c>
      <c r="R98" s="6">
        <v>7300</v>
      </c>
      <c r="S98" s="6">
        <v>1000</v>
      </c>
      <c r="T98" s="7" t="s">
        <v>49</v>
      </c>
      <c r="U98" s="2">
        <v>3</v>
      </c>
      <c r="V98" s="2" t="str">
        <f>IF(Tabela1[[#This Row],[qtde_batalhas]]&lt;=10,"Baixo",IF(Tabela1[[#This Row],[qtde_batalhas]]&lt;=25,"Médio","Alto"))</f>
        <v>Baixo</v>
      </c>
      <c r="W98" s="2" t="s">
        <v>49</v>
      </c>
      <c r="X98" s="6">
        <v>50500</v>
      </c>
      <c r="Y98" s="2" t="str">
        <f t="shared" si="8"/>
        <v>Aprovado</v>
      </c>
      <c r="Z98" s="1" t="str">
        <f t="shared" si="9"/>
        <v>Aprovado</v>
      </c>
      <c r="AA98" s="26">
        <f t="shared" si="10"/>
        <v>54540</v>
      </c>
    </row>
    <row r="99" spans="1:27">
      <c r="A99" s="16">
        <f ca="1">YEAR(TODAY())-Tabela1[[#This Row],[idade]]</f>
        <v>1960</v>
      </c>
      <c r="B99" s="1">
        <f t="shared" ca="1" si="11"/>
        <v>66</v>
      </c>
      <c r="C99" s="1" t="str">
        <f>PROPER(Tabela1[[#This Row],[nome]])</f>
        <v>Jorah Seaworth</v>
      </c>
      <c r="D99" s="1" t="str">
        <f t="shared" si="12"/>
        <v>-</v>
      </c>
      <c r="G99" s="26">
        <f t="shared" si="13"/>
        <v>28800</v>
      </c>
      <c r="H99" s="26">
        <f t="shared" si="14"/>
        <v>16000</v>
      </c>
      <c r="I99" s="1" t="str">
        <f t="shared" si="15"/>
        <v>Sim</v>
      </c>
      <c r="K99" s="2" t="s">
        <v>23</v>
      </c>
      <c r="L99" s="2" t="s">
        <v>290</v>
      </c>
      <c r="M99" s="3">
        <v>20700</v>
      </c>
      <c r="N99" s="4">
        <f ca="1">DATEDIF(O99,TODAY(),"Y")</f>
        <v>66</v>
      </c>
      <c r="O99" s="5">
        <v>22151</v>
      </c>
      <c r="P99" s="2" t="s">
        <v>797</v>
      </c>
      <c r="Q99" s="2" t="s">
        <v>798</v>
      </c>
      <c r="R99" s="6">
        <v>28800</v>
      </c>
      <c r="S99" s="6">
        <v>16000</v>
      </c>
      <c r="T99" s="7" t="s">
        <v>28</v>
      </c>
      <c r="U99" s="2">
        <v>44</v>
      </c>
      <c r="V99" s="2" t="str">
        <f>IF(Tabela1[[#This Row],[qtde_batalhas]]&lt;=10,"Baixo",IF(Tabela1[[#This Row],[qtde_batalhas]]&lt;=25,"Médio","Alto"))</f>
        <v>Alto</v>
      </c>
      <c r="W99" s="2" t="s">
        <v>28</v>
      </c>
      <c r="X99" s="6">
        <v>59000</v>
      </c>
      <c r="Y99" s="2" t="str">
        <f t="shared" si="8"/>
        <v>Negado</v>
      </c>
      <c r="Z99" s="1" t="str">
        <f t="shared" si="9"/>
        <v>Aprovado</v>
      </c>
      <c r="AA99" s="26">
        <f t="shared" si="10"/>
        <v>0</v>
      </c>
    </row>
    <row r="100" spans="1:27">
      <c r="A100" s="16">
        <f ca="1">YEAR(TODAY())-Tabela1[[#This Row],[idade]]</f>
        <v>1992</v>
      </c>
      <c r="B100" s="1">
        <f t="shared" ca="1" si="11"/>
        <v>34</v>
      </c>
      <c r="C100" s="1" t="str">
        <f>PROPER(Tabela1[[#This Row],[nome]])</f>
        <v>Stannis Redwyne</v>
      </c>
      <c r="D100" s="1" t="str">
        <f t="shared" si="12"/>
        <v>000.000.216-00</v>
      </c>
      <c r="G100" s="26">
        <f t="shared" si="13"/>
        <v>5100</v>
      </c>
      <c r="H100" s="26">
        <f t="shared" si="14"/>
        <v>17000</v>
      </c>
      <c r="I100" s="1" t="str">
        <f t="shared" si="15"/>
        <v>Não</v>
      </c>
      <c r="K100" s="2" t="s">
        <v>23</v>
      </c>
      <c r="L100" s="2" t="s">
        <v>292</v>
      </c>
      <c r="M100" s="3" t="s">
        <v>293</v>
      </c>
      <c r="N100" s="4">
        <f ca="1">DATEDIF(O100,TODAY(),"Y")</f>
        <v>34</v>
      </c>
      <c r="O100" s="5">
        <v>33835</v>
      </c>
      <c r="P100" s="2" t="s">
        <v>816</v>
      </c>
      <c r="Q100" s="2" t="s">
        <v>817</v>
      </c>
      <c r="R100" s="6">
        <v>5100</v>
      </c>
      <c r="S100" s="6">
        <v>17000</v>
      </c>
      <c r="T100" s="7" t="s">
        <v>49</v>
      </c>
      <c r="U100" s="2">
        <v>3</v>
      </c>
      <c r="V100" s="2" t="str">
        <f>IF(Tabela1[[#This Row],[qtde_batalhas]]&lt;=10,"Baixo",IF(Tabela1[[#This Row],[qtde_batalhas]]&lt;=25,"Médio","Alto"))</f>
        <v>Baixo</v>
      </c>
      <c r="W100" s="2" t="s">
        <v>49</v>
      </c>
      <c r="X100" s="6">
        <v>4500</v>
      </c>
      <c r="Y100" s="2" t="str">
        <f t="shared" si="8"/>
        <v>Aprovado</v>
      </c>
      <c r="Z100" s="1" t="str">
        <f t="shared" si="9"/>
        <v>Aprovado</v>
      </c>
      <c r="AA100" s="26">
        <f t="shared" si="10"/>
        <v>4860</v>
      </c>
    </row>
    <row r="101" spans="1:27">
      <c r="A101" s="16">
        <f ca="1">YEAR(TODAY())-Tabela1[[#This Row],[idade]]</f>
        <v>1961</v>
      </c>
      <c r="B101" s="1">
        <f t="shared" ca="1" si="11"/>
        <v>65</v>
      </c>
      <c r="C101" s="1" t="str">
        <f>PROPER(Tabela1[[#This Row],[nome]])</f>
        <v>Yara Royce</v>
      </c>
      <c r="D101" s="1" t="str">
        <f t="shared" si="12"/>
        <v>000.000.277-00</v>
      </c>
      <c r="G101" s="26">
        <f t="shared" si="13"/>
        <v>12700</v>
      </c>
      <c r="H101" s="26">
        <f t="shared" si="14"/>
        <v>60500</v>
      </c>
      <c r="I101" s="1" t="str">
        <f t="shared" si="15"/>
        <v>Não</v>
      </c>
      <c r="K101" s="2" t="s">
        <v>23</v>
      </c>
      <c r="L101" s="2" t="s">
        <v>262</v>
      </c>
      <c r="M101" s="3" t="s">
        <v>296</v>
      </c>
      <c r="N101" s="4">
        <f ca="1">DATEDIF(O101,TODAY(),"Y")</f>
        <v>65</v>
      </c>
      <c r="O101" s="5">
        <v>22436</v>
      </c>
      <c r="P101" s="2" t="s">
        <v>26</v>
      </c>
      <c r="Q101" s="2" t="s">
        <v>27</v>
      </c>
      <c r="R101" s="6">
        <v>12700</v>
      </c>
      <c r="S101" s="6">
        <v>60500</v>
      </c>
      <c r="T101" s="7" t="s">
        <v>49</v>
      </c>
      <c r="U101" s="2">
        <v>36</v>
      </c>
      <c r="V101" s="2" t="str">
        <f>IF(Tabela1[[#This Row],[qtde_batalhas]]&lt;=10,"Baixo",IF(Tabela1[[#This Row],[qtde_batalhas]]&lt;=25,"Médio","Alto"))</f>
        <v>Alto</v>
      </c>
      <c r="W101" s="2" t="s">
        <v>49</v>
      </c>
      <c r="X101" s="6">
        <v>28000</v>
      </c>
      <c r="Y101" s="2" t="str">
        <f t="shared" si="8"/>
        <v>Aprovado</v>
      </c>
      <c r="Z101" s="1" t="str">
        <f t="shared" si="9"/>
        <v>Aprovado</v>
      </c>
      <c r="AA101" s="26">
        <f t="shared" si="10"/>
        <v>30240.000000000004</v>
      </c>
    </row>
    <row r="102" spans="1:27">
      <c r="A102" s="16">
        <f ca="1">YEAR(TODAY())-Tabela1[[#This Row],[idade]]</f>
        <v>1958</v>
      </c>
      <c r="B102" s="1">
        <f t="shared" ca="1" si="11"/>
        <v>68</v>
      </c>
      <c r="C102" s="1" t="str">
        <f>PROPER(Tabela1[[#This Row],[nome]])</f>
        <v>Loras Baelish</v>
      </c>
      <c r="D102" s="1" t="str">
        <f t="shared" si="12"/>
        <v>000.000.217-00</v>
      </c>
      <c r="G102" s="26">
        <f t="shared" si="13"/>
        <v>8200</v>
      </c>
      <c r="H102" s="26">
        <f t="shared" si="14"/>
        <v>66000</v>
      </c>
      <c r="I102" s="1" t="str">
        <f t="shared" si="15"/>
        <v>Não</v>
      </c>
      <c r="K102" s="2" t="s">
        <v>29</v>
      </c>
      <c r="L102" s="2" t="s">
        <v>297</v>
      </c>
      <c r="M102" s="3" t="s">
        <v>298</v>
      </c>
      <c r="N102" s="4">
        <f ca="1">DATEDIF(O102,TODAY(),"Y")</f>
        <v>68</v>
      </c>
      <c r="O102" s="5">
        <v>21205</v>
      </c>
      <c r="P102" s="2" t="s">
        <v>122</v>
      </c>
      <c r="Q102" s="2" t="s">
        <v>98</v>
      </c>
      <c r="R102" s="6">
        <v>8200</v>
      </c>
      <c r="S102" s="6">
        <v>66000</v>
      </c>
      <c r="T102" s="7" t="s">
        <v>49</v>
      </c>
      <c r="U102" s="2">
        <v>16</v>
      </c>
      <c r="V102" s="2" t="str">
        <f>IF(Tabela1[[#This Row],[qtde_batalhas]]&lt;=10,"Baixo",IF(Tabela1[[#This Row],[qtde_batalhas]]&lt;=25,"Médio","Alto"))</f>
        <v>Médio</v>
      </c>
      <c r="W102" s="2" t="s">
        <v>49</v>
      </c>
      <c r="X102" s="6">
        <v>84000</v>
      </c>
      <c r="Y102" s="2" t="str">
        <f t="shared" si="8"/>
        <v>Aprovado</v>
      </c>
      <c r="Z102" s="1" t="str">
        <f t="shared" si="9"/>
        <v>Aprovado</v>
      </c>
      <c r="AA102" s="26">
        <f t="shared" si="10"/>
        <v>0</v>
      </c>
    </row>
    <row r="103" spans="1:27">
      <c r="A103" s="16">
        <f ca="1">YEAR(TODAY())-Tabela1[[#This Row],[idade]]</f>
        <v>1967</v>
      </c>
      <c r="B103" s="1">
        <f t="shared" ca="1" si="11"/>
        <v>59</v>
      </c>
      <c r="C103" s="1" t="str">
        <f>PROPER(Tabela1[[#This Row],[nome]])</f>
        <v>Viserys Florent</v>
      </c>
      <c r="D103" s="1" t="str">
        <f t="shared" si="12"/>
        <v>000.000.129-00</v>
      </c>
      <c r="G103" s="26">
        <f t="shared" si="13"/>
        <v>15200</v>
      </c>
      <c r="H103" s="26">
        <f t="shared" si="14"/>
        <v>11000</v>
      </c>
      <c r="I103" s="1" t="str">
        <f t="shared" si="15"/>
        <v>Não</v>
      </c>
      <c r="K103" s="2" t="s">
        <v>29</v>
      </c>
      <c r="L103" s="2" t="s">
        <v>299</v>
      </c>
      <c r="M103" s="3" t="s">
        <v>300</v>
      </c>
      <c r="N103" s="4">
        <f ca="1">DATEDIF(O103,TODAY(),"Y")</f>
        <v>59</v>
      </c>
      <c r="O103" s="5">
        <v>24554</v>
      </c>
      <c r="P103" s="2" t="s">
        <v>70</v>
      </c>
      <c r="Q103" s="2" t="s">
        <v>71</v>
      </c>
      <c r="R103" s="6">
        <v>15200</v>
      </c>
      <c r="S103" s="6">
        <v>11000</v>
      </c>
      <c r="T103" s="7" t="s">
        <v>49</v>
      </c>
      <c r="U103" s="2">
        <v>27</v>
      </c>
      <c r="V103" s="2" t="str">
        <f>IF(Tabela1[[#This Row],[qtde_batalhas]]&lt;=10,"Baixo",IF(Tabela1[[#This Row],[qtde_batalhas]]&lt;=25,"Médio","Alto"))</f>
        <v>Alto</v>
      </c>
      <c r="W103" s="2" t="s">
        <v>49</v>
      </c>
      <c r="X103" s="6">
        <v>87000</v>
      </c>
      <c r="Y103" s="2" t="str">
        <f t="shared" si="8"/>
        <v>Aprovado</v>
      </c>
      <c r="Z103" s="1" t="str">
        <f t="shared" si="9"/>
        <v>Aprovado</v>
      </c>
      <c r="AA103" s="26">
        <f t="shared" si="10"/>
        <v>0</v>
      </c>
    </row>
    <row r="104" spans="1:27">
      <c r="A104" s="16">
        <f ca="1">YEAR(TODAY())-Tabela1[[#This Row],[idade]]</f>
        <v>1997</v>
      </c>
      <c r="B104" s="1">
        <f t="shared" ca="1" si="11"/>
        <v>29</v>
      </c>
      <c r="C104" s="1" t="str">
        <f>PROPER(Tabela1[[#This Row],[nome]])</f>
        <v>Jon Marbrand</v>
      </c>
      <c r="D104" s="1" t="str">
        <f t="shared" si="12"/>
        <v>000.000.359-00</v>
      </c>
      <c r="G104" s="26">
        <f t="shared" si="13"/>
        <v>10000</v>
      </c>
      <c r="H104" s="26">
        <f t="shared" si="14"/>
        <v>25500</v>
      </c>
      <c r="I104" s="1" t="str">
        <f t="shared" si="15"/>
        <v>Não</v>
      </c>
      <c r="K104" s="2" t="s">
        <v>23</v>
      </c>
      <c r="L104" s="2" t="s">
        <v>301</v>
      </c>
      <c r="M104" s="3" t="s">
        <v>302</v>
      </c>
      <c r="N104" s="4">
        <f ca="1">DATEDIF(O104,TODAY(),"Y")</f>
        <v>29</v>
      </c>
      <c r="O104" s="5">
        <v>35600</v>
      </c>
      <c r="P104" s="2" t="s">
        <v>174</v>
      </c>
      <c r="Q104" s="2" t="s">
        <v>814</v>
      </c>
      <c r="R104" s="6">
        <v>10000</v>
      </c>
      <c r="S104" s="6">
        <v>25500</v>
      </c>
      <c r="T104" s="7" t="s">
        <v>49</v>
      </c>
      <c r="U104" s="2">
        <v>15</v>
      </c>
      <c r="V104" s="2" t="str">
        <f>IF(Tabela1[[#This Row],[qtde_batalhas]]&lt;=10,"Baixo",IF(Tabela1[[#This Row],[qtde_batalhas]]&lt;=25,"Médio","Alto"))</f>
        <v>Médio</v>
      </c>
      <c r="W104" s="2" t="s">
        <v>49</v>
      </c>
      <c r="X104" s="6">
        <v>66000</v>
      </c>
      <c r="Y104" s="2" t="str">
        <f t="shared" si="8"/>
        <v>Aprovado</v>
      </c>
      <c r="Z104" s="1" t="str">
        <f t="shared" si="9"/>
        <v>Aprovado</v>
      </c>
      <c r="AA104" s="26">
        <f t="shared" si="10"/>
        <v>71280</v>
      </c>
    </row>
    <row r="105" spans="1:27">
      <c r="A105" s="16">
        <f ca="1">YEAR(TODAY())-Tabela1[[#This Row],[idade]]</f>
        <v>1957</v>
      </c>
      <c r="B105" s="1">
        <f t="shared" ca="1" si="11"/>
        <v>70</v>
      </c>
      <c r="C105" s="1" t="str">
        <f>PROPER(Tabela1[[#This Row],[nome]])</f>
        <v>Aegon Bracken</v>
      </c>
      <c r="D105" s="1" t="str">
        <f t="shared" si="12"/>
        <v>000.000.244-00</v>
      </c>
      <c r="G105" s="26">
        <f t="shared" si="13"/>
        <v>8100</v>
      </c>
      <c r="H105" s="26">
        <f t="shared" si="14"/>
        <v>27500</v>
      </c>
      <c r="I105" s="1" t="str">
        <f t="shared" si="15"/>
        <v>Não</v>
      </c>
      <c r="K105" s="2" t="s">
        <v>23</v>
      </c>
      <c r="L105" s="2" t="s">
        <v>303</v>
      </c>
      <c r="M105" s="3" t="s">
        <v>304</v>
      </c>
      <c r="N105" s="4">
        <f ca="1">DATEDIF(O105,TODAY(),"Y")</f>
        <v>69</v>
      </c>
      <c r="O105" s="5">
        <v>20725</v>
      </c>
      <c r="P105" s="2" t="s">
        <v>87</v>
      </c>
      <c r="Q105" s="2" t="s">
        <v>818</v>
      </c>
      <c r="R105" s="6">
        <v>8100</v>
      </c>
      <c r="S105" s="6">
        <v>27500</v>
      </c>
      <c r="T105" s="7" t="s">
        <v>49</v>
      </c>
      <c r="U105" s="2">
        <v>42</v>
      </c>
      <c r="V105" s="2" t="str">
        <f>IF(Tabela1[[#This Row],[qtde_batalhas]]&lt;=10,"Baixo",IF(Tabela1[[#This Row],[qtde_batalhas]]&lt;=25,"Médio","Alto"))</f>
        <v>Alto</v>
      </c>
      <c r="W105" s="2" t="s">
        <v>49</v>
      </c>
      <c r="X105" s="6">
        <v>72500</v>
      </c>
      <c r="Y105" s="2" t="str">
        <f t="shared" si="8"/>
        <v>Aprovado</v>
      </c>
      <c r="Z105" s="1" t="str">
        <f t="shared" si="9"/>
        <v>Aprovado</v>
      </c>
      <c r="AA105" s="26">
        <f t="shared" si="10"/>
        <v>78300</v>
      </c>
    </row>
    <row r="106" spans="1:27">
      <c r="A106" s="16">
        <f ca="1">YEAR(TODAY())-Tabela1[[#This Row],[idade]]</f>
        <v>1989</v>
      </c>
      <c r="B106" s="1">
        <f t="shared" ca="1" si="11"/>
        <v>37</v>
      </c>
      <c r="C106" s="1" t="str">
        <f>PROPER(Tabela1[[#This Row],[nome]])</f>
        <v>Ilhasenerys Tallhart</v>
      </c>
      <c r="D106" s="1" t="str">
        <f t="shared" si="12"/>
        <v>000.000.092-00</v>
      </c>
      <c r="G106" s="26">
        <f t="shared" si="13"/>
        <v>29200</v>
      </c>
      <c r="H106" s="26">
        <f t="shared" si="14"/>
        <v>45000</v>
      </c>
      <c r="I106" s="1" t="str">
        <f t="shared" si="15"/>
        <v>Não</v>
      </c>
      <c r="K106" s="2" t="s">
        <v>23</v>
      </c>
      <c r="L106" s="2" t="s">
        <v>808</v>
      </c>
      <c r="M106" s="3" t="s">
        <v>242</v>
      </c>
      <c r="N106" s="4">
        <f ca="1">DATEDIF(O106,TODAY(),"Y")</f>
        <v>37</v>
      </c>
      <c r="O106" s="5">
        <v>32543</v>
      </c>
      <c r="P106" s="2" t="s">
        <v>97</v>
      </c>
      <c r="Q106" s="2" t="s">
        <v>98</v>
      </c>
      <c r="R106" s="6">
        <v>29200</v>
      </c>
      <c r="S106" s="6">
        <v>45000</v>
      </c>
      <c r="T106" s="7" t="s">
        <v>49</v>
      </c>
      <c r="U106" s="2">
        <v>26</v>
      </c>
      <c r="V106" s="2" t="str">
        <f>IF(Tabela1[[#This Row],[qtde_batalhas]]&lt;=10,"Baixo",IF(Tabela1[[#This Row],[qtde_batalhas]]&lt;=25,"Médio","Alto"))</f>
        <v>Alto</v>
      </c>
      <c r="W106" s="2" t="s">
        <v>49</v>
      </c>
      <c r="X106" s="6">
        <v>78000</v>
      </c>
      <c r="Y106" s="2" t="str">
        <f t="shared" si="8"/>
        <v>Aprovado</v>
      </c>
      <c r="Z106" s="1" t="str">
        <f t="shared" si="9"/>
        <v>Aprovado</v>
      </c>
      <c r="AA106" s="26">
        <f t="shared" si="10"/>
        <v>84240</v>
      </c>
    </row>
    <row r="107" spans="1:27">
      <c r="A107" s="16">
        <f ca="1">YEAR(TODAY())-Tabela1[[#This Row],[idade]]</f>
        <v>1996</v>
      </c>
      <c r="B107" s="1">
        <f t="shared" ca="1" si="11"/>
        <v>30</v>
      </c>
      <c r="C107" s="1" t="str">
        <f>PROPER(Tabela1[[#This Row],[nome]])</f>
        <v>Loras Payne</v>
      </c>
      <c r="D107" s="1" t="str">
        <f t="shared" si="12"/>
        <v>000.000.027-00</v>
      </c>
      <c r="G107" s="26">
        <f t="shared" si="13"/>
        <v>26500</v>
      </c>
      <c r="H107" s="26">
        <f t="shared" si="14"/>
        <v>14500</v>
      </c>
      <c r="I107" s="1" t="str">
        <f t="shared" si="15"/>
        <v>Não</v>
      </c>
      <c r="K107" s="2" t="s">
        <v>29</v>
      </c>
      <c r="L107" s="2" t="s">
        <v>306</v>
      </c>
      <c r="M107" s="3" t="s">
        <v>307</v>
      </c>
      <c r="N107" s="4">
        <f ca="1">DATEDIF(O107,TODAY(),"Y")</f>
        <v>30</v>
      </c>
      <c r="O107" s="5">
        <v>35200</v>
      </c>
      <c r="P107" s="2" t="s">
        <v>76</v>
      </c>
      <c r="Q107" s="2" t="s">
        <v>71</v>
      </c>
      <c r="R107" s="6">
        <v>26500</v>
      </c>
      <c r="S107" s="6">
        <v>14500</v>
      </c>
      <c r="T107" s="7">
        <v>0</v>
      </c>
      <c r="U107" s="2">
        <v>15</v>
      </c>
      <c r="V107" s="2" t="str">
        <f>IF(Tabela1[[#This Row],[qtde_batalhas]]&lt;=10,"Baixo",IF(Tabela1[[#This Row],[qtde_batalhas]]&lt;=25,"Médio","Alto"))</f>
        <v>Médio</v>
      </c>
      <c r="W107" s="2">
        <v>0</v>
      </c>
      <c r="X107" s="6">
        <v>65500</v>
      </c>
      <c r="Y107" s="2" t="str">
        <f t="shared" si="8"/>
        <v>Aprovado</v>
      </c>
      <c r="Z107" s="1" t="str">
        <f t="shared" si="9"/>
        <v>Aprovado</v>
      </c>
      <c r="AA107" s="26">
        <f t="shared" si="10"/>
        <v>0</v>
      </c>
    </row>
    <row r="108" spans="1:27">
      <c r="A108" s="16">
        <f ca="1">YEAR(TODAY())-Tabela1[[#This Row],[idade]]</f>
        <v>1968</v>
      </c>
      <c r="B108" s="1">
        <f t="shared" ca="1" si="11"/>
        <v>58</v>
      </c>
      <c r="C108" s="1" t="str">
        <f>PROPER(Tabela1[[#This Row],[nome]])</f>
        <v>Missandei  Tarly</v>
      </c>
      <c r="D108" s="1" t="str">
        <f t="shared" si="12"/>
        <v>000.000.196-00</v>
      </c>
      <c r="G108" s="26">
        <f t="shared" si="13"/>
        <v>12400</v>
      </c>
      <c r="H108" s="26">
        <f t="shared" si="14"/>
        <v>21500</v>
      </c>
      <c r="I108" s="1" t="str">
        <f t="shared" si="15"/>
        <v>Sim</v>
      </c>
      <c r="K108" s="2" t="s">
        <v>23</v>
      </c>
      <c r="L108" s="2" t="s">
        <v>819</v>
      </c>
      <c r="M108" s="3" t="s">
        <v>309</v>
      </c>
      <c r="N108" s="4">
        <f ca="1">DATEDIF(O108,TODAY(),"Y")</f>
        <v>58</v>
      </c>
      <c r="O108" s="5">
        <v>24905</v>
      </c>
      <c r="P108" s="2" t="s">
        <v>70</v>
      </c>
      <c r="Q108" s="2" t="s">
        <v>71</v>
      </c>
      <c r="R108" s="6">
        <v>12400</v>
      </c>
      <c r="S108" s="6">
        <v>21500</v>
      </c>
      <c r="T108" s="7" t="s">
        <v>28</v>
      </c>
      <c r="U108" s="2">
        <v>24</v>
      </c>
      <c r="V108" s="2" t="str">
        <f>IF(Tabela1[[#This Row],[qtde_batalhas]]&lt;=10,"Baixo",IF(Tabela1[[#This Row],[qtde_batalhas]]&lt;=25,"Médio","Alto"))</f>
        <v>Médio</v>
      </c>
      <c r="W108" s="2" t="s">
        <v>28</v>
      </c>
      <c r="X108" s="6">
        <v>80000</v>
      </c>
      <c r="Y108" s="2" t="str">
        <f t="shared" si="8"/>
        <v>Aprovado</v>
      </c>
      <c r="Z108" s="1" t="str">
        <f t="shared" si="9"/>
        <v>Aprovado</v>
      </c>
      <c r="AA108" s="26">
        <f t="shared" si="10"/>
        <v>86400</v>
      </c>
    </row>
    <row r="109" spans="1:27">
      <c r="A109" s="16">
        <f ca="1">YEAR(TODAY())-Tabela1[[#This Row],[idade]]</f>
        <v>1979</v>
      </c>
      <c r="B109" s="1">
        <f t="shared" ca="1" si="11"/>
        <v>47</v>
      </c>
      <c r="C109" s="1" t="str">
        <f>PROPER(Tabela1[[#This Row],[nome]])</f>
        <v>Aegon Baelish</v>
      </c>
      <c r="D109" s="1" t="str">
        <f t="shared" si="12"/>
        <v>-</v>
      </c>
      <c r="G109" s="26">
        <f t="shared" si="13"/>
        <v>28400</v>
      </c>
      <c r="H109" s="26">
        <f t="shared" si="14"/>
        <v>78000</v>
      </c>
      <c r="I109" s="1" t="str">
        <f t="shared" si="15"/>
        <v>Não</v>
      </c>
      <c r="K109" s="2" t="s">
        <v>23</v>
      </c>
      <c r="L109" s="2" t="s">
        <v>311</v>
      </c>
      <c r="M109" s="3">
        <v>24000</v>
      </c>
      <c r="N109" s="4">
        <f ca="1">DATEDIF(O109,TODAY(),"Y")</f>
        <v>47</v>
      </c>
      <c r="O109" s="5">
        <v>29031</v>
      </c>
      <c r="P109" s="2" t="s">
        <v>820</v>
      </c>
      <c r="Q109" s="2" t="s">
        <v>813</v>
      </c>
      <c r="R109" s="6">
        <v>28400</v>
      </c>
      <c r="S109" s="6">
        <v>78000</v>
      </c>
      <c r="T109" s="7" t="s">
        <v>49</v>
      </c>
      <c r="U109" s="2">
        <v>37</v>
      </c>
      <c r="V109" s="2" t="str">
        <f>IF(Tabela1[[#This Row],[qtde_batalhas]]&lt;=10,"Baixo",IF(Tabela1[[#This Row],[qtde_batalhas]]&lt;=25,"Médio","Alto"))</f>
        <v>Alto</v>
      </c>
      <c r="W109" s="2" t="s">
        <v>49</v>
      </c>
      <c r="X109" s="6">
        <v>99000</v>
      </c>
      <c r="Y109" s="2" t="str">
        <f t="shared" si="8"/>
        <v>Aprovado</v>
      </c>
      <c r="Z109" s="1" t="str">
        <f t="shared" si="9"/>
        <v>Aprovado</v>
      </c>
      <c r="AA109" s="26">
        <f t="shared" si="10"/>
        <v>106920</v>
      </c>
    </row>
    <row r="110" spans="1:27">
      <c r="A110" s="16">
        <f ca="1">YEAR(TODAY())-Tabela1[[#This Row],[idade]]</f>
        <v>1995</v>
      </c>
      <c r="B110" s="1">
        <f t="shared" ca="1" si="11"/>
        <v>31</v>
      </c>
      <c r="C110" s="1" t="str">
        <f>PROPER(Tabela1[[#This Row],[nome]])</f>
        <v>Melisandre Targaryen</v>
      </c>
      <c r="D110" s="1" t="str">
        <f t="shared" si="12"/>
        <v>000.000.170-00</v>
      </c>
      <c r="G110" s="26">
        <f t="shared" si="13"/>
        <v>20500</v>
      </c>
      <c r="H110" s="26">
        <f t="shared" si="14"/>
        <v>47500</v>
      </c>
      <c r="I110" s="1" t="str">
        <f t="shared" si="15"/>
        <v>Não</v>
      </c>
      <c r="K110" s="2" t="s">
        <v>23</v>
      </c>
      <c r="L110" s="2" t="s">
        <v>313</v>
      </c>
      <c r="M110" s="3" t="s">
        <v>314</v>
      </c>
      <c r="N110" s="4">
        <f ca="1">DATEDIF(O110,TODAY(),"Y")</f>
        <v>31</v>
      </c>
      <c r="O110" s="5">
        <v>34852</v>
      </c>
      <c r="P110" s="2" t="s">
        <v>797</v>
      </c>
      <c r="Q110" s="2" t="s">
        <v>798</v>
      </c>
      <c r="R110" s="6">
        <v>20500</v>
      </c>
      <c r="S110" s="6">
        <v>47500</v>
      </c>
      <c r="T110" s="7" t="s">
        <v>49</v>
      </c>
      <c r="U110" s="2">
        <v>11</v>
      </c>
      <c r="V110" s="2" t="str">
        <f>IF(Tabela1[[#This Row],[qtde_batalhas]]&lt;=10,"Baixo",IF(Tabela1[[#This Row],[qtde_batalhas]]&lt;=25,"Médio","Alto"))</f>
        <v>Médio</v>
      </c>
      <c r="W110" s="2" t="s">
        <v>49</v>
      </c>
      <c r="X110" s="6">
        <v>18500</v>
      </c>
      <c r="Y110" s="2" t="str">
        <f t="shared" si="8"/>
        <v>Aprovado</v>
      </c>
      <c r="Z110" s="1" t="str">
        <f t="shared" si="9"/>
        <v>Aprovado</v>
      </c>
      <c r="AA110" s="26">
        <f t="shared" si="10"/>
        <v>19980</v>
      </c>
    </row>
    <row r="111" spans="1:27">
      <c r="A111" s="16">
        <f ca="1">YEAR(TODAY())-Tabela1[[#This Row],[idade]]</f>
        <v>1963</v>
      </c>
      <c r="B111" s="1">
        <f t="shared" ca="1" si="11"/>
        <v>63</v>
      </c>
      <c r="C111" s="1" t="str">
        <f>PROPER(Tabela1[[#This Row],[nome]])</f>
        <v>Roose Cerwyn</v>
      </c>
      <c r="D111" s="1" t="str">
        <f t="shared" si="12"/>
        <v>000.000.047-00</v>
      </c>
      <c r="G111" s="26">
        <f t="shared" si="13"/>
        <v>17300</v>
      </c>
      <c r="H111" s="26">
        <f t="shared" si="14"/>
        <v>22000</v>
      </c>
      <c r="I111" s="1" t="str">
        <f t="shared" si="15"/>
        <v>Não</v>
      </c>
      <c r="K111" s="2" t="s">
        <v>821</v>
      </c>
      <c r="L111" s="2" t="s">
        <v>316</v>
      </c>
      <c r="M111" s="3" t="s">
        <v>317</v>
      </c>
      <c r="N111" s="4">
        <f ca="1">DATEDIF(O111,TODAY(),"Y")</f>
        <v>63</v>
      </c>
      <c r="O111" s="5">
        <v>23084</v>
      </c>
      <c r="P111" s="2" t="s">
        <v>97</v>
      </c>
      <c r="Q111" s="2" t="s">
        <v>98</v>
      </c>
      <c r="R111" s="6">
        <v>17300</v>
      </c>
      <c r="S111" s="6">
        <v>22000</v>
      </c>
      <c r="T111" s="7" t="s">
        <v>49</v>
      </c>
      <c r="U111" s="2">
        <v>10</v>
      </c>
      <c r="V111" s="2" t="str">
        <f>IF(Tabela1[[#This Row],[qtde_batalhas]]&lt;=10,"Baixo",IF(Tabela1[[#This Row],[qtde_batalhas]]&lt;=25,"Médio","Alto"))</f>
        <v>Baixo</v>
      </c>
      <c r="W111" s="2" t="s">
        <v>49</v>
      </c>
      <c r="X111" s="6">
        <v>97000</v>
      </c>
      <c r="Y111" s="2" t="str">
        <f t="shared" si="8"/>
        <v>Aprovado</v>
      </c>
      <c r="Z111" s="1" t="str">
        <f t="shared" si="9"/>
        <v>Aprovado</v>
      </c>
      <c r="AA111" s="26">
        <f t="shared" si="10"/>
        <v>0</v>
      </c>
    </row>
    <row r="112" spans="1:27">
      <c r="A112" s="16">
        <f ca="1">YEAR(TODAY())-Tabela1[[#This Row],[idade]]</f>
        <v>2000</v>
      </c>
      <c r="B112" s="1">
        <f t="shared" ca="1" si="11"/>
        <v>26</v>
      </c>
      <c r="C112" s="1" t="str">
        <f>PROPER(Tabela1[[#This Row],[nome]])</f>
        <v>Shae Frey</v>
      </c>
      <c r="D112" s="1" t="str">
        <f t="shared" si="12"/>
        <v>-</v>
      </c>
      <c r="G112" s="26">
        <f t="shared" si="13"/>
        <v>5000</v>
      </c>
      <c r="H112" s="26">
        <f t="shared" si="14"/>
        <v>61500</v>
      </c>
      <c r="I112" s="1" t="str">
        <f t="shared" si="15"/>
        <v>Não</v>
      </c>
      <c r="K112" s="2" t="s">
        <v>23</v>
      </c>
      <c r="L112" s="2" t="s">
        <v>318</v>
      </c>
      <c r="M112" s="3">
        <v>12700</v>
      </c>
      <c r="N112" s="4">
        <f ca="1">DATEDIF(O112,TODAY(),"Y")</f>
        <v>26</v>
      </c>
      <c r="O112" s="5">
        <v>36518</v>
      </c>
      <c r="P112" s="2" t="s">
        <v>103</v>
      </c>
      <c r="Q112" s="2" t="s">
        <v>91</v>
      </c>
      <c r="R112" s="6">
        <v>5000</v>
      </c>
      <c r="S112" s="6">
        <v>61500</v>
      </c>
      <c r="T112" s="7" t="s">
        <v>49</v>
      </c>
      <c r="U112" s="2">
        <v>35</v>
      </c>
      <c r="V112" s="2" t="str">
        <f>IF(Tabela1[[#This Row],[qtde_batalhas]]&lt;=10,"Baixo",IF(Tabela1[[#This Row],[qtde_batalhas]]&lt;=25,"Médio","Alto"))</f>
        <v>Alto</v>
      </c>
      <c r="W112" s="2" t="s">
        <v>49</v>
      </c>
      <c r="X112" s="6">
        <v>18500</v>
      </c>
      <c r="Y112" s="2" t="str">
        <f t="shared" si="8"/>
        <v>Aprovado</v>
      </c>
      <c r="Z112" s="1" t="str">
        <f t="shared" si="9"/>
        <v>Aprovado</v>
      </c>
      <c r="AA112" s="26">
        <f t="shared" si="10"/>
        <v>19980</v>
      </c>
    </row>
    <row r="113" spans="1:27">
      <c r="A113" s="16">
        <f ca="1">YEAR(TODAY())-Tabela1[[#This Row],[idade]]</f>
        <v>1997</v>
      </c>
      <c r="B113" s="1">
        <f t="shared" ca="1" si="11"/>
        <v>29</v>
      </c>
      <c r="C113" s="1" t="str">
        <f>PROPER(Tabela1[[#This Row],[nome]])</f>
        <v>Lyanna Swyft</v>
      </c>
      <c r="D113" s="1" t="str">
        <f t="shared" si="12"/>
        <v>-</v>
      </c>
      <c r="G113" s="26">
        <f t="shared" si="13"/>
        <v>19900</v>
      </c>
      <c r="H113" s="26">
        <f t="shared" si="14"/>
        <v>49500</v>
      </c>
      <c r="I113" s="1" t="str">
        <f t="shared" si="15"/>
        <v>Sim</v>
      </c>
      <c r="K113" s="2" t="s">
        <v>23</v>
      </c>
      <c r="L113" s="2" t="s">
        <v>320</v>
      </c>
      <c r="M113" s="3">
        <v>18000</v>
      </c>
      <c r="N113" s="4">
        <f ca="1">DATEDIF(O113,TODAY(),"Y")</f>
        <v>29</v>
      </c>
      <c r="O113" s="5">
        <v>35344</v>
      </c>
      <c r="P113" s="2" t="s">
        <v>26</v>
      </c>
      <c r="Q113" s="2" t="s">
        <v>27</v>
      </c>
      <c r="R113" s="6">
        <v>19900</v>
      </c>
      <c r="S113" s="6">
        <v>49500</v>
      </c>
      <c r="T113" s="7" t="s">
        <v>28</v>
      </c>
      <c r="U113" s="2">
        <v>27</v>
      </c>
      <c r="V113" s="2" t="str">
        <f>IF(Tabela1[[#This Row],[qtde_batalhas]]&lt;=10,"Baixo",IF(Tabela1[[#This Row],[qtde_batalhas]]&lt;=25,"Médio","Alto"))</f>
        <v>Alto</v>
      </c>
      <c r="W113" s="2" t="s">
        <v>28</v>
      </c>
      <c r="X113" s="6">
        <v>23000</v>
      </c>
      <c r="Y113" s="2" t="str">
        <f t="shared" si="8"/>
        <v>Negado</v>
      </c>
      <c r="Z113" s="1" t="str">
        <f t="shared" si="9"/>
        <v>Aprovado</v>
      </c>
      <c r="AA113" s="26">
        <f t="shared" si="10"/>
        <v>0</v>
      </c>
    </row>
    <row r="114" spans="1:27">
      <c r="A114" s="16">
        <f ca="1">YEAR(TODAY())-Tabela1[[#This Row],[idade]]</f>
        <v>1975</v>
      </c>
      <c r="B114" s="1">
        <f t="shared" ca="1" si="11"/>
        <v>51</v>
      </c>
      <c r="C114" s="1" t="str">
        <f>PROPER(Tabela1[[#This Row],[nome]])</f>
        <v>Rhaegar Targaryen</v>
      </c>
      <c r="D114" s="1" t="str">
        <f t="shared" si="12"/>
        <v>000.000.342-00</v>
      </c>
      <c r="G114" s="26">
        <f t="shared" si="13"/>
        <v>18500</v>
      </c>
      <c r="H114" s="26">
        <f t="shared" si="14"/>
        <v>69500</v>
      </c>
      <c r="I114" s="1" t="str">
        <f t="shared" si="15"/>
        <v>Não</v>
      </c>
      <c r="K114" s="2" t="s">
        <v>23</v>
      </c>
      <c r="L114" s="2" t="s">
        <v>321</v>
      </c>
      <c r="M114" s="3" t="s">
        <v>322</v>
      </c>
      <c r="N114" s="4">
        <f ca="1">DATEDIF(O114,TODAY(),"Y")</f>
        <v>51</v>
      </c>
      <c r="O114" s="5">
        <v>27413</v>
      </c>
      <c r="P114" s="2" t="s">
        <v>111</v>
      </c>
      <c r="Q114" s="2" t="s">
        <v>91</v>
      </c>
      <c r="R114" s="6">
        <v>18500</v>
      </c>
      <c r="S114" s="6">
        <v>69500</v>
      </c>
      <c r="T114" s="7" t="s">
        <v>49</v>
      </c>
      <c r="U114" s="2">
        <v>31</v>
      </c>
      <c r="V114" s="2" t="str">
        <f>IF(Tabela1[[#This Row],[qtde_batalhas]]&lt;=10,"Baixo",IF(Tabela1[[#This Row],[qtde_batalhas]]&lt;=25,"Médio","Alto"))</f>
        <v>Alto</v>
      </c>
      <c r="W114" s="2" t="s">
        <v>49</v>
      </c>
      <c r="X114" s="6">
        <v>18000</v>
      </c>
      <c r="Y114" s="2" t="str">
        <f t="shared" si="8"/>
        <v>Aprovado</v>
      </c>
      <c r="Z114" s="1" t="str">
        <f t="shared" si="9"/>
        <v>Aprovado</v>
      </c>
      <c r="AA114" s="26">
        <f t="shared" si="10"/>
        <v>19440</v>
      </c>
    </row>
    <row r="115" spans="1:27">
      <c r="A115" s="16">
        <f ca="1">YEAR(TODAY())-Tabela1[[#This Row],[idade]]</f>
        <v>1980</v>
      </c>
      <c r="B115" s="1">
        <f t="shared" ca="1" si="11"/>
        <v>46</v>
      </c>
      <c r="C115" s="1" t="str">
        <f>PROPER(Tabela1[[#This Row],[nome]])</f>
        <v>Varys Targaryen</v>
      </c>
      <c r="D115" s="1" t="str">
        <f t="shared" si="12"/>
        <v>000.000.234-00</v>
      </c>
      <c r="G115" s="26">
        <f t="shared" si="13"/>
        <v>3200</v>
      </c>
      <c r="H115" s="26">
        <f t="shared" si="14"/>
        <v>0</v>
      </c>
      <c r="I115" s="1" t="str">
        <f t="shared" si="15"/>
        <v>Não</v>
      </c>
      <c r="K115" s="2" t="s">
        <v>23</v>
      </c>
      <c r="L115" s="2" t="s">
        <v>324</v>
      </c>
      <c r="M115" s="3" t="s">
        <v>325</v>
      </c>
      <c r="N115" s="4">
        <f ca="1">DATEDIF(O115,TODAY(),"Y")</f>
        <v>46</v>
      </c>
      <c r="O115" s="5">
        <v>29197</v>
      </c>
      <c r="P115" s="2" t="s">
        <v>70</v>
      </c>
      <c r="Q115" s="2" t="s">
        <v>71</v>
      </c>
      <c r="R115" s="6">
        <v>3200</v>
      </c>
      <c r="S115" s="6">
        <v>0</v>
      </c>
      <c r="T115" s="7" t="s">
        <v>49</v>
      </c>
      <c r="U115" s="2">
        <v>16</v>
      </c>
      <c r="V115" s="2" t="str">
        <f>IF(Tabela1[[#This Row],[qtde_batalhas]]&lt;=10,"Baixo",IF(Tabela1[[#This Row],[qtde_batalhas]]&lt;=25,"Médio","Alto"))</f>
        <v>Médio</v>
      </c>
      <c r="W115" s="2" t="s">
        <v>49</v>
      </c>
      <c r="X115" s="6">
        <v>61500</v>
      </c>
      <c r="Y115" s="2" t="str">
        <f t="shared" si="8"/>
        <v>Aprovado</v>
      </c>
      <c r="Z115" s="1" t="str">
        <f t="shared" si="9"/>
        <v>Aprovado</v>
      </c>
      <c r="AA115" s="26">
        <f t="shared" si="10"/>
        <v>66420</v>
      </c>
    </row>
    <row r="116" spans="1:27">
      <c r="A116" s="16">
        <f ca="1">YEAR(TODAY())-Tabela1[[#This Row],[idade]]</f>
        <v>1961</v>
      </c>
      <c r="B116" s="1">
        <f t="shared" ca="1" si="11"/>
        <v>65</v>
      </c>
      <c r="C116" s="1" t="str">
        <f>PROPER(Tabela1[[#This Row],[nome]])</f>
        <v>Robb Stark</v>
      </c>
      <c r="D116" s="1" t="str">
        <f t="shared" si="12"/>
        <v>000.000.228-00</v>
      </c>
      <c r="G116" s="26">
        <f t="shared" si="13"/>
        <v>29000</v>
      </c>
      <c r="H116" s="26">
        <f t="shared" si="14"/>
        <v>28500</v>
      </c>
      <c r="I116" s="1" t="str">
        <f t="shared" si="15"/>
        <v>Não</v>
      </c>
      <c r="K116" s="2" t="s">
        <v>23</v>
      </c>
      <c r="L116" s="2" t="s">
        <v>326</v>
      </c>
      <c r="M116" s="3" t="s">
        <v>327</v>
      </c>
      <c r="N116" s="4">
        <f ca="1">DATEDIF(O116,TODAY(),"Y")</f>
        <v>65</v>
      </c>
      <c r="O116" s="5">
        <v>22505</v>
      </c>
      <c r="P116" s="2" t="s">
        <v>103</v>
      </c>
      <c r="Q116" s="2" t="s">
        <v>91</v>
      </c>
      <c r="R116" s="6">
        <v>29000</v>
      </c>
      <c r="S116" s="6">
        <v>28500</v>
      </c>
      <c r="T116" s="7" t="s">
        <v>49</v>
      </c>
      <c r="U116" s="2">
        <v>28</v>
      </c>
      <c r="V116" s="2" t="str">
        <f>IF(Tabela1[[#This Row],[qtde_batalhas]]&lt;=10,"Baixo",IF(Tabela1[[#This Row],[qtde_batalhas]]&lt;=25,"Médio","Alto"))</f>
        <v>Alto</v>
      </c>
      <c r="W116" s="2" t="s">
        <v>49</v>
      </c>
      <c r="X116" s="6">
        <v>57500</v>
      </c>
      <c r="Y116" s="2" t="str">
        <f t="shared" si="8"/>
        <v>Aprovado</v>
      </c>
      <c r="Z116" s="1" t="str">
        <f t="shared" si="9"/>
        <v>Aprovado</v>
      </c>
      <c r="AA116" s="26">
        <f t="shared" si="10"/>
        <v>62100.000000000007</v>
      </c>
    </row>
    <row r="117" spans="1:27">
      <c r="A117" s="16">
        <f ca="1">YEAR(TODAY())-Tabela1[[#This Row],[idade]]</f>
        <v>2000</v>
      </c>
      <c r="B117" s="1">
        <f t="shared" ca="1" si="11"/>
        <v>26</v>
      </c>
      <c r="C117" s="1" t="str">
        <f>PROPER(Tabela1[[#This Row],[nome]])</f>
        <v>Gendry Hightower</v>
      </c>
      <c r="D117" s="1" t="str">
        <f t="shared" si="12"/>
        <v>000.000.167-00</v>
      </c>
      <c r="G117" s="26">
        <f t="shared" si="13"/>
        <v>13900</v>
      </c>
      <c r="H117" s="26">
        <f t="shared" si="14"/>
        <v>53500</v>
      </c>
      <c r="I117" s="1" t="str">
        <f t="shared" si="15"/>
        <v>Não</v>
      </c>
      <c r="K117" s="2" t="s">
        <v>23</v>
      </c>
      <c r="L117" s="2" t="s">
        <v>328</v>
      </c>
      <c r="M117" s="3" t="s">
        <v>329</v>
      </c>
      <c r="N117" s="4">
        <f ca="1">DATEDIF(O117,TODAY(),"Y")</f>
        <v>26</v>
      </c>
      <c r="O117" s="5">
        <v>36475</v>
      </c>
      <c r="P117" s="2" t="s">
        <v>822</v>
      </c>
      <c r="Q117" s="2" t="s">
        <v>823</v>
      </c>
      <c r="R117" s="6">
        <v>13900</v>
      </c>
      <c r="S117" s="6">
        <v>53500</v>
      </c>
      <c r="T117" s="7" t="s">
        <v>49</v>
      </c>
      <c r="U117" s="2">
        <v>12</v>
      </c>
      <c r="V117" s="2" t="str">
        <f>IF(Tabela1[[#This Row],[qtde_batalhas]]&lt;=10,"Baixo",IF(Tabela1[[#This Row],[qtde_batalhas]]&lt;=25,"Médio","Alto"))</f>
        <v>Médio</v>
      </c>
      <c r="W117" s="2" t="s">
        <v>49</v>
      </c>
      <c r="X117" s="6">
        <v>85000</v>
      </c>
      <c r="Y117" s="2" t="str">
        <f t="shared" si="8"/>
        <v>Aprovado</v>
      </c>
      <c r="Z117" s="1" t="str">
        <f t="shared" si="9"/>
        <v>Aprovado</v>
      </c>
      <c r="AA117" s="26">
        <f t="shared" si="10"/>
        <v>91800</v>
      </c>
    </row>
    <row r="118" spans="1:27">
      <c r="A118" s="16">
        <f ca="1">YEAR(TODAY())-Tabela1[[#This Row],[idade]]</f>
        <v>1963</v>
      </c>
      <c r="B118" s="1">
        <f t="shared" ca="1" si="11"/>
        <v>63</v>
      </c>
      <c r="C118" s="1" t="str">
        <f>PROPER(Tabela1[[#This Row],[nome]])</f>
        <v>Tormund Glover</v>
      </c>
      <c r="D118" s="1" t="str">
        <f t="shared" si="12"/>
        <v>000.000.087-00</v>
      </c>
      <c r="G118" s="26">
        <f t="shared" si="13"/>
        <v>20000</v>
      </c>
      <c r="H118" s="26">
        <f t="shared" si="14"/>
        <v>29500</v>
      </c>
      <c r="I118" s="1" t="str">
        <f t="shared" si="15"/>
        <v>Não</v>
      </c>
      <c r="K118" s="2" t="s">
        <v>29</v>
      </c>
      <c r="L118" s="2" t="s">
        <v>331</v>
      </c>
      <c r="M118" s="3" t="s">
        <v>332</v>
      </c>
      <c r="N118" s="4">
        <f ca="1">DATEDIF(O118,TODAY(),"Y")</f>
        <v>63</v>
      </c>
      <c r="O118" s="5">
        <v>22994</v>
      </c>
      <c r="P118" s="2" t="s">
        <v>61</v>
      </c>
      <c r="Q118" s="2" t="s">
        <v>792</v>
      </c>
      <c r="R118" s="6">
        <v>20000</v>
      </c>
      <c r="S118" s="6">
        <v>29500</v>
      </c>
      <c r="T118" s="7" t="s">
        <v>49</v>
      </c>
      <c r="U118" s="2">
        <v>42</v>
      </c>
      <c r="V118" s="2" t="str">
        <f>IF(Tabela1[[#This Row],[qtde_batalhas]]&lt;=10,"Baixo",IF(Tabela1[[#This Row],[qtde_batalhas]]&lt;=25,"Médio","Alto"))</f>
        <v>Alto</v>
      </c>
      <c r="W118" s="2" t="s">
        <v>49</v>
      </c>
      <c r="X118" s="6">
        <v>5000</v>
      </c>
      <c r="Y118" s="2" t="str">
        <f t="shared" si="8"/>
        <v>Aprovado</v>
      </c>
      <c r="Z118" s="1" t="str">
        <f t="shared" si="9"/>
        <v>Aprovado</v>
      </c>
      <c r="AA118" s="26">
        <f t="shared" si="10"/>
        <v>0</v>
      </c>
    </row>
    <row r="119" spans="1:27">
      <c r="A119" s="16">
        <f ca="1">YEAR(TODAY())-Tabela1[[#This Row],[idade]]</f>
        <v>1955</v>
      </c>
      <c r="B119" s="1">
        <f t="shared" ca="1" si="11"/>
        <v>71</v>
      </c>
      <c r="C119" s="1" t="str">
        <f>PROPER(Tabela1[[#This Row],[nome]])</f>
        <v>Tyrion Snow</v>
      </c>
      <c r="D119" s="1" t="str">
        <f t="shared" si="12"/>
        <v>-</v>
      </c>
      <c r="G119" s="26">
        <f t="shared" si="13"/>
        <v>24100</v>
      </c>
      <c r="H119" s="26">
        <f t="shared" si="14"/>
        <v>0</v>
      </c>
      <c r="I119" s="1" t="str">
        <f t="shared" si="15"/>
        <v>Não</v>
      </c>
      <c r="K119" s="2" t="s">
        <v>23</v>
      </c>
      <c r="L119" s="2" t="s">
        <v>333</v>
      </c>
      <c r="M119" s="3">
        <v>27900</v>
      </c>
      <c r="N119" s="4">
        <f ca="1">DATEDIF(O119,TODAY(),"Y")</f>
        <v>71</v>
      </c>
      <c r="O119" s="5">
        <v>20094</v>
      </c>
      <c r="P119" s="2" t="s">
        <v>166</v>
      </c>
      <c r="Q119" s="2" t="s">
        <v>98</v>
      </c>
      <c r="R119" s="6">
        <v>24100</v>
      </c>
      <c r="S119" s="6">
        <v>0</v>
      </c>
      <c r="T119" s="7" t="s">
        <v>49</v>
      </c>
      <c r="U119" s="2">
        <v>10</v>
      </c>
      <c r="V119" s="2" t="str">
        <f>IF(Tabela1[[#This Row],[qtde_batalhas]]&lt;=10,"Baixo",IF(Tabela1[[#This Row],[qtde_batalhas]]&lt;=25,"Médio","Alto"))</f>
        <v>Baixo</v>
      </c>
      <c r="W119" s="2" t="s">
        <v>49</v>
      </c>
      <c r="X119" s="6">
        <v>87000</v>
      </c>
      <c r="Y119" s="2" t="str">
        <f t="shared" si="8"/>
        <v>Aprovado</v>
      </c>
      <c r="Z119" s="1" t="str">
        <f t="shared" si="9"/>
        <v>Aprovado</v>
      </c>
      <c r="AA119" s="26">
        <f t="shared" si="10"/>
        <v>93960</v>
      </c>
    </row>
    <row r="120" spans="1:27">
      <c r="A120" s="16">
        <f ca="1">YEAR(TODAY())-Tabela1[[#This Row],[idade]]</f>
        <v>1953</v>
      </c>
      <c r="B120" s="1">
        <f t="shared" ca="1" si="11"/>
        <v>73</v>
      </c>
      <c r="C120" s="1" t="str">
        <f>PROPER(Tabela1[[#This Row],[nome]])</f>
        <v>Beric  Umber</v>
      </c>
      <c r="D120" s="1" t="str">
        <f t="shared" si="12"/>
        <v>-</v>
      </c>
      <c r="G120" s="26">
        <f t="shared" si="13"/>
        <v>12700</v>
      </c>
      <c r="H120" s="26">
        <f t="shared" si="14"/>
        <v>79500</v>
      </c>
      <c r="I120" s="1" t="str">
        <f t="shared" si="15"/>
        <v>Não</v>
      </c>
      <c r="K120" s="2" t="s">
        <v>23</v>
      </c>
      <c r="L120" s="2" t="s">
        <v>824</v>
      </c>
      <c r="N120" s="4">
        <f ca="1">DATEDIF(O120,TODAY(),"Y")</f>
        <v>73</v>
      </c>
      <c r="O120" s="5">
        <v>19538</v>
      </c>
      <c r="P120" s="2" t="s">
        <v>37</v>
      </c>
      <c r="Q120" s="2" t="s">
        <v>814</v>
      </c>
      <c r="R120" s="6">
        <v>12700</v>
      </c>
      <c r="S120" s="6">
        <v>79500</v>
      </c>
      <c r="T120" s="7" t="s">
        <v>49</v>
      </c>
      <c r="U120" s="2">
        <v>35</v>
      </c>
      <c r="V120" s="2" t="str">
        <f>IF(Tabela1[[#This Row],[qtde_batalhas]]&lt;=10,"Baixo",IF(Tabela1[[#This Row],[qtde_batalhas]]&lt;=25,"Médio","Alto"))</f>
        <v>Alto</v>
      </c>
      <c r="W120" s="2" t="s">
        <v>49</v>
      </c>
      <c r="X120" s="6">
        <v>39000</v>
      </c>
      <c r="Y120" s="2" t="str">
        <f t="shared" si="8"/>
        <v>Aprovado</v>
      </c>
      <c r="Z120" s="1" t="str">
        <f t="shared" si="9"/>
        <v>Aprovado</v>
      </c>
      <c r="AA120" s="26">
        <f t="shared" si="10"/>
        <v>42120</v>
      </c>
    </row>
    <row r="121" spans="1:27">
      <c r="A121" s="16">
        <f ca="1">YEAR(TODAY())-Tabela1[[#This Row],[idade]]</f>
        <v>1969</v>
      </c>
      <c r="B121" s="1">
        <f t="shared" ca="1" si="11"/>
        <v>57</v>
      </c>
      <c r="C121" s="1" t="str">
        <f>PROPER(Tabela1[[#This Row],[nome]])</f>
        <v>Varys Florent</v>
      </c>
      <c r="D121" s="1" t="str">
        <f t="shared" si="12"/>
        <v>-</v>
      </c>
      <c r="G121" s="26">
        <f t="shared" si="13"/>
        <v>3200</v>
      </c>
      <c r="H121" s="26" t="str">
        <f t="shared" si="14"/>
        <v>-</v>
      </c>
      <c r="I121" s="1" t="str">
        <f t="shared" si="15"/>
        <v>Não</v>
      </c>
      <c r="K121" s="2" t="s">
        <v>23</v>
      </c>
      <c r="L121" s="2" t="s">
        <v>335</v>
      </c>
      <c r="M121" s="3">
        <v>26400</v>
      </c>
      <c r="N121" s="4">
        <f ca="1">DATEDIF(O121,TODAY(),"Y")</f>
        <v>57</v>
      </c>
      <c r="O121" s="5">
        <v>25238</v>
      </c>
      <c r="P121" s="2" t="s">
        <v>822</v>
      </c>
      <c r="Q121" s="2" t="s">
        <v>823</v>
      </c>
      <c r="R121" s="6">
        <v>3200</v>
      </c>
      <c r="T121" s="7" t="s">
        <v>49</v>
      </c>
      <c r="U121" s="2">
        <v>18</v>
      </c>
      <c r="V121" s="2" t="str">
        <f>IF(Tabela1[[#This Row],[qtde_batalhas]]&lt;=10,"Baixo",IF(Tabela1[[#This Row],[qtde_batalhas]]&lt;=25,"Médio","Alto"))</f>
        <v>Médio</v>
      </c>
      <c r="W121" s="2" t="s">
        <v>49</v>
      </c>
      <c r="X121" s="6">
        <v>64000</v>
      </c>
      <c r="Y121" s="2" t="str">
        <f t="shared" si="8"/>
        <v>Aprovado</v>
      </c>
      <c r="Z121" s="1" t="str">
        <f t="shared" si="9"/>
        <v>Aprovado</v>
      </c>
      <c r="AA121" s="26">
        <f t="shared" si="10"/>
        <v>69120</v>
      </c>
    </row>
    <row r="122" spans="1:27">
      <c r="A122" s="16">
        <f ca="1">YEAR(TODAY())-Tabela1[[#This Row],[idade]]</f>
        <v>1962</v>
      </c>
      <c r="B122" s="1">
        <f t="shared" ca="1" si="11"/>
        <v>64</v>
      </c>
      <c r="C122" s="1" t="str">
        <f>PROPER(Tabela1[[#This Row],[nome]])</f>
        <v>Catelyn Umber</v>
      </c>
      <c r="D122" s="1" t="str">
        <f t="shared" si="12"/>
        <v>-</v>
      </c>
      <c r="G122" s="26">
        <f t="shared" si="13"/>
        <v>2900</v>
      </c>
      <c r="H122" s="26">
        <f t="shared" si="14"/>
        <v>76000</v>
      </c>
      <c r="I122" s="1" t="str">
        <f t="shared" si="15"/>
        <v>Não</v>
      </c>
      <c r="K122" s="2" t="s">
        <v>23</v>
      </c>
      <c r="L122" s="2" t="s">
        <v>336</v>
      </c>
      <c r="M122" s="3">
        <v>9900</v>
      </c>
      <c r="N122" s="4">
        <f ca="1">DATEDIF(O122,TODAY(),"Y")</f>
        <v>64</v>
      </c>
      <c r="O122" s="5">
        <v>22828</v>
      </c>
      <c r="P122" s="2" t="s">
        <v>118</v>
      </c>
      <c r="Q122" s="2" t="s">
        <v>88</v>
      </c>
      <c r="R122" s="6">
        <v>2900</v>
      </c>
      <c r="S122" s="6">
        <v>76000</v>
      </c>
      <c r="T122" s="7" t="s">
        <v>49</v>
      </c>
      <c r="U122" s="2">
        <v>32</v>
      </c>
      <c r="V122" s="2" t="str">
        <f>IF(Tabela1[[#This Row],[qtde_batalhas]]&lt;=10,"Baixo",IF(Tabela1[[#This Row],[qtde_batalhas]]&lt;=25,"Médio","Alto"))</f>
        <v>Alto</v>
      </c>
      <c r="W122" s="2" t="s">
        <v>49</v>
      </c>
      <c r="X122" s="6">
        <v>72500</v>
      </c>
      <c r="Y122" s="2" t="str">
        <f t="shared" si="8"/>
        <v>Aprovado</v>
      </c>
      <c r="Z122" s="1" t="str">
        <f t="shared" si="9"/>
        <v>Aprovado</v>
      </c>
      <c r="AA122" s="26">
        <f t="shared" si="10"/>
        <v>78300</v>
      </c>
    </row>
    <row r="123" spans="1:27">
      <c r="A123" s="16">
        <f ca="1">YEAR(TODAY())-Tabela1[[#This Row],[idade]]</f>
        <v>1953</v>
      </c>
      <c r="B123" s="1">
        <f t="shared" ca="1" si="11"/>
        <v>73</v>
      </c>
      <c r="C123" s="1" t="str">
        <f>PROPER(Tabela1[[#This Row],[nome]])</f>
        <v>Samwell Glover</v>
      </c>
      <c r="D123" s="1" t="str">
        <f t="shared" si="12"/>
        <v>-</v>
      </c>
      <c r="G123" s="26">
        <f t="shared" si="13"/>
        <v>7100</v>
      </c>
      <c r="H123" s="26">
        <f t="shared" si="14"/>
        <v>58000</v>
      </c>
      <c r="I123" s="1" t="str">
        <f t="shared" si="15"/>
        <v>Sim</v>
      </c>
      <c r="K123" s="2" t="s">
        <v>29</v>
      </c>
      <c r="L123" s="2" t="s">
        <v>337</v>
      </c>
      <c r="M123" s="3">
        <v>16000</v>
      </c>
      <c r="N123" s="4">
        <f ca="1">DATEDIF(O123,TODAY(),"Y")</f>
        <v>73</v>
      </c>
      <c r="O123" s="5">
        <v>19299</v>
      </c>
      <c r="P123" s="2" t="s">
        <v>31</v>
      </c>
      <c r="Q123" s="2" t="s">
        <v>32</v>
      </c>
      <c r="R123" s="6">
        <v>7100</v>
      </c>
      <c r="S123" s="6">
        <v>58000</v>
      </c>
      <c r="T123" s="7" t="s">
        <v>28</v>
      </c>
      <c r="U123" s="2">
        <v>22</v>
      </c>
      <c r="V123" s="2" t="str">
        <f>IF(Tabela1[[#This Row],[qtde_batalhas]]&lt;=10,"Baixo",IF(Tabela1[[#This Row],[qtde_batalhas]]&lt;=25,"Médio","Alto"))</f>
        <v>Médio</v>
      </c>
      <c r="W123" s="2" t="s">
        <v>28</v>
      </c>
      <c r="X123" s="6">
        <v>46500</v>
      </c>
      <c r="Y123" s="2" t="str">
        <f t="shared" si="8"/>
        <v>Aprovado</v>
      </c>
      <c r="Z123" s="1" t="str">
        <f t="shared" si="9"/>
        <v>Negado</v>
      </c>
      <c r="AA123" s="26">
        <f t="shared" si="10"/>
        <v>0</v>
      </c>
    </row>
    <row r="124" spans="1:27">
      <c r="A124" s="16">
        <f ca="1">YEAR(TODAY())-Tabela1[[#This Row],[idade]]</f>
        <v>1998</v>
      </c>
      <c r="B124" s="1">
        <f t="shared" ca="1" si="11"/>
        <v>28</v>
      </c>
      <c r="C124" s="1" t="str">
        <f>PROPER(Tabela1[[#This Row],[nome]])</f>
        <v>Thoros Clegane</v>
      </c>
      <c r="D124" s="1" t="str">
        <f t="shared" si="12"/>
        <v>000.000.141-00</v>
      </c>
      <c r="G124" s="26">
        <f t="shared" si="13"/>
        <v>13400</v>
      </c>
      <c r="H124" s="26">
        <f t="shared" si="14"/>
        <v>54000</v>
      </c>
      <c r="I124" s="1" t="str">
        <f t="shared" si="15"/>
        <v>Não</v>
      </c>
      <c r="K124" s="2" t="s">
        <v>23</v>
      </c>
      <c r="L124" s="2" t="s">
        <v>338</v>
      </c>
      <c r="M124" s="3" t="s">
        <v>339</v>
      </c>
      <c r="N124" s="4">
        <f ca="1">DATEDIF(O124,TODAY(),"Y")</f>
        <v>28</v>
      </c>
      <c r="O124" s="5">
        <v>35993</v>
      </c>
      <c r="P124" s="2" t="s">
        <v>52</v>
      </c>
      <c r="Q124" s="2" t="s">
        <v>57</v>
      </c>
      <c r="R124" s="6">
        <v>13400</v>
      </c>
      <c r="S124" s="6">
        <v>54000</v>
      </c>
      <c r="T124" s="7" t="s">
        <v>49</v>
      </c>
      <c r="U124" s="2">
        <v>15</v>
      </c>
      <c r="V124" s="2" t="str">
        <f>IF(Tabela1[[#This Row],[qtde_batalhas]]&lt;=10,"Baixo",IF(Tabela1[[#This Row],[qtde_batalhas]]&lt;=25,"Médio","Alto"))</f>
        <v>Médio</v>
      </c>
      <c r="W124" s="2" t="s">
        <v>49</v>
      </c>
      <c r="X124" s="6">
        <v>99000</v>
      </c>
      <c r="Y124" s="2" t="str">
        <f t="shared" si="8"/>
        <v>Aprovado</v>
      </c>
      <c r="Z124" s="1" t="str">
        <f t="shared" si="9"/>
        <v>Aprovado</v>
      </c>
      <c r="AA124" s="26">
        <f t="shared" si="10"/>
        <v>106920</v>
      </c>
    </row>
    <row r="125" spans="1:27">
      <c r="A125" s="16">
        <f ca="1">YEAR(TODAY())-Tabela1[[#This Row],[idade]]</f>
        <v>2000</v>
      </c>
      <c r="B125" s="1">
        <f t="shared" ca="1" si="11"/>
        <v>26</v>
      </c>
      <c r="C125" s="1" t="str">
        <f>PROPER(Tabela1[[#This Row],[nome]])</f>
        <v>Theon Baratheon</v>
      </c>
      <c r="D125" s="1" t="str">
        <f t="shared" si="12"/>
        <v>000.000.375-00</v>
      </c>
      <c r="G125" s="26">
        <f t="shared" si="13"/>
        <v>22900</v>
      </c>
      <c r="H125" s="26">
        <f t="shared" si="14"/>
        <v>65500</v>
      </c>
      <c r="I125" s="1" t="str">
        <f t="shared" si="15"/>
        <v>Sim</v>
      </c>
      <c r="K125" s="2" t="s">
        <v>23</v>
      </c>
      <c r="L125" s="2" t="s">
        <v>340</v>
      </c>
      <c r="M125" s="3" t="s">
        <v>341</v>
      </c>
      <c r="N125" s="4">
        <f ca="1">DATEDIF(O125,TODAY(),"Y")</f>
        <v>26</v>
      </c>
      <c r="O125" s="5">
        <v>36622</v>
      </c>
      <c r="P125" s="2" t="s">
        <v>133</v>
      </c>
      <c r="Q125" s="2" t="s">
        <v>133</v>
      </c>
      <c r="R125" s="6">
        <v>22900</v>
      </c>
      <c r="S125" s="6">
        <v>65500</v>
      </c>
      <c r="T125" s="7" t="s">
        <v>28</v>
      </c>
      <c r="U125" s="2">
        <v>40</v>
      </c>
      <c r="V125" s="2" t="str">
        <f>IF(Tabela1[[#This Row],[qtde_batalhas]]&lt;=10,"Baixo",IF(Tabela1[[#This Row],[qtde_batalhas]]&lt;=25,"Médio","Alto"))</f>
        <v>Alto</v>
      </c>
      <c r="W125" s="2" t="s">
        <v>28</v>
      </c>
      <c r="X125" s="6">
        <v>95500</v>
      </c>
      <c r="Y125" s="2" t="str">
        <f t="shared" si="8"/>
        <v>Negado</v>
      </c>
      <c r="Z125" s="1" t="str">
        <f t="shared" si="9"/>
        <v>Negado</v>
      </c>
      <c r="AA125" s="26">
        <f t="shared" si="10"/>
        <v>0</v>
      </c>
    </row>
    <row r="126" spans="1:27">
      <c r="A126" s="16">
        <f ca="1">YEAR(TODAY())-Tabela1[[#This Row],[idade]]</f>
        <v>1957</v>
      </c>
      <c r="B126" s="1">
        <f t="shared" ca="1" si="11"/>
        <v>69</v>
      </c>
      <c r="C126" s="1" t="str">
        <f>PROPER(Tabela1[[#This Row],[nome]])</f>
        <v>Melisandre  Baelish</v>
      </c>
      <c r="D126" s="1" t="str">
        <f t="shared" si="12"/>
        <v>000.000.152-00</v>
      </c>
      <c r="G126" s="26">
        <f t="shared" si="13"/>
        <v>25100</v>
      </c>
      <c r="H126" s="26">
        <f t="shared" si="14"/>
        <v>40500</v>
      </c>
      <c r="I126" s="1" t="str">
        <f t="shared" si="15"/>
        <v>Não</v>
      </c>
      <c r="K126" s="2" t="s">
        <v>23</v>
      </c>
      <c r="L126" s="2" t="s">
        <v>825</v>
      </c>
      <c r="M126" s="3" t="s">
        <v>345</v>
      </c>
      <c r="N126" s="4">
        <f ca="1">DATEDIF(O126,TODAY(),"Y")</f>
        <v>69</v>
      </c>
      <c r="O126" s="5">
        <v>21051</v>
      </c>
      <c r="P126" s="2" t="s">
        <v>31</v>
      </c>
      <c r="Q126" s="2" t="s">
        <v>32</v>
      </c>
      <c r="R126" s="6">
        <v>25100</v>
      </c>
      <c r="S126" s="6">
        <v>40500</v>
      </c>
      <c r="T126" s="7" t="s">
        <v>49</v>
      </c>
      <c r="U126" s="2">
        <v>43</v>
      </c>
      <c r="V126" s="2" t="str">
        <f>IF(Tabela1[[#This Row],[qtde_batalhas]]&lt;=10,"Baixo",IF(Tabela1[[#This Row],[qtde_batalhas]]&lt;=25,"Médio","Alto"))</f>
        <v>Alto</v>
      </c>
      <c r="W126" s="2" t="s">
        <v>49</v>
      </c>
      <c r="X126" s="6">
        <v>24500</v>
      </c>
      <c r="Y126" s="2" t="str">
        <f t="shared" si="8"/>
        <v>Aprovado</v>
      </c>
      <c r="Z126" s="1" t="str">
        <f t="shared" si="9"/>
        <v>Aprovado</v>
      </c>
      <c r="AA126" s="26">
        <f t="shared" si="10"/>
        <v>26460</v>
      </c>
    </row>
    <row r="127" spans="1:27">
      <c r="A127" s="16">
        <f ca="1">YEAR(TODAY())-Tabela1[[#This Row],[idade]]</f>
        <v>1959</v>
      </c>
      <c r="B127" s="1">
        <f t="shared" ca="1" si="11"/>
        <v>67</v>
      </c>
      <c r="C127" s="1" t="str">
        <f>PROPER(Tabela1[[#This Row],[nome]])</f>
        <v>Robert Yronwood</v>
      </c>
      <c r="D127" s="1" t="str">
        <f t="shared" si="12"/>
        <v>000.000.075-00</v>
      </c>
      <c r="G127" s="26">
        <f t="shared" si="13"/>
        <v>8500</v>
      </c>
      <c r="H127" s="26">
        <f t="shared" si="14"/>
        <v>39500</v>
      </c>
      <c r="I127" s="1" t="str">
        <f t="shared" si="15"/>
        <v>Sim</v>
      </c>
      <c r="K127" s="2" t="s">
        <v>23</v>
      </c>
      <c r="L127" s="2" t="s">
        <v>347</v>
      </c>
      <c r="M127" s="3" t="s">
        <v>348</v>
      </c>
      <c r="N127" s="4">
        <f ca="1">DATEDIF(O127,TODAY(),"Y")</f>
        <v>67</v>
      </c>
      <c r="O127" s="5">
        <v>21624</v>
      </c>
      <c r="P127" s="2" t="s">
        <v>119</v>
      </c>
      <c r="Q127" s="2" t="s">
        <v>91</v>
      </c>
      <c r="R127" s="6">
        <v>8500</v>
      </c>
      <c r="S127" s="6">
        <v>39500</v>
      </c>
      <c r="T127" s="7" t="s">
        <v>28</v>
      </c>
      <c r="V127" s="2" t="str">
        <f>IF(Tabela1[[#This Row],[qtde_batalhas]]&lt;=10,"Baixo",IF(Tabela1[[#This Row],[qtde_batalhas]]&lt;=25,"Médio","Alto"))</f>
        <v>Baixo</v>
      </c>
      <c r="W127" s="2" t="s">
        <v>28</v>
      </c>
      <c r="X127" s="6">
        <v>42000</v>
      </c>
      <c r="Y127" s="2" t="str">
        <f t="shared" si="8"/>
        <v>Aprovado</v>
      </c>
      <c r="Z127" s="1" t="str">
        <f t="shared" si="9"/>
        <v>Aprovado</v>
      </c>
      <c r="AA127" s="26">
        <f t="shared" si="10"/>
        <v>45360</v>
      </c>
    </row>
    <row r="128" spans="1:27">
      <c r="A128" s="16">
        <f ca="1">YEAR(TODAY())-Tabela1[[#This Row],[idade]]</f>
        <v>1973</v>
      </c>
      <c r="B128" s="1">
        <f t="shared" ca="1" si="11"/>
        <v>53</v>
      </c>
      <c r="C128" s="1" t="str">
        <f>PROPER(Tabela1[[#This Row],[nome]])</f>
        <v>Meera Reed</v>
      </c>
      <c r="D128" s="1" t="str">
        <f t="shared" si="12"/>
        <v>000.000.314-00</v>
      </c>
      <c r="G128" s="26">
        <f t="shared" si="13"/>
        <v>12200</v>
      </c>
      <c r="H128" s="26">
        <f t="shared" si="14"/>
        <v>79500</v>
      </c>
      <c r="I128" s="1" t="str">
        <f t="shared" si="15"/>
        <v>Não</v>
      </c>
      <c r="K128" s="2" t="s">
        <v>23</v>
      </c>
      <c r="L128" s="2" t="s">
        <v>349</v>
      </c>
      <c r="M128" s="3" t="s">
        <v>350</v>
      </c>
      <c r="N128" s="4">
        <f ca="1">DATEDIF(O128,TODAY(),"Y")</f>
        <v>53</v>
      </c>
      <c r="O128" s="5">
        <v>26584</v>
      </c>
      <c r="P128" s="2" t="s">
        <v>111</v>
      </c>
      <c r="Q128" s="2" t="s">
        <v>91</v>
      </c>
      <c r="R128" s="6">
        <v>12200</v>
      </c>
      <c r="S128" s="6">
        <v>79500</v>
      </c>
      <c r="T128" s="7" t="s">
        <v>140</v>
      </c>
      <c r="U128" s="2">
        <v>45</v>
      </c>
      <c r="V128" s="2" t="str">
        <f>IF(Tabela1[[#This Row],[qtde_batalhas]]&lt;=10,"Baixo",IF(Tabela1[[#This Row],[qtde_batalhas]]&lt;=25,"Médio","Alto"))</f>
        <v>Alto</v>
      </c>
      <c r="W128" s="2" t="s">
        <v>140</v>
      </c>
      <c r="X128" s="6">
        <v>57000</v>
      </c>
      <c r="Y128" s="2" t="str">
        <f t="shared" si="8"/>
        <v>Aprovado</v>
      </c>
      <c r="Z128" s="1" t="str">
        <f t="shared" si="9"/>
        <v>Aprovado</v>
      </c>
      <c r="AA128" s="26">
        <f t="shared" si="10"/>
        <v>61560.000000000007</v>
      </c>
    </row>
    <row r="129" spans="1:27">
      <c r="A129" s="16">
        <f ca="1">YEAR(TODAY())-Tabela1[[#This Row],[idade]]</f>
        <v>1971</v>
      </c>
      <c r="B129" s="1">
        <f t="shared" ca="1" si="11"/>
        <v>55</v>
      </c>
      <c r="C129" s="1" t="str">
        <f>PROPER(Tabela1[[#This Row],[nome]])</f>
        <v>Tormund Royce</v>
      </c>
      <c r="D129" s="1" t="str">
        <f t="shared" si="12"/>
        <v>000.000.297-00</v>
      </c>
      <c r="G129" s="26">
        <f t="shared" si="13"/>
        <v>27500</v>
      </c>
      <c r="H129" s="26">
        <f t="shared" si="14"/>
        <v>14000</v>
      </c>
      <c r="I129" s="1" t="str">
        <f t="shared" si="15"/>
        <v>Não</v>
      </c>
      <c r="K129" s="2" t="s">
        <v>23</v>
      </c>
      <c r="L129" s="2" t="s">
        <v>351</v>
      </c>
      <c r="M129" s="3" t="s">
        <v>352</v>
      </c>
      <c r="N129" s="4">
        <f ca="1">DATEDIF(O129,TODAY(),"Y")</f>
        <v>55</v>
      </c>
      <c r="O129" s="5">
        <v>25880</v>
      </c>
      <c r="P129" s="2" t="s">
        <v>31</v>
      </c>
      <c r="Q129" s="2" t="s">
        <v>32</v>
      </c>
      <c r="R129" s="6">
        <v>27500</v>
      </c>
      <c r="S129" s="6">
        <v>14000</v>
      </c>
      <c r="T129" s="7" t="s">
        <v>49</v>
      </c>
      <c r="U129" s="2">
        <v>3</v>
      </c>
      <c r="V129" s="2" t="str">
        <f>IF(Tabela1[[#This Row],[qtde_batalhas]]&lt;=10,"Baixo",IF(Tabela1[[#This Row],[qtde_batalhas]]&lt;=25,"Médio","Alto"))</f>
        <v>Baixo</v>
      </c>
      <c r="W129" s="2" t="s">
        <v>49</v>
      </c>
      <c r="X129" s="6">
        <v>11500</v>
      </c>
      <c r="Y129" s="2" t="str">
        <f t="shared" si="8"/>
        <v>Aprovado</v>
      </c>
      <c r="Z129" s="1" t="str">
        <f t="shared" si="9"/>
        <v>Aprovado</v>
      </c>
      <c r="AA129" s="26">
        <f t="shared" si="10"/>
        <v>12420</v>
      </c>
    </row>
    <row r="130" spans="1:27">
      <c r="A130" s="16">
        <f ca="1">YEAR(TODAY())-Tabela1[[#This Row],[idade]]</f>
        <v>1991</v>
      </c>
      <c r="B130" s="1">
        <f t="shared" ca="1" si="11"/>
        <v>35</v>
      </c>
      <c r="C130" s="1" t="str">
        <f>PROPER(Tabela1[[#This Row],[nome]])</f>
        <v>Rickon Karstark</v>
      </c>
      <c r="D130" s="1" t="str">
        <f t="shared" si="12"/>
        <v>-</v>
      </c>
      <c r="G130" s="26">
        <f t="shared" si="13"/>
        <v>24000</v>
      </c>
      <c r="H130" s="26">
        <f t="shared" si="14"/>
        <v>0</v>
      </c>
      <c r="I130" s="1" t="str">
        <f t="shared" si="15"/>
        <v>Sim</v>
      </c>
      <c r="K130" s="2" t="s">
        <v>23</v>
      </c>
      <c r="L130" s="2" t="s">
        <v>288</v>
      </c>
      <c r="M130" s="3">
        <v>8900</v>
      </c>
      <c r="N130" s="4">
        <f ca="1">DATEDIF(O130,TODAY(),"Y")</f>
        <v>35</v>
      </c>
      <c r="O130" s="5">
        <v>33473</v>
      </c>
      <c r="P130" s="2" t="s">
        <v>194</v>
      </c>
      <c r="Q130" s="2" t="s">
        <v>408</v>
      </c>
      <c r="R130" s="6">
        <v>24000</v>
      </c>
      <c r="S130" s="6">
        <v>0</v>
      </c>
      <c r="T130" s="7" t="s">
        <v>28</v>
      </c>
      <c r="U130" s="2">
        <v>3</v>
      </c>
      <c r="V130" s="2" t="str">
        <f>IF(Tabela1[[#This Row],[qtde_batalhas]]&lt;=10,"Baixo",IF(Tabela1[[#This Row],[qtde_batalhas]]&lt;=25,"Médio","Alto"))</f>
        <v>Baixo</v>
      </c>
      <c r="W130" s="2" t="s">
        <v>28</v>
      </c>
      <c r="X130" s="6">
        <v>60000</v>
      </c>
      <c r="Y130" s="2" t="str">
        <f t="shared" si="8"/>
        <v>Aprovado</v>
      </c>
      <c r="Z130" s="1" t="str">
        <f t="shared" si="9"/>
        <v>Aprovado</v>
      </c>
      <c r="AA130" s="26">
        <f t="shared" si="10"/>
        <v>64800.000000000007</v>
      </c>
    </row>
    <row r="131" spans="1:27">
      <c r="A131" s="16">
        <f ca="1">YEAR(TODAY())-Tabela1[[#This Row],[idade]]</f>
        <v>1995</v>
      </c>
      <c r="B131" s="1">
        <f t="shared" ca="1" si="11"/>
        <v>31</v>
      </c>
      <c r="C131" s="1" t="str">
        <f>PROPER(Tabela1[[#This Row],[nome]])</f>
        <v>Podrick Blackwood</v>
      </c>
      <c r="D131" s="1" t="str">
        <f t="shared" si="12"/>
        <v>-</v>
      </c>
      <c r="G131" s="26">
        <f t="shared" si="13"/>
        <v>24900</v>
      </c>
      <c r="H131" s="26">
        <f t="shared" si="14"/>
        <v>72000</v>
      </c>
      <c r="I131" s="1" t="str">
        <f t="shared" si="15"/>
        <v>Não</v>
      </c>
      <c r="K131" s="2" t="s">
        <v>29</v>
      </c>
      <c r="L131" s="2" t="s">
        <v>229</v>
      </c>
      <c r="M131" s="3">
        <v>8300</v>
      </c>
      <c r="N131" s="4">
        <f ca="1">DATEDIF(O131,TODAY(),"Y")</f>
        <v>31</v>
      </c>
      <c r="O131" s="5">
        <v>34828</v>
      </c>
      <c r="P131" s="2" t="s">
        <v>174</v>
      </c>
      <c r="Q131" s="2" t="s">
        <v>38</v>
      </c>
      <c r="R131" s="6">
        <v>24900</v>
      </c>
      <c r="S131" s="6">
        <v>72000</v>
      </c>
      <c r="T131" s="7" t="s">
        <v>49</v>
      </c>
      <c r="U131" s="2">
        <v>35</v>
      </c>
      <c r="V131" s="2" t="str">
        <f>IF(Tabela1[[#This Row],[qtde_batalhas]]&lt;=10,"Baixo",IF(Tabela1[[#This Row],[qtde_batalhas]]&lt;=25,"Médio","Alto"))</f>
        <v>Alto</v>
      </c>
      <c r="W131" s="2" t="s">
        <v>49</v>
      </c>
      <c r="X131" s="6">
        <v>79000</v>
      </c>
      <c r="Y131" s="2" t="str">
        <f t="shared" ref="Y131:Y194" si="16">IF(AND(V131="Alto",T131="Sim"),"Negado","Aprovado")</f>
        <v>Aprovado</v>
      </c>
      <c r="Z131" s="1" t="str">
        <f t="shared" ref="Z131:Z194" si="17">IF(AND(ISNUMBER(S131),S131&gt;50000,T131="Sim"),"Negado","Aprovado")</f>
        <v>Aprovado</v>
      </c>
      <c r="AA131" s="26">
        <f t="shared" ref="AA131:AA194" si="18">IF(OR(Y131="Negado",Z131="Negado"),0,IF(K131="Ativo",X131*1.08,0))</f>
        <v>0</v>
      </c>
    </row>
    <row r="132" spans="1:27">
      <c r="A132" s="16">
        <f ca="1">YEAR(TODAY())-Tabela1[[#This Row],[idade]]</f>
        <v>1985</v>
      </c>
      <c r="B132" s="1">
        <f t="shared" ref="B132:B195" ca="1" si="19">INT((TODAY()-O132)/365)</f>
        <v>41</v>
      </c>
      <c r="C132" s="1" t="str">
        <f>PROPER(Tabela1[[#This Row],[nome]])</f>
        <v>Tyrion Karstark</v>
      </c>
      <c r="D132" s="1" t="str">
        <f t="shared" ref="D132:D195" si="20">IF(LEN(SUBSTITUTE(SUBSTITUTE(SUBSTITUTE(M132,".",""),"-","")," ",""))=11,M132,"-")</f>
        <v>-</v>
      </c>
      <c r="G132" s="26">
        <f t="shared" ref="G132:G195" si="21">IF(R132="","-",IF(ISNUMBER(R132),R132,IF(UPPER(TRIM(R132))="SEM RENDA","-","-")))</f>
        <v>28600</v>
      </c>
      <c r="H132" s="26">
        <f t="shared" ref="H132:H195" si="22">IF(S132="","-",IF(ISNUMBER(S132),S132,IF(UPPER(TRIM(S132))="SEM RENDA","-","-")))</f>
        <v>67500</v>
      </c>
      <c r="I132" s="1" t="str">
        <f t="shared" ref="I132:I195" si="23">IF(TRIM(W132)="","-",
IF(OR(UPPER(TRIM(W132))="SIM",TRIM(W132)="1"),"Sim",
IF(OR(UPPER(TRIM(W132))="NÃO",UPPER(TRIM(W132))="NAO",TRIM(W132)="0"),"Não",
"-")))</f>
        <v>Não</v>
      </c>
      <c r="K132" s="2" t="s">
        <v>23</v>
      </c>
      <c r="L132" s="2" t="s">
        <v>353</v>
      </c>
      <c r="M132" s="3">
        <v>3800</v>
      </c>
      <c r="N132" s="4">
        <f ca="1">DATEDIF(O132,TODAY(),"Y")</f>
        <v>41</v>
      </c>
      <c r="O132" s="5">
        <v>30992</v>
      </c>
      <c r="P132" s="2" t="s">
        <v>52</v>
      </c>
      <c r="Q132" s="2" t="s">
        <v>57</v>
      </c>
      <c r="R132" s="6">
        <v>28600</v>
      </c>
      <c r="S132" s="6">
        <v>67500</v>
      </c>
      <c r="T132" s="7" t="s">
        <v>49</v>
      </c>
      <c r="U132" s="2">
        <v>39</v>
      </c>
      <c r="V132" s="2" t="str">
        <f>IF(Tabela1[[#This Row],[qtde_batalhas]]&lt;=10,"Baixo",IF(Tabela1[[#This Row],[qtde_batalhas]]&lt;=25,"Médio","Alto"))</f>
        <v>Alto</v>
      </c>
      <c r="W132" s="2" t="s">
        <v>49</v>
      </c>
      <c r="X132" s="6">
        <v>22000</v>
      </c>
      <c r="Y132" s="2" t="str">
        <f t="shared" si="16"/>
        <v>Aprovado</v>
      </c>
      <c r="Z132" s="1" t="str">
        <f t="shared" si="17"/>
        <v>Aprovado</v>
      </c>
      <c r="AA132" s="26">
        <f t="shared" si="18"/>
        <v>23760</v>
      </c>
    </row>
    <row r="133" spans="1:27">
      <c r="A133" s="16">
        <f ca="1">YEAR(TODAY())-Tabela1[[#This Row],[idade]]</f>
        <v>1970</v>
      </c>
      <c r="B133" s="1">
        <f t="shared" ca="1" si="19"/>
        <v>56</v>
      </c>
      <c r="C133" s="1" t="str">
        <f>PROPER(Tabela1[[#This Row],[nome]])</f>
        <v>Missandei Florent</v>
      </c>
      <c r="D133" s="1" t="str">
        <f t="shared" si="20"/>
        <v>000.000.282-00</v>
      </c>
      <c r="G133" s="26">
        <f t="shared" si="21"/>
        <v>28300</v>
      </c>
      <c r="H133" s="26">
        <f t="shared" si="22"/>
        <v>56000</v>
      </c>
      <c r="I133" s="1" t="str">
        <f t="shared" si="23"/>
        <v>Não</v>
      </c>
      <c r="K133" s="2" t="s">
        <v>23</v>
      </c>
      <c r="L133" s="2" t="s">
        <v>355</v>
      </c>
      <c r="M133" s="3" t="s">
        <v>356</v>
      </c>
      <c r="N133" s="4">
        <f ca="1">DATEDIF(O133,TODAY(),"Y")</f>
        <v>56</v>
      </c>
      <c r="O133" s="5">
        <v>25671</v>
      </c>
      <c r="P133" s="2" t="s">
        <v>118</v>
      </c>
      <c r="Q133" s="2" t="s">
        <v>88</v>
      </c>
      <c r="R133" s="6">
        <v>28300</v>
      </c>
      <c r="S133" s="6">
        <v>56000</v>
      </c>
      <c r="T133" s="7" t="s">
        <v>49</v>
      </c>
      <c r="U133" s="2">
        <v>6</v>
      </c>
      <c r="V133" s="2" t="str">
        <f>IF(Tabela1[[#This Row],[qtde_batalhas]]&lt;=10,"Baixo",IF(Tabela1[[#This Row],[qtde_batalhas]]&lt;=25,"Médio","Alto"))</f>
        <v>Baixo</v>
      </c>
      <c r="W133" s="2" t="s">
        <v>49</v>
      </c>
      <c r="X133" s="6">
        <v>77000</v>
      </c>
      <c r="Y133" s="2" t="str">
        <f t="shared" si="16"/>
        <v>Aprovado</v>
      </c>
      <c r="Z133" s="1" t="str">
        <f t="shared" si="17"/>
        <v>Aprovado</v>
      </c>
      <c r="AA133" s="26">
        <f t="shared" si="18"/>
        <v>83160</v>
      </c>
    </row>
    <row r="134" spans="1:27">
      <c r="A134" s="16">
        <f ca="1">YEAR(TODAY())-Tabela1[[#This Row],[idade]]</f>
        <v>2003</v>
      </c>
      <c r="B134" s="1">
        <f t="shared" ca="1" si="19"/>
        <v>23</v>
      </c>
      <c r="C134" s="1" t="str">
        <f>PROPER(Tabela1[[#This Row],[nome]])</f>
        <v>Varys  Stark</v>
      </c>
      <c r="D134" s="1" t="str">
        <f t="shared" si="20"/>
        <v>-</v>
      </c>
      <c r="G134" s="26">
        <f t="shared" si="21"/>
        <v>2600</v>
      </c>
      <c r="H134" s="26">
        <f t="shared" si="22"/>
        <v>0</v>
      </c>
      <c r="I134" s="1" t="str">
        <f t="shared" si="23"/>
        <v>Sim</v>
      </c>
      <c r="K134" s="2" t="s">
        <v>23</v>
      </c>
      <c r="L134" s="2" t="s">
        <v>826</v>
      </c>
      <c r="M134" s="3">
        <v>37700</v>
      </c>
      <c r="N134" s="4">
        <f ca="1">DATEDIF(O134,TODAY(),"Y")</f>
        <v>23</v>
      </c>
      <c r="O134" s="5">
        <v>37566</v>
      </c>
      <c r="P134" s="2" t="s">
        <v>76</v>
      </c>
      <c r="Q134" s="2" t="s">
        <v>71</v>
      </c>
      <c r="R134" s="6">
        <v>2600</v>
      </c>
      <c r="S134" s="6">
        <v>0</v>
      </c>
      <c r="T134" s="7" t="s">
        <v>28</v>
      </c>
      <c r="U134" s="2">
        <v>30</v>
      </c>
      <c r="V134" s="2" t="str">
        <f>IF(Tabela1[[#This Row],[qtde_batalhas]]&lt;=10,"Baixo",IF(Tabela1[[#This Row],[qtde_batalhas]]&lt;=25,"Médio","Alto"))</f>
        <v>Alto</v>
      </c>
      <c r="W134" s="2" t="s">
        <v>28</v>
      </c>
      <c r="X134" s="6">
        <v>11000</v>
      </c>
      <c r="Y134" s="2" t="str">
        <f t="shared" si="16"/>
        <v>Negado</v>
      </c>
      <c r="Z134" s="1" t="str">
        <f t="shared" si="17"/>
        <v>Aprovado</v>
      </c>
      <c r="AA134" s="26">
        <f t="shared" si="18"/>
        <v>0</v>
      </c>
    </row>
    <row r="135" spans="1:27">
      <c r="A135" s="16">
        <f ca="1">YEAR(TODAY())-Tabela1[[#This Row],[idade]]</f>
        <v>2001</v>
      </c>
      <c r="B135" s="1">
        <f t="shared" ca="1" si="19"/>
        <v>25</v>
      </c>
      <c r="C135" s="1" t="str">
        <f>PROPER(Tabela1[[#This Row],[nome]])</f>
        <v>Jeor Karstark</v>
      </c>
      <c r="D135" s="1" t="str">
        <f t="shared" si="20"/>
        <v>000.000.310-00</v>
      </c>
      <c r="G135" s="26" t="str">
        <f t="shared" si="21"/>
        <v>-</v>
      </c>
      <c r="H135" s="26">
        <f t="shared" si="22"/>
        <v>21000</v>
      </c>
      <c r="I135" s="1" t="str">
        <f t="shared" si="23"/>
        <v>Não</v>
      </c>
      <c r="K135" s="2" t="s">
        <v>23</v>
      </c>
      <c r="L135" s="2" t="s">
        <v>358</v>
      </c>
      <c r="M135" s="3" t="s">
        <v>359</v>
      </c>
      <c r="N135" s="4">
        <f ca="1">DATEDIF(O135,TODAY(),"Y")</f>
        <v>25</v>
      </c>
      <c r="O135" s="5">
        <v>37137</v>
      </c>
      <c r="P135" s="2" t="s">
        <v>26</v>
      </c>
      <c r="Q135" s="2" t="s">
        <v>27</v>
      </c>
      <c r="S135" s="6">
        <v>21000</v>
      </c>
      <c r="T135" s="7" t="s">
        <v>49</v>
      </c>
      <c r="U135" s="2">
        <v>34</v>
      </c>
      <c r="V135" s="2" t="str">
        <f>IF(Tabela1[[#This Row],[qtde_batalhas]]&lt;=10,"Baixo",IF(Tabela1[[#This Row],[qtde_batalhas]]&lt;=25,"Médio","Alto"))</f>
        <v>Alto</v>
      </c>
      <c r="W135" s="2" t="s">
        <v>49</v>
      </c>
      <c r="X135" s="6">
        <v>7500</v>
      </c>
      <c r="Y135" s="2" t="str">
        <f t="shared" si="16"/>
        <v>Aprovado</v>
      </c>
      <c r="Z135" s="1" t="str">
        <f t="shared" si="17"/>
        <v>Aprovado</v>
      </c>
      <c r="AA135" s="26">
        <f t="shared" si="18"/>
        <v>8100.0000000000009</v>
      </c>
    </row>
    <row r="136" spans="1:27">
      <c r="A136" s="16">
        <f ca="1">YEAR(TODAY())-Tabela1[[#This Row],[idade]]</f>
        <v>1969</v>
      </c>
      <c r="B136" s="1">
        <f t="shared" ca="1" si="19"/>
        <v>57</v>
      </c>
      <c r="C136" s="1" t="str">
        <f>PROPER(Tabela1[[#This Row],[nome]])</f>
        <v>Renly Mormont</v>
      </c>
      <c r="D136" s="1" t="str">
        <f t="shared" si="20"/>
        <v>000.000.376-00</v>
      </c>
      <c r="G136" s="26">
        <f t="shared" si="21"/>
        <v>20700</v>
      </c>
      <c r="H136" s="26">
        <f t="shared" si="22"/>
        <v>64500</v>
      </c>
      <c r="I136" s="1" t="str">
        <f t="shared" si="23"/>
        <v>Não</v>
      </c>
      <c r="K136" s="2" t="s">
        <v>23</v>
      </c>
      <c r="L136" s="2" t="s">
        <v>360</v>
      </c>
      <c r="M136" s="3" t="s">
        <v>361</v>
      </c>
      <c r="N136" s="4">
        <f ca="1">DATEDIF(O136,TODAY(),"Y")</f>
        <v>57</v>
      </c>
      <c r="O136" s="5">
        <v>25199</v>
      </c>
      <c r="P136" s="2" t="s">
        <v>97</v>
      </c>
      <c r="Q136" s="2" t="s">
        <v>98</v>
      </c>
      <c r="R136" s="6">
        <v>20700</v>
      </c>
      <c r="S136" s="6">
        <v>64500</v>
      </c>
      <c r="T136" s="7" t="s">
        <v>49</v>
      </c>
      <c r="U136" s="2">
        <v>19</v>
      </c>
      <c r="V136" s="2" t="str">
        <f>IF(Tabela1[[#This Row],[qtde_batalhas]]&lt;=10,"Baixo",IF(Tabela1[[#This Row],[qtde_batalhas]]&lt;=25,"Médio","Alto"))</f>
        <v>Médio</v>
      </c>
      <c r="W136" s="2" t="s">
        <v>49</v>
      </c>
      <c r="X136" s="6">
        <v>54500</v>
      </c>
      <c r="Y136" s="2" t="str">
        <f t="shared" si="16"/>
        <v>Aprovado</v>
      </c>
      <c r="Z136" s="1" t="str">
        <f t="shared" si="17"/>
        <v>Aprovado</v>
      </c>
      <c r="AA136" s="26">
        <f t="shared" si="18"/>
        <v>58860.000000000007</v>
      </c>
    </row>
    <row r="137" spans="1:27">
      <c r="A137" s="16">
        <f ca="1">YEAR(TODAY())-Tabela1[[#This Row],[idade]]</f>
        <v>1953</v>
      </c>
      <c r="B137" s="1">
        <f t="shared" ca="1" si="19"/>
        <v>73</v>
      </c>
      <c r="C137" s="1" t="str">
        <f>PROPER(Tabela1[[#This Row],[nome]])</f>
        <v>Eddard Royce</v>
      </c>
      <c r="D137" s="1" t="str">
        <f t="shared" si="20"/>
        <v>000.000.181-00</v>
      </c>
      <c r="G137" s="26">
        <f t="shared" si="21"/>
        <v>6100</v>
      </c>
      <c r="H137" s="26">
        <f t="shared" si="22"/>
        <v>16000</v>
      </c>
      <c r="I137" s="1" t="str">
        <f t="shared" si="23"/>
        <v>Não</v>
      </c>
      <c r="K137" s="2" t="s">
        <v>23</v>
      </c>
      <c r="L137" s="2" t="s">
        <v>363</v>
      </c>
      <c r="M137" s="3" t="s">
        <v>364</v>
      </c>
      <c r="N137" s="4">
        <f ca="1">DATEDIF(O137,TODAY(),"Y")</f>
        <v>73</v>
      </c>
      <c r="O137" s="5">
        <v>19314</v>
      </c>
      <c r="P137" s="2" t="s">
        <v>37</v>
      </c>
      <c r="Q137" s="2" t="s">
        <v>827</v>
      </c>
      <c r="R137" s="6">
        <v>6100</v>
      </c>
      <c r="S137" s="6">
        <v>16000</v>
      </c>
      <c r="T137" s="7" t="s">
        <v>49</v>
      </c>
      <c r="U137" s="2">
        <v>9</v>
      </c>
      <c r="V137" s="2" t="str">
        <f>IF(Tabela1[[#This Row],[qtde_batalhas]]&lt;=10,"Baixo",IF(Tabela1[[#This Row],[qtde_batalhas]]&lt;=25,"Médio","Alto"))</f>
        <v>Baixo</v>
      </c>
      <c r="W137" s="2" t="s">
        <v>49</v>
      </c>
      <c r="X137" s="6">
        <v>24500</v>
      </c>
      <c r="Y137" s="2" t="str">
        <f t="shared" si="16"/>
        <v>Aprovado</v>
      </c>
      <c r="Z137" s="1" t="str">
        <f t="shared" si="17"/>
        <v>Aprovado</v>
      </c>
      <c r="AA137" s="26">
        <f t="shared" si="18"/>
        <v>26460</v>
      </c>
    </row>
    <row r="138" spans="1:27">
      <c r="A138" s="16">
        <f ca="1">YEAR(TODAY())-Tabela1[[#This Row],[idade]]</f>
        <v>2002</v>
      </c>
      <c r="B138" s="1">
        <f t="shared" ca="1" si="19"/>
        <v>24</v>
      </c>
      <c r="C138" s="1" t="str">
        <f>PROPER(Tabela1[[#This Row],[nome]])</f>
        <v>Rhaegar Lannister</v>
      </c>
      <c r="D138" s="1" t="str">
        <f t="shared" si="20"/>
        <v>-</v>
      </c>
      <c r="G138" s="26">
        <f t="shared" si="21"/>
        <v>6400</v>
      </c>
      <c r="H138" s="26">
        <f t="shared" si="22"/>
        <v>41000</v>
      </c>
      <c r="I138" s="1" t="str">
        <f t="shared" si="23"/>
        <v>Não</v>
      </c>
      <c r="K138" s="2" t="s">
        <v>23</v>
      </c>
      <c r="L138" s="2" t="s">
        <v>367</v>
      </c>
      <c r="M138" s="3">
        <v>37000</v>
      </c>
      <c r="N138" s="4">
        <f ca="1">DATEDIF(O138,TODAY(),"Y")</f>
        <v>24</v>
      </c>
      <c r="O138" s="5">
        <v>37290</v>
      </c>
      <c r="P138" s="2" t="s">
        <v>122</v>
      </c>
      <c r="Q138" s="2" t="s">
        <v>98</v>
      </c>
      <c r="R138" s="6">
        <v>6400</v>
      </c>
      <c r="S138" s="6">
        <v>41000</v>
      </c>
      <c r="T138" s="7" t="s">
        <v>49</v>
      </c>
      <c r="U138" s="2">
        <v>22</v>
      </c>
      <c r="V138" s="2" t="str">
        <f>IF(Tabela1[[#This Row],[qtde_batalhas]]&lt;=10,"Baixo",IF(Tabela1[[#This Row],[qtde_batalhas]]&lt;=25,"Médio","Alto"))</f>
        <v>Médio</v>
      </c>
      <c r="W138" s="2" t="s">
        <v>49</v>
      </c>
      <c r="X138" s="6">
        <v>74500</v>
      </c>
      <c r="Y138" s="2" t="str">
        <f t="shared" si="16"/>
        <v>Aprovado</v>
      </c>
      <c r="Z138" s="1" t="str">
        <f t="shared" si="17"/>
        <v>Aprovado</v>
      </c>
      <c r="AA138" s="26">
        <f t="shared" si="18"/>
        <v>80460</v>
      </c>
    </row>
    <row r="139" spans="1:27">
      <c r="A139" s="16">
        <f ca="1">YEAR(TODAY())-Tabela1[[#This Row],[idade]]</f>
        <v>2026</v>
      </c>
      <c r="B139" s="1">
        <f t="shared" ca="1" si="19"/>
        <v>126</v>
      </c>
      <c r="C139" s="1" t="str">
        <f>PROPER(Tabela1[[#This Row],[nome]])</f>
        <v>Varys Blackwood</v>
      </c>
      <c r="D139" s="1" t="str">
        <f t="shared" si="20"/>
        <v>000.000.373-00</v>
      </c>
      <c r="E139" t="str">
        <f>IF(P160="Lannisporto","Oeste",
IF(P160="Ninho da Águia","Vale",
IF(P160="Ponta Tempestade","Terras da Tempestade",
IF(P160="Pedra do Dragão","Terras da Coroa",
IF(P160="Pyke","Ilhas de Ferro",
IF(P160="Meereen","Essos",
IF(P160="Braavos","Essos",
IF(P160="Correrrio","Terras Fluviais",
IF(P160="Castelo Negro","Norte",
IF(P160="Vilavelha","Campina",
IF(P160="Ilha dos Ursos","Norte",
IF(P160="Fosso Cailin","Norte",
IF(P160="Harrenhal","Terras Fluviais",
IF(P160="Winterfell","Norte",
IF(P160="Jardim de Cima","Campina",
IF(P160="Dorne","Dorne",
IF(P160="Monte Chifre","Campina",
IF(P160="Atalaia da Água Cinzenta","Oeste",
IF(P160="Porto Real","Terras da Coroa",
IF(P160="Solar do Entardecer","Terras da Tempestade",
""))))))))))))))))))))</f>
        <v>Oeste</v>
      </c>
      <c r="G139" s="26">
        <f t="shared" si="21"/>
        <v>11600</v>
      </c>
      <c r="H139" s="26">
        <f t="shared" si="22"/>
        <v>63500</v>
      </c>
      <c r="I139" s="1" t="str">
        <f t="shared" si="23"/>
        <v>Não</v>
      </c>
      <c r="K139" s="2" t="s">
        <v>23</v>
      </c>
      <c r="L139" s="2" t="s">
        <v>368</v>
      </c>
      <c r="M139" s="3" t="s">
        <v>369</v>
      </c>
      <c r="P139" s="19" t="s">
        <v>76</v>
      </c>
      <c r="Q139" s="20" t="str">
        <f>IF(P139="Lannisporto","Oeste",
IF(P139="Ninho da Águia","Vale",
IF(P139="Ponta Tempestade","Terras da Tempestade",
IF(P139="Pedra do Dragão","Terras da Coroa",
IF(P139="Pyke","Ilhas de Ferro",
IF(P139="Meereen","Essos",
IF(P139="Braavos","Essos",
IF(P139="Correrrio","Terras Fluviais",
IF(P139="Castelo Negro","Norte",
IF(P139="Vilavelha","Campina",
IF(P139="Ilha dos Ursos","Norte",
IF(P139="Fosso Cailin","Norte",
IF(P139="Harrenhal","Terras Fluviais",
IF(P139="Winterfell","Norte",
IF(P139="Jardim de Cima","Campina",
IF(P139="Dorne","Dorne",
IF(P139="Monte Chifre","Campina",
IF(P139="Atalaia da Água Cinzenta","Oeste",
IF(P139="Porto Real","Terras da Coroa",
IF(P139="Solar do Entardecer","Terras da Tempestade",
""))))))))))))))))))))</f>
        <v>Essos</v>
      </c>
      <c r="R139" s="6">
        <v>11600</v>
      </c>
      <c r="S139" s="6">
        <v>63500</v>
      </c>
      <c r="T139" s="7">
        <v>0</v>
      </c>
      <c r="U139" s="2">
        <v>18</v>
      </c>
      <c r="V139" s="2" t="str">
        <f>IF(Tabela1[[#This Row],[qtde_batalhas]]&lt;=10,"Baixo",IF(Tabela1[[#This Row],[qtde_batalhas]]&lt;=25,"Médio","Alto"))</f>
        <v>Médio</v>
      </c>
      <c r="W139" s="2">
        <v>0</v>
      </c>
      <c r="X139" s="6">
        <v>3000</v>
      </c>
      <c r="Y139" s="2" t="str">
        <f t="shared" si="16"/>
        <v>Aprovado</v>
      </c>
      <c r="Z139" s="1" t="str">
        <f t="shared" si="17"/>
        <v>Aprovado</v>
      </c>
      <c r="AA139" s="26">
        <f t="shared" si="18"/>
        <v>3240</v>
      </c>
    </row>
    <row r="140" spans="1:27">
      <c r="A140" s="16">
        <f ca="1">YEAR(TODAY())-Tabela1[[#This Row],[idade]]</f>
        <v>1974</v>
      </c>
      <c r="B140" s="1">
        <f t="shared" ca="1" si="19"/>
        <v>52</v>
      </c>
      <c r="C140" s="1" t="str">
        <f>PROPER(Tabela1[[#This Row],[nome]])</f>
        <v>Eddard Westerling</v>
      </c>
      <c r="D140" s="1" t="str">
        <f t="shared" si="20"/>
        <v>000.000.094-00</v>
      </c>
      <c r="G140" s="26">
        <f t="shared" si="21"/>
        <v>6400</v>
      </c>
      <c r="H140" s="26">
        <f t="shared" si="22"/>
        <v>37000</v>
      </c>
      <c r="I140" s="1" t="str">
        <f t="shared" si="23"/>
        <v>Não</v>
      </c>
      <c r="K140" s="2" t="s">
        <v>29</v>
      </c>
      <c r="L140" s="2" t="s">
        <v>828</v>
      </c>
      <c r="M140" s="3" t="s">
        <v>371</v>
      </c>
      <c r="N140" s="4">
        <f ca="1">DATEDIF(O140,TODAY(),"Y")</f>
        <v>52</v>
      </c>
      <c r="O140" s="5">
        <v>27186</v>
      </c>
      <c r="P140" s="2" t="s">
        <v>31</v>
      </c>
      <c r="Q140" s="2" t="s">
        <v>795</v>
      </c>
      <c r="R140" s="6">
        <v>6400</v>
      </c>
      <c r="S140" s="6">
        <v>37000</v>
      </c>
      <c r="T140" s="7" t="s">
        <v>49</v>
      </c>
      <c r="U140" s="2">
        <v>1</v>
      </c>
      <c r="V140" s="2" t="str">
        <f>IF(Tabela1[[#This Row],[qtde_batalhas]]&lt;=10,"Baixo",IF(Tabela1[[#This Row],[qtde_batalhas]]&lt;=25,"Médio","Alto"))</f>
        <v>Baixo</v>
      </c>
      <c r="W140" s="2" t="s">
        <v>49</v>
      </c>
      <c r="X140" s="6">
        <v>87000</v>
      </c>
      <c r="Y140" s="2" t="str">
        <f t="shared" si="16"/>
        <v>Aprovado</v>
      </c>
      <c r="Z140" s="1" t="str">
        <f t="shared" si="17"/>
        <v>Aprovado</v>
      </c>
      <c r="AA140" s="26">
        <f t="shared" si="18"/>
        <v>0</v>
      </c>
    </row>
    <row r="141" spans="1:27">
      <c r="A141" s="16">
        <f ca="1">YEAR(TODAY())-Tabela1[[#This Row],[idade]]</f>
        <v>1972</v>
      </c>
      <c r="B141" s="1">
        <f t="shared" ca="1" si="19"/>
        <v>54</v>
      </c>
      <c r="C141" s="1" t="str">
        <f>PROPER(Tabela1[[#This Row],[nome]])</f>
        <v>Varys  Blackwood</v>
      </c>
      <c r="D141" s="1" t="str">
        <f t="shared" si="20"/>
        <v>-</v>
      </c>
      <c r="G141" s="26">
        <f t="shared" si="21"/>
        <v>3900</v>
      </c>
      <c r="H141" s="26">
        <f t="shared" si="22"/>
        <v>80000</v>
      </c>
      <c r="I141" s="1" t="str">
        <f t="shared" si="23"/>
        <v>Não</v>
      </c>
      <c r="K141" s="2" t="s">
        <v>29</v>
      </c>
      <c r="L141" s="2" t="s">
        <v>829</v>
      </c>
      <c r="M141" s="3">
        <v>26700</v>
      </c>
      <c r="N141" s="4">
        <f ca="1">DATEDIF(O141,TODAY(),"Y")</f>
        <v>54</v>
      </c>
      <c r="O141" s="5">
        <v>26453</v>
      </c>
      <c r="P141" s="2" t="s">
        <v>194</v>
      </c>
      <c r="Q141" s="2" t="s">
        <v>408</v>
      </c>
      <c r="R141" s="6">
        <v>3900</v>
      </c>
      <c r="S141" s="6">
        <v>80000</v>
      </c>
      <c r="T141" s="7" t="s">
        <v>49</v>
      </c>
      <c r="U141" s="2">
        <v>41</v>
      </c>
      <c r="V141" s="2" t="str">
        <f>IF(Tabela1[[#This Row],[qtde_batalhas]]&lt;=10,"Baixo",IF(Tabela1[[#This Row],[qtde_batalhas]]&lt;=25,"Médio","Alto"))</f>
        <v>Alto</v>
      </c>
      <c r="W141" s="2" t="s">
        <v>49</v>
      </c>
      <c r="X141" s="6">
        <v>30000</v>
      </c>
      <c r="Y141" s="2" t="str">
        <f t="shared" si="16"/>
        <v>Aprovado</v>
      </c>
      <c r="Z141" s="1" t="str">
        <f t="shared" si="17"/>
        <v>Aprovado</v>
      </c>
      <c r="AA141" s="26">
        <f t="shared" si="18"/>
        <v>0</v>
      </c>
    </row>
    <row r="142" spans="1:27">
      <c r="A142" s="16">
        <f ca="1">YEAR(TODAY())-Tabela1[[#This Row],[idade]]</f>
        <v>1981</v>
      </c>
      <c r="B142" s="1">
        <f t="shared" ca="1" si="19"/>
        <v>45</v>
      </c>
      <c r="C142" s="1" t="str">
        <f>PROPER(Tabela1[[#This Row],[nome]])</f>
        <v>Olenna Bracken</v>
      </c>
      <c r="D142" s="1" t="str">
        <f t="shared" si="20"/>
        <v>000.000.225-00</v>
      </c>
      <c r="G142" s="26">
        <f t="shared" si="21"/>
        <v>22800</v>
      </c>
      <c r="H142" s="26" t="str">
        <f t="shared" si="22"/>
        <v>-</v>
      </c>
      <c r="I142" s="1" t="str">
        <f t="shared" si="23"/>
        <v>Não</v>
      </c>
      <c r="K142" s="2" t="s">
        <v>23</v>
      </c>
      <c r="L142" s="2" t="s">
        <v>374</v>
      </c>
      <c r="M142" s="3" t="s">
        <v>375</v>
      </c>
      <c r="N142" s="4">
        <f ca="1">DATEDIF(O142,TODAY(),"Y")</f>
        <v>45</v>
      </c>
      <c r="O142" s="5">
        <v>29598</v>
      </c>
      <c r="P142" s="2" t="s">
        <v>52</v>
      </c>
      <c r="Q142" s="2" t="s">
        <v>57</v>
      </c>
      <c r="R142" s="6">
        <v>22800</v>
      </c>
      <c r="T142" s="7" t="s">
        <v>49</v>
      </c>
      <c r="U142" s="2">
        <v>10</v>
      </c>
      <c r="V142" s="2" t="str">
        <f>IF(Tabela1[[#This Row],[qtde_batalhas]]&lt;=10,"Baixo",IF(Tabela1[[#This Row],[qtde_batalhas]]&lt;=25,"Médio","Alto"))</f>
        <v>Baixo</v>
      </c>
      <c r="W142" s="2" t="s">
        <v>49</v>
      </c>
      <c r="X142" s="6">
        <v>31000</v>
      </c>
      <c r="Y142" s="2" t="str">
        <f t="shared" si="16"/>
        <v>Aprovado</v>
      </c>
      <c r="Z142" s="1" t="str">
        <f t="shared" si="17"/>
        <v>Aprovado</v>
      </c>
      <c r="AA142" s="26">
        <f t="shared" si="18"/>
        <v>33480</v>
      </c>
    </row>
    <row r="143" spans="1:27">
      <c r="A143" s="16">
        <f ca="1">YEAR(TODAY())-Tabela1[[#This Row],[idade]]</f>
        <v>1961</v>
      </c>
      <c r="B143" s="1">
        <f t="shared" ca="1" si="19"/>
        <v>65</v>
      </c>
      <c r="C143" s="1" t="str">
        <f>PROPER(Tabela1[[#This Row],[nome]])</f>
        <v>Aegon Marbrand</v>
      </c>
      <c r="D143" s="1" t="str">
        <f t="shared" si="20"/>
        <v>-</v>
      </c>
      <c r="G143" s="26">
        <f t="shared" si="21"/>
        <v>3800</v>
      </c>
      <c r="H143" s="26">
        <f t="shared" si="22"/>
        <v>49500</v>
      </c>
      <c r="I143" s="1" t="str">
        <f t="shared" si="23"/>
        <v>Não</v>
      </c>
      <c r="K143" s="2" t="s">
        <v>23</v>
      </c>
      <c r="L143" s="2" t="s">
        <v>376</v>
      </c>
      <c r="M143" s="3">
        <v>35200</v>
      </c>
      <c r="N143" s="4">
        <f ca="1">DATEDIF(O143,TODAY(),"Y")</f>
        <v>65</v>
      </c>
      <c r="O143" s="5">
        <v>22337</v>
      </c>
      <c r="P143" s="2" t="s">
        <v>90</v>
      </c>
      <c r="Q143" s="2" t="s">
        <v>91</v>
      </c>
      <c r="R143" s="6">
        <v>3800</v>
      </c>
      <c r="S143" s="6">
        <v>49500</v>
      </c>
      <c r="T143" s="7" t="s">
        <v>49</v>
      </c>
      <c r="U143" s="2">
        <v>16</v>
      </c>
      <c r="V143" s="2" t="str">
        <f>IF(Tabela1[[#This Row],[qtde_batalhas]]&lt;=10,"Baixo",IF(Tabela1[[#This Row],[qtde_batalhas]]&lt;=25,"Médio","Alto"))</f>
        <v>Médio</v>
      </c>
      <c r="W143" s="2" t="s">
        <v>49</v>
      </c>
      <c r="X143" s="6">
        <v>15500</v>
      </c>
      <c r="Y143" s="2" t="str">
        <f t="shared" si="16"/>
        <v>Aprovado</v>
      </c>
      <c r="Z143" s="1" t="str">
        <f t="shared" si="17"/>
        <v>Aprovado</v>
      </c>
      <c r="AA143" s="26">
        <f t="shared" si="18"/>
        <v>16740</v>
      </c>
    </row>
    <row r="144" spans="1:27">
      <c r="A144" s="16">
        <f ca="1">YEAR(TODAY())-Tabela1[[#This Row],[idade]]</f>
        <v>1960</v>
      </c>
      <c r="B144" s="1">
        <f t="shared" ca="1" si="19"/>
        <v>66</v>
      </c>
      <c r="C144" s="1" t="str">
        <f>PROPER(Tabela1[[#This Row],[nome]])</f>
        <v>Beric Tyrell</v>
      </c>
      <c r="D144" s="1" t="str">
        <f t="shared" si="20"/>
        <v>000.000.242-00</v>
      </c>
      <c r="G144" s="26">
        <f t="shared" si="21"/>
        <v>11800</v>
      </c>
      <c r="H144" s="26">
        <f t="shared" si="22"/>
        <v>2000</v>
      </c>
      <c r="I144" s="1" t="str">
        <f t="shared" si="23"/>
        <v>Sim</v>
      </c>
      <c r="K144" s="2" t="s">
        <v>23</v>
      </c>
      <c r="L144" s="2" t="s">
        <v>377</v>
      </c>
      <c r="M144" s="3" t="s">
        <v>378</v>
      </c>
      <c r="N144" s="4">
        <f ca="1">DATEDIF(O144,TODAY(),"Y")</f>
        <v>66</v>
      </c>
      <c r="O144" s="5">
        <v>22151</v>
      </c>
      <c r="P144" s="2" t="s">
        <v>97</v>
      </c>
      <c r="Q144" s="2" t="s">
        <v>98</v>
      </c>
      <c r="R144" s="6">
        <v>11800</v>
      </c>
      <c r="S144" s="6">
        <v>2000</v>
      </c>
      <c r="T144" s="7" t="s">
        <v>28</v>
      </c>
      <c r="U144" s="2">
        <v>23</v>
      </c>
      <c r="V144" s="2" t="str">
        <f>IF(Tabela1[[#This Row],[qtde_batalhas]]&lt;=10,"Baixo",IF(Tabela1[[#This Row],[qtde_batalhas]]&lt;=25,"Médio","Alto"))</f>
        <v>Médio</v>
      </c>
      <c r="W144" s="2" t="s">
        <v>28</v>
      </c>
      <c r="X144" s="6">
        <v>72500</v>
      </c>
      <c r="Y144" s="2" t="str">
        <f t="shared" si="16"/>
        <v>Aprovado</v>
      </c>
      <c r="Z144" s="1" t="str">
        <f t="shared" si="17"/>
        <v>Aprovado</v>
      </c>
      <c r="AA144" s="26">
        <f t="shared" si="18"/>
        <v>78300</v>
      </c>
    </row>
    <row r="145" spans="1:27">
      <c r="A145" s="16">
        <f ca="1">YEAR(TODAY())-Tabela1[[#This Row],[idade]]</f>
        <v>1997</v>
      </c>
      <c r="B145" s="1">
        <f t="shared" ca="1" si="19"/>
        <v>29</v>
      </c>
      <c r="C145" s="1" t="str">
        <f>PROPER(Tabela1[[#This Row],[nome]])</f>
        <v>Asha Manderly</v>
      </c>
      <c r="D145" s="1" t="str">
        <f t="shared" si="20"/>
        <v>000.000.357-00</v>
      </c>
      <c r="G145" s="26">
        <f t="shared" si="21"/>
        <v>13800</v>
      </c>
      <c r="H145" s="26">
        <f t="shared" si="22"/>
        <v>41500</v>
      </c>
      <c r="I145" s="1" t="str">
        <f t="shared" si="23"/>
        <v>Não</v>
      </c>
      <c r="K145" s="2" t="s">
        <v>29</v>
      </c>
      <c r="L145" s="2" t="s">
        <v>379</v>
      </c>
      <c r="M145" s="3" t="s">
        <v>380</v>
      </c>
      <c r="N145" s="4">
        <f ca="1">DATEDIF(O145,TODAY(),"Y")</f>
        <v>29</v>
      </c>
      <c r="O145" s="5">
        <v>35607</v>
      </c>
      <c r="P145" s="2" t="s">
        <v>103</v>
      </c>
      <c r="Q145" s="2" t="s">
        <v>91</v>
      </c>
      <c r="R145" s="6">
        <v>13800</v>
      </c>
      <c r="S145" s="6">
        <v>41500</v>
      </c>
      <c r="T145" s="7" t="s">
        <v>49</v>
      </c>
      <c r="U145" s="2">
        <v>34</v>
      </c>
      <c r="V145" s="2" t="str">
        <f>IF(Tabela1[[#This Row],[qtde_batalhas]]&lt;=10,"Baixo",IF(Tabela1[[#This Row],[qtde_batalhas]]&lt;=25,"Médio","Alto"))</f>
        <v>Alto</v>
      </c>
      <c r="W145" s="2" t="s">
        <v>49</v>
      </c>
      <c r="X145" s="6">
        <v>66000</v>
      </c>
      <c r="Y145" s="2" t="str">
        <f t="shared" si="16"/>
        <v>Aprovado</v>
      </c>
      <c r="Z145" s="1" t="str">
        <f t="shared" si="17"/>
        <v>Aprovado</v>
      </c>
      <c r="AA145" s="26">
        <f t="shared" si="18"/>
        <v>0</v>
      </c>
    </row>
    <row r="146" spans="1:27">
      <c r="A146" s="16">
        <f ca="1">YEAR(TODAY())-Tabela1[[#This Row],[idade]]</f>
        <v>2004</v>
      </c>
      <c r="B146" s="1">
        <f t="shared" ca="1" si="19"/>
        <v>22</v>
      </c>
      <c r="C146" s="1" t="str">
        <f>PROPER(Tabela1[[#This Row],[nome]])</f>
        <v>Ellaria Mormont</v>
      </c>
      <c r="D146" s="1" t="str">
        <f t="shared" si="20"/>
        <v>000.000.157-00</v>
      </c>
      <c r="G146" s="26">
        <f t="shared" si="21"/>
        <v>2300</v>
      </c>
      <c r="H146" s="26">
        <f t="shared" si="22"/>
        <v>0</v>
      </c>
      <c r="I146" s="1" t="str">
        <f t="shared" si="23"/>
        <v>Sim</v>
      </c>
      <c r="K146" s="2" t="s">
        <v>23</v>
      </c>
      <c r="L146" s="2" t="s">
        <v>381</v>
      </c>
      <c r="M146" s="3" t="s">
        <v>382</v>
      </c>
      <c r="N146" s="4">
        <f ca="1">DATEDIF(O146,TODAY(),"Y")</f>
        <v>22</v>
      </c>
      <c r="O146" s="5">
        <v>37904</v>
      </c>
      <c r="P146" s="2" t="s">
        <v>31</v>
      </c>
      <c r="Q146" s="2" t="s">
        <v>32</v>
      </c>
      <c r="R146" s="6">
        <v>2300</v>
      </c>
      <c r="S146" s="6">
        <v>0</v>
      </c>
      <c r="T146" s="7" t="s">
        <v>28</v>
      </c>
      <c r="U146" s="2">
        <v>29</v>
      </c>
      <c r="V146" s="2" t="str">
        <f>IF(Tabela1[[#This Row],[qtde_batalhas]]&lt;=10,"Baixo",IF(Tabela1[[#This Row],[qtde_batalhas]]&lt;=25,"Médio","Alto"))</f>
        <v>Alto</v>
      </c>
      <c r="W146" s="2" t="s">
        <v>28</v>
      </c>
      <c r="X146" s="6">
        <v>51500</v>
      </c>
      <c r="Y146" s="2" t="str">
        <f t="shared" si="16"/>
        <v>Negado</v>
      </c>
      <c r="Z146" s="1" t="str">
        <f t="shared" si="17"/>
        <v>Aprovado</v>
      </c>
      <c r="AA146" s="26">
        <f t="shared" si="18"/>
        <v>0</v>
      </c>
    </row>
    <row r="147" spans="1:27">
      <c r="A147" s="16">
        <f ca="1">YEAR(TODAY())-Tabela1[[#This Row],[idade]]</f>
        <v>1997</v>
      </c>
      <c r="B147" s="1">
        <f t="shared" ca="1" si="19"/>
        <v>29</v>
      </c>
      <c r="C147" s="1" t="str">
        <f>PROPER(Tabela1[[#This Row],[nome]])</f>
        <v>Grey Worm Baratheon</v>
      </c>
      <c r="D147" s="1" t="str">
        <f t="shared" si="20"/>
        <v>000.000.221-00</v>
      </c>
      <c r="G147" s="26">
        <f t="shared" si="21"/>
        <v>15500</v>
      </c>
      <c r="H147" s="26">
        <f t="shared" si="22"/>
        <v>75000</v>
      </c>
      <c r="I147" s="1" t="str">
        <f t="shared" si="23"/>
        <v>Não</v>
      </c>
      <c r="K147" s="2" t="s">
        <v>29</v>
      </c>
      <c r="L147" s="2" t="s">
        <v>384</v>
      </c>
      <c r="M147" s="3" t="s">
        <v>385</v>
      </c>
      <c r="N147" s="4">
        <f ca="1">DATEDIF(O147,TODAY(),"Y")</f>
        <v>29</v>
      </c>
      <c r="O147" s="5">
        <v>35598</v>
      </c>
      <c r="P147" s="2" t="s">
        <v>133</v>
      </c>
      <c r="Q147" s="2" t="s">
        <v>133</v>
      </c>
      <c r="R147" s="6">
        <v>15500</v>
      </c>
      <c r="S147" s="6">
        <v>75000</v>
      </c>
      <c r="T147" s="7" t="s">
        <v>49</v>
      </c>
      <c r="U147" s="2">
        <v>25</v>
      </c>
      <c r="V147" s="2" t="str">
        <f>IF(Tabela1[[#This Row],[qtde_batalhas]]&lt;=10,"Baixo",IF(Tabela1[[#This Row],[qtde_batalhas]]&lt;=25,"Médio","Alto"))</f>
        <v>Médio</v>
      </c>
      <c r="W147" s="2" t="s">
        <v>49</v>
      </c>
      <c r="X147" s="6">
        <v>47000</v>
      </c>
      <c r="Y147" s="2" t="str">
        <f t="shared" si="16"/>
        <v>Aprovado</v>
      </c>
      <c r="Z147" s="1" t="str">
        <f t="shared" si="17"/>
        <v>Aprovado</v>
      </c>
      <c r="AA147" s="26">
        <f t="shared" si="18"/>
        <v>0</v>
      </c>
    </row>
    <row r="148" spans="1:27">
      <c r="A148" s="16">
        <f ca="1">YEAR(TODAY())-Tabela1[[#This Row],[idade]]</f>
        <v>1954</v>
      </c>
      <c r="B148" s="1">
        <f t="shared" ca="1" si="19"/>
        <v>72</v>
      </c>
      <c r="C148" s="1" t="str">
        <f>PROPER(Tabela1[[#This Row],[nome]])</f>
        <v>Ellaria Swyft</v>
      </c>
      <c r="D148" s="1" t="str">
        <f t="shared" si="20"/>
        <v>000.000.115-00</v>
      </c>
      <c r="G148" s="26">
        <f t="shared" si="21"/>
        <v>3900</v>
      </c>
      <c r="H148" s="26">
        <f t="shared" si="22"/>
        <v>27000</v>
      </c>
      <c r="I148" s="1" t="str">
        <f t="shared" si="23"/>
        <v>Não</v>
      </c>
      <c r="K148" s="2" t="s">
        <v>23</v>
      </c>
      <c r="L148" s="2" t="s">
        <v>386</v>
      </c>
      <c r="M148" s="3" t="s">
        <v>387</v>
      </c>
      <c r="N148" s="4">
        <f ca="1">DATEDIF(O148,TODAY(),"Y")</f>
        <v>72</v>
      </c>
      <c r="O148" s="5">
        <v>19839</v>
      </c>
      <c r="P148" s="2" t="s">
        <v>26</v>
      </c>
      <c r="Q148" s="2" t="s">
        <v>27</v>
      </c>
      <c r="R148" s="6">
        <v>3900</v>
      </c>
      <c r="S148" s="6">
        <v>27000</v>
      </c>
      <c r="T148" s="7" t="s">
        <v>49</v>
      </c>
      <c r="U148" s="2">
        <v>33</v>
      </c>
      <c r="V148" s="2" t="str">
        <f>IF(Tabela1[[#This Row],[qtde_batalhas]]&lt;=10,"Baixo",IF(Tabela1[[#This Row],[qtde_batalhas]]&lt;=25,"Médio","Alto"))</f>
        <v>Alto</v>
      </c>
      <c r="W148" s="2" t="s">
        <v>49</v>
      </c>
      <c r="X148" s="6">
        <v>2000</v>
      </c>
      <c r="Y148" s="2" t="str">
        <f t="shared" si="16"/>
        <v>Aprovado</v>
      </c>
      <c r="Z148" s="1" t="str">
        <f t="shared" si="17"/>
        <v>Aprovado</v>
      </c>
      <c r="AA148" s="26">
        <f t="shared" si="18"/>
        <v>2160</v>
      </c>
    </row>
    <row r="149" spans="1:27">
      <c r="A149" s="16">
        <f ca="1">YEAR(TODAY())-Tabela1[[#This Row],[idade]]</f>
        <v>1968</v>
      </c>
      <c r="B149" s="1">
        <f t="shared" ca="1" si="19"/>
        <v>58</v>
      </c>
      <c r="C149" s="1" t="str">
        <f>PROPER(Tabela1[[#This Row],[nome]])</f>
        <v>Grey  Worm  Greyjoy</v>
      </c>
      <c r="D149" s="1" t="str">
        <f t="shared" si="20"/>
        <v>000.000.182-00</v>
      </c>
      <c r="G149" s="26">
        <f t="shared" si="21"/>
        <v>4500</v>
      </c>
      <c r="H149" s="26" t="str">
        <f t="shared" si="22"/>
        <v>-</v>
      </c>
      <c r="I149" s="1" t="str">
        <f t="shared" si="23"/>
        <v>Sim</v>
      </c>
      <c r="K149" s="2" t="s">
        <v>23</v>
      </c>
      <c r="L149" s="2" t="s">
        <v>830</v>
      </c>
      <c r="M149" s="3" t="s">
        <v>390</v>
      </c>
      <c r="N149" s="4">
        <f ca="1">DATEDIF(O149,TODAY(),"Y")</f>
        <v>58</v>
      </c>
      <c r="O149" s="5">
        <v>25066</v>
      </c>
      <c r="P149" s="2" t="s">
        <v>122</v>
      </c>
      <c r="Q149" s="2" t="s">
        <v>98</v>
      </c>
      <c r="R149" s="6">
        <v>4500</v>
      </c>
      <c r="T149" s="7" t="s">
        <v>28</v>
      </c>
      <c r="U149" s="2">
        <v>31</v>
      </c>
      <c r="V149" s="2" t="str">
        <f>IF(Tabela1[[#This Row],[qtde_batalhas]]&lt;=10,"Baixo",IF(Tabela1[[#This Row],[qtde_batalhas]]&lt;=25,"Médio","Alto"))</f>
        <v>Alto</v>
      </c>
      <c r="W149" s="2" t="s">
        <v>28</v>
      </c>
      <c r="X149" s="6">
        <v>97500</v>
      </c>
      <c r="Y149" s="2" t="str">
        <f t="shared" si="16"/>
        <v>Negado</v>
      </c>
      <c r="Z149" s="1" t="str">
        <f t="shared" si="17"/>
        <v>Aprovado</v>
      </c>
      <c r="AA149" s="26">
        <f t="shared" si="18"/>
        <v>0</v>
      </c>
    </row>
    <row r="150" spans="1:27">
      <c r="A150" s="16">
        <f ca="1">YEAR(TODAY())-Tabela1[[#This Row],[idade]]</f>
        <v>1993</v>
      </c>
      <c r="B150" s="1">
        <f t="shared" ca="1" si="19"/>
        <v>33</v>
      </c>
      <c r="C150" s="1" t="str">
        <f>PROPER(Tabela1[[#This Row],[nome]])</f>
        <v>Jeor  Payne</v>
      </c>
      <c r="D150" s="1" t="str">
        <f t="shared" si="20"/>
        <v>-</v>
      </c>
      <c r="G150" s="26" t="str">
        <f t="shared" si="21"/>
        <v>-</v>
      </c>
      <c r="H150" s="26">
        <f t="shared" si="22"/>
        <v>73500</v>
      </c>
      <c r="I150" s="1" t="str">
        <f t="shared" si="23"/>
        <v>Não</v>
      </c>
      <c r="K150" s="2" t="s">
        <v>23</v>
      </c>
      <c r="L150" s="2" t="s">
        <v>831</v>
      </c>
      <c r="M150" s="3">
        <v>20900</v>
      </c>
      <c r="N150" s="4">
        <f ca="1">DATEDIF(O150,TODAY(),"Y")</f>
        <v>33</v>
      </c>
      <c r="O150" s="5">
        <v>34021</v>
      </c>
      <c r="P150" s="2" t="s">
        <v>31</v>
      </c>
      <c r="Q150" s="2" t="s">
        <v>32</v>
      </c>
      <c r="S150" s="6">
        <v>73500</v>
      </c>
      <c r="T150" s="7" t="s">
        <v>49</v>
      </c>
      <c r="U150" s="2">
        <v>33</v>
      </c>
      <c r="V150" s="2" t="str">
        <f>IF(Tabela1[[#This Row],[qtde_batalhas]]&lt;=10,"Baixo",IF(Tabela1[[#This Row],[qtde_batalhas]]&lt;=25,"Médio","Alto"))</f>
        <v>Alto</v>
      </c>
      <c r="W150" s="2" t="s">
        <v>49</v>
      </c>
      <c r="X150" s="6">
        <v>95000</v>
      </c>
      <c r="Y150" s="2" t="str">
        <f t="shared" si="16"/>
        <v>Aprovado</v>
      </c>
      <c r="Z150" s="1" t="str">
        <f t="shared" si="17"/>
        <v>Aprovado</v>
      </c>
      <c r="AA150" s="26">
        <f t="shared" si="18"/>
        <v>102600</v>
      </c>
    </row>
    <row r="151" spans="1:27">
      <c r="A151" s="16">
        <f ca="1">YEAR(TODAY())-Tabela1[[#This Row],[idade]]</f>
        <v>1965</v>
      </c>
      <c r="B151" s="1">
        <f t="shared" ca="1" si="19"/>
        <v>61</v>
      </c>
      <c r="C151" s="1" t="str">
        <f>PROPER(Tabela1[[#This Row],[nome]])</f>
        <v>Bronn Royce</v>
      </c>
      <c r="D151" s="1" t="str">
        <f t="shared" si="20"/>
        <v>-</v>
      </c>
      <c r="G151" s="26">
        <f t="shared" si="21"/>
        <v>22900</v>
      </c>
      <c r="H151" s="26">
        <f t="shared" si="22"/>
        <v>7500</v>
      </c>
      <c r="I151" s="1" t="str">
        <f t="shared" si="23"/>
        <v>Não</v>
      </c>
      <c r="K151" s="2" t="s">
        <v>23</v>
      </c>
      <c r="L151" s="2" t="s">
        <v>392</v>
      </c>
      <c r="M151" s="3">
        <v>36900</v>
      </c>
      <c r="N151" s="4">
        <f ca="1">DATEDIF(O151,TODAY(),"Y")</f>
        <v>61</v>
      </c>
      <c r="O151" s="5">
        <v>23928</v>
      </c>
      <c r="P151" s="2" t="s">
        <v>254</v>
      </c>
      <c r="Q151" s="2" t="s">
        <v>32</v>
      </c>
      <c r="R151" s="6">
        <v>22900</v>
      </c>
      <c r="S151" s="6">
        <v>7500</v>
      </c>
      <c r="T151" s="7" t="s">
        <v>49</v>
      </c>
      <c r="U151" s="2">
        <v>12</v>
      </c>
      <c r="V151" s="2" t="str">
        <f>IF(Tabela1[[#This Row],[qtde_batalhas]]&lt;=10,"Baixo",IF(Tabela1[[#This Row],[qtde_batalhas]]&lt;=25,"Médio","Alto"))</f>
        <v>Médio</v>
      </c>
      <c r="W151" s="2" t="s">
        <v>49</v>
      </c>
      <c r="X151" s="6">
        <v>73000</v>
      </c>
      <c r="Y151" s="2" t="str">
        <f t="shared" si="16"/>
        <v>Aprovado</v>
      </c>
      <c r="Z151" s="1" t="str">
        <f t="shared" si="17"/>
        <v>Aprovado</v>
      </c>
      <c r="AA151" s="26">
        <f t="shared" si="18"/>
        <v>78840</v>
      </c>
    </row>
    <row r="152" spans="1:27">
      <c r="A152" s="16">
        <f ca="1">YEAR(TODAY())-Tabela1[[#This Row],[idade]]</f>
        <v>1953</v>
      </c>
      <c r="B152" s="1">
        <f t="shared" ca="1" si="19"/>
        <v>73</v>
      </c>
      <c r="C152" s="1" t="str">
        <f>PROPER(Tabela1[[#This Row],[nome]])</f>
        <v>Robert Hornwood</v>
      </c>
      <c r="D152" s="1" t="str">
        <f t="shared" si="20"/>
        <v>000.000.259-00</v>
      </c>
      <c r="G152" s="26">
        <f t="shared" si="21"/>
        <v>23000</v>
      </c>
      <c r="H152" s="26">
        <f t="shared" si="22"/>
        <v>19000</v>
      </c>
      <c r="I152" s="1" t="str">
        <f t="shared" si="23"/>
        <v>Não</v>
      </c>
      <c r="K152" s="2" t="s">
        <v>23</v>
      </c>
      <c r="L152" s="2" t="s">
        <v>393</v>
      </c>
      <c r="M152" s="3" t="s">
        <v>394</v>
      </c>
      <c r="N152" s="4">
        <f ca="1">DATEDIF(O152,TODAY(),"Y")</f>
        <v>73</v>
      </c>
      <c r="O152" s="5">
        <v>19363</v>
      </c>
      <c r="P152" s="2" t="s">
        <v>122</v>
      </c>
      <c r="Q152" s="2" t="s">
        <v>98</v>
      </c>
      <c r="R152" s="6">
        <v>23000</v>
      </c>
      <c r="S152" s="6">
        <v>19000</v>
      </c>
      <c r="T152" s="7" t="s">
        <v>49</v>
      </c>
      <c r="U152" s="2">
        <v>0</v>
      </c>
      <c r="V152" s="2" t="str">
        <f>IF(Tabela1[[#This Row],[qtde_batalhas]]&lt;=10,"Baixo",IF(Tabela1[[#This Row],[qtde_batalhas]]&lt;=25,"Médio","Alto"))</f>
        <v>Baixo</v>
      </c>
      <c r="W152" s="2" t="s">
        <v>49</v>
      </c>
      <c r="X152" s="6">
        <v>17000</v>
      </c>
      <c r="Y152" s="2" t="str">
        <f t="shared" si="16"/>
        <v>Aprovado</v>
      </c>
      <c r="Z152" s="1" t="str">
        <f t="shared" si="17"/>
        <v>Aprovado</v>
      </c>
      <c r="AA152" s="26">
        <f t="shared" si="18"/>
        <v>18360</v>
      </c>
    </row>
    <row r="153" spans="1:27">
      <c r="A153" s="16">
        <f ca="1">YEAR(TODAY())-Tabela1[[#This Row],[idade]]</f>
        <v>1975</v>
      </c>
      <c r="B153" s="1">
        <f t="shared" ca="1" si="19"/>
        <v>51</v>
      </c>
      <c r="C153" s="1" t="str">
        <f>PROPER(Tabela1[[#This Row],[nome]])</f>
        <v>Asha Bolton</v>
      </c>
      <c r="D153" s="1" t="str">
        <f t="shared" si="20"/>
        <v>-</v>
      </c>
      <c r="G153" s="26">
        <f t="shared" si="21"/>
        <v>19400</v>
      </c>
      <c r="H153" s="26">
        <f t="shared" si="22"/>
        <v>4000</v>
      </c>
      <c r="I153" s="1" t="str">
        <f t="shared" si="23"/>
        <v>Não</v>
      </c>
      <c r="K153" s="2" t="s">
        <v>29</v>
      </c>
      <c r="L153" s="2" t="s">
        <v>396</v>
      </c>
      <c r="M153" s="3">
        <v>6900</v>
      </c>
      <c r="N153" s="4">
        <f ca="1">DATEDIF(O153,TODAY(),"Y")</f>
        <v>51</v>
      </c>
      <c r="O153" s="5">
        <v>27590</v>
      </c>
      <c r="P153" s="2" t="s">
        <v>90</v>
      </c>
      <c r="Q153" s="2" t="s">
        <v>91</v>
      </c>
      <c r="R153" s="6">
        <v>19400</v>
      </c>
      <c r="S153" s="6">
        <v>4000</v>
      </c>
      <c r="T153" s="7" t="s">
        <v>49</v>
      </c>
      <c r="U153" s="2">
        <v>30</v>
      </c>
      <c r="V153" s="2" t="str">
        <f>IF(Tabela1[[#This Row],[qtde_batalhas]]&lt;=10,"Baixo",IF(Tabela1[[#This Row],[qtde_batalhas]]&lt;=25,"Médio","Alto"))</f>
        <v>Alto</v>
      </c>
      <c r="W153" s="2" t="s">
        <v>49</v>
      </c>
      <c r="X153" s="6">
        <v>38500</v>
      </c>
      <c r="Y153" s="2" t="str">
        <f t="shared" si="16"/>
        <v>Aprovado</v>
      </c>
      <c r="Z153" s="1" t="str">
        <f t="shared" si="17"/>
        <v>Aprovado</v>
      </c>
      <c r="AA153" s="26">
        <f t="shared" si="18"/>
        <v>0</v>
      </c>
    </row>
    <row r="154" spans="1:27">
      <c r="A154" s="16">
        <f ca="1">YEAR(TODAY())-Tabela1[[#This Row],[idade]]</f>
        <v>1983</v>
      </c>
      <c r="B154" s="1">
        <f t="shared" ca="1" si="19"/>
        <v>43</v>
      </c>
      <c r="C154" s="1" t="str">
        <f>PROPER(Tabela1[[#This Row],[nome]])</f>
        <v>Bronn Blackwood</v>
      </c>
      <c r="D154" s="1" t="str">
        <f t="shared" si="20"/>
        <v>000.000.052-00</v>
      </c>
      <c r="G154" s="26">
        <f t="shared" si="21"/>
        <v>18400</v>
      </c>
      <c r="H154" s="26">
        <f t="shared" si="22"/>
        <v>62000</v>
      </c>
      <c r="I154" s="1" t="str">
        <f t="shared" si="23"/>
        <v>Não</v>
      </c>
      <c r="K154" s="2" t="s">
        <v>23</v>
      </c>
      <c r="L154" s="2" t="s">
        <v>397</v>
      </c>
      <c r="M154" s="3" t="s">
        <v>398</v>
      </c>
      <c r="N154" s="4">
        <f ca="1">DATEDIF(O154,TODAY(),"Y")</f>
        <v>43</v>
      </c>
      <c r="O154" s="5">
        <v>30309</v>
      </c>
      <c r="P154" s="2" t="s">
        <v>194</v>
      </c>
      <c r="Q154" s="2" t="s">
        <v>408</v>
      </c>
      <c r="R154" s="6">
        <v>18400</v>
      </c>
      <c r="S154" s="6">
        <v>62000</v>
      </c>
      <c r="T154" s="7" t="s">
        <v>49</v>
      </c>
      <c r="U154" s="2">
        <v>33</v>
      </c>
      <c r="V154" s="2" t="str">
        <f>IF(Tabela1[[#This Row],[qtde_batalhas]]&lt;=10,"Baixo",IF(Tabela1[[#This Row],[qtde_batalhas]]&lt;=25,"Médio","Alto"))</f>
        <v>Alto</v>
      </c>
      <c r="W154" s="2" t="s">
        <v>49</v>
      </c>
      <c r="X154" s="6">
        <v>31000</v>
      </c>
      <c r="Y154" s="2" t="str">
        <f t="shared" si="16"/>
        <v>Aprovado</v>
      </c>
      <c r="Z154" s="1" t="str">
        <f t="shared" si="17"/>
        <v>Aprovado</v>
      </c>
      <c r="AA154" s="26">
        <f t="shared" si="18"/>
        <v>33480</v>
      </c>
    </row>
    <row r="155" spans="1:27">
      <c r="A155" s="16">
        <f ca="1">YEAR(TODAY())-Tabela1[[#This Row],[idade]]</f>
        <v>1963</v>
      </c>
      <c r="B155" s="1">
        <f t="shared" ca="1" si="19"/>
        <v>63</v>
      </c>
      <c r="C155" s="1" t="str">
        <f>PROPER(Tabela1[[#This Row],[nome]])</f>
        <v>Ilhasario Arryn</v>
      </c>
      <c r="D155" s="1" t="str">
        <f t="shared" si="20"/>
        <v>000.000.173-00</v>
      </c>
      <c r="G155" s="26">
        <f t="shared" si="21"/>
        <v>9300</v>
      </c>
      <c r="H155" s="26">
        <f t="shared" si="22"/>
        <v>48500</v>
      </c>
      <c r="I155" s="1" t="str">
        <f t="shared" si="23"/>
        <v>Não</v>
      </c>
      <c r="K155" s="2" t="s">
        <v>29</v>
      </c>
      <c r="L155" s="2" t="s">
        <v>832</v>
      </c>
      <c r="M155" s="3" t="s">
        <v>400</v>
      </c>
      <c r="N155" s="4">
        <f ca="1">DATEDIF(O155,TODAY(),"Y")</f>
        <v>63</v>
      </c>
      <c r="O155" s="5">
        <v>23119</v>
      </c>
      <c r="P155" s="2" t="s">
        <v>26</v>
      </c>
      <c r="Q155" s="2" t="s">
        <v>27</v>
      </c>
      <c r="R155" s="6">
        <v>9300</v>
      </c>
      <c r="S155" s="6">
        <v>48500</v>
      </c>
      <c r="T155" s="7" t="s">
        <v>49</v>
      </c>
      <c r="U155" s="2">
        <v>28</v>
      </c>
      <c r="V155" s="2" t="str">
        <f>IF(Tabela1[[#This Row],[qtde_batalhas]]&lt;=10,"Baixo",IF(Tabela1[[#This Row],[qtde_batalhas]]&lt;=25,"Médio","Alto"))</f>
        <v>Alto</v>
      </c>
      <c r="W155" s="2" t="s">
        <v>49</v>
      </c>
      <c r="X155" s="6">
        <v>20000</v>
      </c>
      <c r="Y155" s="2" t="str">
        <f t="shared" si="16"/>
        <v>Aprovado</v>
      </c>
      <c r="Z155" s="1" t="str">
        <f t="shared" si="17"/>
        <v>Aprovado</v>
      </c>
      <c r="AA155" s="26">
        <f t="shared" si="18"/>
        <v>0</v>
      </c>
    </row>
    <row r="156" spans="1:27">
      <c r="A156" s="16">
        <f ca="1">YEAR(TODAY())-Tabela1[[#This Row],[idade]]</f>
        <v>1963</v>
      </c>
      <c r="B156" s="1">
        <f t="shared" ca="1" si="19"/>
        <v>63</v>
      </c>
      <c r="C156" s="1" t="str">
        <f>PROPER(Tabela1[[#This Row],[nome]])</f>
        <v>Jeor Marbrand</v>
      </c>
      <c r="D156" s="1" t="str">
        <f t="shared" si="20"/>
        <v>000.000.073-00</v>
      </c>
      <c r="G156" s="26">
        <f t="shared" si="21"/>
        <v>29000</v>
      </c>
      <c r="H156" s="26">
        <f t="shared" si="22"/>
        <v>36500</v>
      </c>
      <c r="I156" s="1" t="str">
        <f t="shared" si="23"/>
        <v>Não</v>
      </c>
      <c r="K156" s="2" t="s">
        <v>29</v>
      </c>
      <c r="L156" s="2" t="s">
        <v>401</v>
      </c>
      <c r="M156" s="3" t="s">
        <v>402</v>
      </c>
      <c r="N156" s="4">
        <f ca="1">DATEDIF(O156,TODAY(),"Y")</f>
        <v>63</v>
      </c>
      <c r="O156" s="5">
        <v>22924</v>
      </c>
      <c r="P156" s="2" t="s">
        <v>76</v>
      </c>
      <c r="Q156" s="2" t="s">
        <v>71</v>
      </c>
      <c r="R156" s="6">
        <v>29000</v>
      </c>
      <c r="S156" s="6">
        <v>36500</v>
      </c>
      <c r="T156" s="7" t="s">
        <v>49</v>
      </c>
      <c r="U156" s="2">
        <v>38</v>
      </c>
      <c r="V156" s="2" t="str">
        <f>IF(Tabela1[[#This Row],[qtde_batalhas]]&lt;=10,"Baixo",IF(Tabela1[[#This Row],[qtde_batalhas]]&lt;=25,"Médio","Alto"))</f>
        <v>Alto</v>
      </c>
      <c r="W156" s="2" t="s">
        <v>49</v>
      </c>
      <c r="X156" s="6">
        <v>47000</v>
      </c>
      <c r="Y156" s="2" t="str">
        <f t="shared" si="16"/>
        <v>Aprovado</v>
      </c>
      <c r="Z156" s="1" t="str">
        <f t="shared" si="17"/>
        <v>Aprovado</v>
      </c>
      <c r="AA156" s="26">
        <f t="shared" si="18"/>
        <v>0</v>
      </c>
    </row>
    <row r="157" spans="1:27">
      <c r="A157" s="16">
        <f ca="1">YEAR(TODAY())-Tabela1[[#This Row],[idade]]</f>
        <v>1952</v>
      </c>
      <c r="B157" s="1">
        <f t="shared" ca="1" si="19"/>
        <v>74</v>
      </c>
      <c r="C157" s="1" t="str">
        <f>PROPER(Tabela1[[#This Row],[nome]])</f>
        <v>Petyr Karstark</v>
      </c>
      <c r="D157" s="1" t="str">
        <f t="shared" si="20"/>
        <v>-</v>
      </c>
      <c r="G157" s="26">
        <f t="shared" si="21"/>
        <v>8900</v>
      </c>
      <c r="H157" s="26">
        <f t="shared" si="22"/>
        <v>4000</v>
      </c>
      <c r="I157" s="1" t="str">
        <f t="shared" si="23"/>
        <v>Não</v>
      </c>
      <c r="K157" s="2" t="s">
        <v>29</v>
      </c>
      <c r="L157" s="2" t="s">
        <v>403</v>
      </c>
      <c r="M157" s="3">
        <v>23700</v>
      </c>
      <c r="N157" s="4">
        <f ca="1">DATEDIF(O157,TODAY(),"Y")</f>
        <v>74</v>
      </c>
      <c r="O157" s="5">
        <v>19234</v>
      </c>
      <c r="P157" s="2" t="s">
        <v>122</v>
      </c>
      <c r="Q157" s="2" t="s">
        <v>98</v>
      </c>
      <c r="R157" s="6">
        <v>8900</v>
      </c>
      <c r="S157" s="6">
        <v>4000</v>
      </c>
      <c r="T157" s="7" t="s">
        <v>49</v>
      </c>
      <c r="U157" s="2">
        <v>38</v>
      </c>
      <c r="V157" s="2" t="str">
        <f>IF(Tabela1[[#This Row],[qtde_batalhas]]&lt;=10,"Baixo",IF(Tabela1[[#This Row],[qtde_batalhas]]&lt;=25,"Médio","Alto"))</f>
        <v>Alto</v>
      </c>
      <c r="W157" s="2" t="s">
        <v>49</v>
      </c>
      <c r="X157" s="6">
        <v>22500</v>
      </c>
      <c r="Y157" s="2" t="str">
        <f t="shared" si="16"/>
        <v>Aprovado</v>
      </c>
      <c r="Z157" s="1" t="str">
        <f t="shared" si="17"/>
        <v>Aprovado</v>
      </c>
      <c r="AA157" s="26">
        <f t="shared" si="18"/>
        <v>0</v>
      </c>
    </row>
    <row r="158" spans="1:27">
      <c r="A158" s="16">
        <f ca="1">YEAR(TODAY())-Tabela1[[#This Row],[idade]]</f>
        <v>1965</v>
      </c>
      <c r="B158" s="1">
        <f t="shared" ca="1" si="19"/>
        <v>61</v>
      </c>
      <c r="C158" s="1" t="str">
        <f>PROPER(Tabela1[[#This Row],[nome]])</f>
        <v>Ramsay Stark</v>
      </c>
      <c r="D158" s="1" t="str">
        <f t="shared" si="20"/>
        <v>000.000.169-00</v>
      </c>
      <c r="G158" s="26">
        <f t="shared" si="21"/>
        <v>26300</v>
      </c>
      <c r="H158" s="26">
        <f t="shared" si="22"/>
        <v>40000</v>
      </c>
      <c r="I158" s="1" t="str">
        <f t="shared" si="23"/>
        <v>Sim</v>
      </c>
      <c r="L158" s="2" t="s">
        <v>404</v>
      </c>
      <c r="M158" s="3" t="s">
        <v>405</v>
      </c>
      <c r="N158" s="4">
        <f ca="1">DATEDIF(O158,TODAY(),"Y")</f>
        <v>61</v>
      </c>
      <c r="O158" s="5">
        <v>23813</v>
      </c>
      <c r="P158" s="2" t="s">
        <v>76</v>
      </c>
      <c r="Q158" s="2" t="s">
        <v>71</v>
      </c>
      <c r="R158" s="6">
        <v>26300</v>
      </c>
      <c r="S158" s="6">
        <v>40000</v>
      </c>
      <c r="T158" s="7" t="s">
        <v>28</v>
      </c>
      <c r="U158" s="2">
        <v>10</v>
      </c>
      <c r="V158" s="2" t="str">
        <f>IF(Tabela1[[#This Row],[qtde_batalhas]]&lt;=10,"Baixo",IF(Tabela1[[#This Row],[qtde_batalhas]]&lt;=25,"Médio","Alto"))</f>
        <v>Baixo</v>
      </c>
      <c r="W158" s="2" t="s">
        <v>28</v>
      </c>
      <c r="X158" s="6">
        <v>16500</v>
      </c>
      <c r="Y158" s="2" t="str">
        <f t="shared" si="16"/>
        <v>Aprovado</v>
      </c>
      <c r="Z158" s="1" t="str">
        <f t="shared" si="17"/>
        <v>Aprovado</v>
      </c>
      <c r="AA158" s="26">
        <f t="shared" si="18"/>
        <v>0</v>
      </c>
    </row>
    <row r="159" spans="1:27">
      <c r="A159" s="16">
        <f ca="1">YEAR(TODAY())-Tabela1[[#This Row],[idade]]</f>
        <v>1973</v>
      </c>
      <c r="B159" s="1">
        <f t="shared" ca="1" si="19"/>
        <v>53</v>
      </c>
      <c r="C159" s="1" t="str">
        <f>PROPER(Tabela1[[#This Row],[nome]])</f>
        <v>Thoros Karstark</v>
      </c>
      <c r="D159" s="1" t="str">
        <f t="shared" si="20"/>
        <v>000.000.012-00</v>
      </c>
      <c r="G159" s="26">
        <f t="shared" si="21"/>
        <v>22700</v>
      </c>
      <c r="H159" s="26">
        <f t="shared" si="22"/>
        <v>42500</v>
      </c>
      <c r="I159" s="1" t="str">
        <f t="shared" si="23"/>
        <v>Sim</v>
      </c>
      <c r="K159" s="2" t="s">
        <v>23</v>
      </c>
      <c r="L159" s="2" t="s">
        <v>406</v>
      </c>
      <c r="M159" s="3" t="s">
        <v>407</v>
      </c>
      <c r="N159" s="4">
        <f ca="1">DATEDIF(O159,TODAY(),"Y")</f>
        <v>53</v>
      </c>
      <c r="O159" s="5">
        <v>26631</v>
      </c>
      <c r="P159" s="2" t="s">
        <v>194</v>
      </c>
      <c r="Q159" s="2" t="s">
        <v>408</v>
      </c>
      <c r="R159" s="6">
        <v>22700</v>
      </c>
      <c r="S159" s="6">
        <v>42500</v>
      </c>
      <c r="T159" s="7" t="s">
        <v>28</v>
      </c>
      <c r="U159" s="2">
        <v>25</v>
      </c>
      <c r="V159" s="2" t="str">
        <f>IF(Tabela1[[#This Row],[qtde_batalhas]]&lt;=10,"Baixo",IF(Tabela1[[#This Row],[qtde_batalhas]]&lt;=25,"Médio","Alto"))</f>
        <v>Médio</v>
      </c>
      <c r="W159" s="2" t="s">
        <v>28</v>
      </c>
      <c r="X159" s="6">
        <v>86000</v>
      </c>
      <c r="Y159" s="2" t="str">
        <f t="shared" si="16"/>
        <v>Aprovado</v>
      </c>
      <c r="Z159" s="1" t="str">
        <f t="shared" si="17"/>
        <v>Aprovado</v>
      </c>
      <c r="AA159" s="26">
        <f t="shared" si="18"/>
        <v>92880</v>
      </c>
    </row>
    <row r="160" spans="1:27">
      <c r="A160" s="16">
        <f ca="1">YEAR(TODAY())-Tabela1[[#This Row],[idade]]</f>
        <v>1978</v>
      </c>
      <c r="B160" s="1">
        <f t="shared" ca="1" si="19"/>
        <v>48</v>
      </c>
      <c r="C160" s="1" t="str">
        <f>PROPER(Tabela1[[#This Row],[nome]])</f>
        <v>Ellaria Martell</v>
      </c>
      <c r="D160" s="1" t="str">
        <f t="shared" si="20"/>
        <v>000.000.148-00</v>
      </c>
      <c r="G160" s="26">
        <f t="shared" si="21"/>
        <v>2300</v>
      </c>
      <c r="H160" s="26">
        <f t="shared" si="22"/>
        <v>26500</v>
      </c>
      <c r="I160" s="1" t="str">
        <f t="shared" si="23"/>
        <v>Não</v>
      </c>
      <c r="K160" s="2" t="s">
        <v>23</v>
      </c>
      <c r="L160" s="2" t="s">
        <v>409</v>
      </c>
      <c r="M160" s="3" t="s">
        <v>410</v>
      </c>
      <c r="N160" s="4">
        <f ca="1">DATEDIF(O160,TODAY(),"Y")</f>
        <v>48</v>
      </c>
      <c r="O160" s="5">
        <v>28673</v>
      </c>
      <c r="P160" s="2" t="s">
        <v>194</v>
      </c>
      <c r="Q160" s="2" t="s">
        <v>408</v>
      </c>
      <c r="R160" s="6">
        <v>2300</v>
      </c>
      <c r="S160" s="6">
        <v>26500</v>
      </c>
      <c r="T160" s="7" t="s">
        <v>49</v>
      </c>
      <c r="U160" s="2">
        <v>44</v>
      </c>
      <c r="V160" s="2" t="str">
        <f>IF(Tabela1[[#This Row],[qtde_batalhas]]&lt;=10,"Baixo",IF(Tabela1[[#This Row],[qtde_batalhas]]&lt;=25,"Médio","Alto"))</f>
        <v>Alto</v>
      </c>
      <c r="W160" s="2" t="s">
        <v>49</v>
      </c>
      <c r="X160" s="6">
        <v>81000</v>
      </c>
      <c r="Y160" s="2" t="str">
        <f t="shared" si="16"/>
        <v>Aprovado</v>
      </c>
      <c r="Z160" s="1" t="str">
        <f t="shared" si="17"/>
        <v>Aprovado</v>
      </c>
      <c r="AA160" s="26">
        <f t="shared" si="18"/>
        <v>87480</v>
      </c>
    </row>
    <row r="161" spans="1:27">
      <c r="A161" s="16">
        <f ca="1">YEAR(TODAY())-Tabela1[[#This Row],[idade]]</f>
        <v>2004</v>
      </c>
      <c r="B161" s="1">
        <f t="shared" ca="1" si="19"/>
        <v>22</v>
      </c>
      <c r="C161" s="1" t="str">
        <f>PROPER(Tabela1[[#This Row],[nome]])</f>
        <v>Yara Payne</v>
      </c>
      <c r="D161" s="1" t="str">
        <f t="shared" si="20"/>
        <v>000.000.250-00</v>
      </c>
      <c r="G161" s="26">
        <f t="shared" si="21"/>
        <v>2100</v>
      </c>
      <c r="H161" s="26">
        <f t="shared" si="22"/>
        <v>79500</v>
      </c>
      <c r="I161" s="1" t="str">
        <f t="shared" si="23"/>
        <v>Sim</v>
      </c>
      <c r="K161" s="2" t="s">
        <v>29</v>
      </c>
      <c r="L161" s="2" t="s">
        <v>411</v>
      </c>
      <c r="M161" s="3" t="s">
        <v>412</v>
      </c>
      <c r="N161" s="4">
        <f ca="1">DATEDIF(O161,TODAY(),"Y")</f>
        <v>22</v>
      </c>
      <c r="O161" s="5">
        <v>38001</v>
      </c>
      <c r="P161" s="2" t="s">
        <v>111</v>
      </c>
      <c r="Q161" s="2" t="s">
        <v>91</v>
      </c>
      <c r="R161" s="6">
        <v>2100</v>
      </c>
      <c r="S161" s="6">
        <v>79500</v>
      </c>
      <c r="T161" s="7" t="s">
        <v>28</v>
      </c>
      <c r="U161" s="2">
        <v>29</v>
      </c>
      <c r="V161" s="2" t="str">
        <f>IF(Tabela1[[#This Row],[qtde_batalhas]]&lt;=10,"Baixo",IF(Tabela1[[#This Row],[qtde_batalhas]]&lt;=25,"Médio","Alto"))</f>
        <v>Alto</v>
      </c>
      <c r="W161" s="2" t="s">
        <v>28</v>
      </c>
      <c r="X161" s="6">
        <v>64000</v>
      </c>
      <c r="Y161" s="2" t="str">
        <f t="shared" si="16"/>
        <v>Negado</v>
      </c>
      <c r="Z161" s="1" t="str">
        <f t="shared" si="17"/>
        <v>Negado</v>
      </c>
      <c r="AA161" s="26">
        <f t="shared" si="18"/>
        <v>0</v>
      </c>
    </row>
    <row r="162" spans="1:27">
      <c r="A162" s="16">
        <f ca="1">YEAR(TODAY())-Tabela1[[#This Row],[idade]]</f>
        <v>1993</v>
      </c>
      <c r="B162" s="1">
        <f t="shared" ca="1" si="19"/>
        <v>33</v>
      </c>
      <c r="C162" s="1" t="str">
        <f>PROPER(Tabela1[[#This Row],[nome]])</f>
        <v>Viserys Baratheon</v>
      </c>
      <c r="D162" s="1" t="str">
        <f t="shared" si="20"/>
        <v>000.000.186-00</v>
      </c>
      <c r="G162" s="26">
        <f t="shared" si="21"/>
        <v>25700</v>
      </c>
      <c r="H162" s="26">
        <f t="shared" si="22"/>
        <v>35000</v>
      </c>
      <c r="I162" s="1" t="str">
        <f t="shared" si="23"/>
        <v>Não</v>
      </c>
      <c r="K162" s="2" t="s">
        <v>29</v>
      </c>
      <c r="L162" s="2" t="s">
        <v>413</v>
      </c>
      <c r="M162" s="3" t="s">
        <v>414</v>
      </c>
      <c r="N162" s="4">
        <f ca="1">DATEDIF(O162,TODAY(),"Y")</f>
        <v>33</v>
      </c>
      <c r="O162" s="5">
        <v>33955</v>
      </c>
      <c r="P162" s="2" t="s">
        <v>119</v>
      </c>
      <c r="Q162" s="2" t="s">
        <v>91</v>
      </c>
      <c r="R162" s="6">
        <v>25700</v>
      </c>
      <c r="S162" s="6">
        <v>35000</v>
      </c>
      <c r="T162" s="7" t="s">
        <v>49</v>
      </c>
      <c r="U162" s="2">
        <v>40</v>
      </c>
      <c r="V162" s="2" t="str">
        <f>IF(Tabela1[[#This Row],[qtde_batalhas]]&lt;=10,"Baixo",IF(Tabela1[[#This Row],[qtde_batalhas]]&lt;=25,"Médio","Alto"))</f>
        <v>Alto</v>
      </c>
      <c r="W162" s="2" t="s">
        <v>49</v>
      </c>
      <c r="X162" s="6">
        <v>1000</v>
      </c>
      <c r="Y162" s="2" t="str">
        <f t="shared" si="16"/>
        <v>Aprovado</v>
      </c>
      <c r="Z162" s="1" t="str">
        <f t="shared" si="17"/>
        <v>Aprovado</v>
      </c>
      <c r="AA162" s="26">
        <f t="shared" si="18"/>
        <v>0</v>
      </c>
    </row>
    <row r="163" spans="1:27">
      <c r="A163" s="16">
        <f ca="1">YEAR(TODAY())-Tabela1[[#This Row],[idade]]</f>
        <v>1960</v>
      </c>
      <c r="B163" s="1">
        <f t="shared" ca="1" si="19"/>
        <v>66</v>
      </c>
      <c r="C163" s="1" t="str">
        <f>PROPER(Tabela1[[#This Row],[nome]])</f>
        <v>Jeor Clegane</v>
      </c>
      <c r="D163" s="1" t="str">
        <f t="shared" si="20"/>
        <v>-</v>
      </c>
      <c r="G163" s="26">
        <f t="shared" si="21"/>
        <v>9900</v>
      </c>
      <c r="H163" s="26">
        <f t="shared" si="22"/>
        <v>42000</v>
      </c>
      <c r="I163" s="1" t="str">
        <f t="shared" si="23"/>
        <v>Não</v>
      </c>
      <c r="K163" s="2" t="s">
        <v>29</v>
      </c>
      <c r="L163" s="2" t="s">
        <v>415</v>
      </c>
      <c r="M163" s="3">
        <v>27300</v>
      </c>
      <c r="N163" s="4">
        <f ca="1">DATEDIF(O163,TODAY(),"Y")</f>
        <v>66</v>
      </c>
      <c r="O163" s="5">
        <v>21873</v>
      </c>
      <c r="P163" s="2" t="s">
        <v>111</v>
      </c>
      <c r="Q163" s="2" t="s">
        <v>91</v>
      </c>
      <c r="R163" s="6">
        <v>9900</v>
      </c>
      <c r="S163" s="6">
        <v>42000</v>
      </c>
      <c r="T163" s="7" t="s">
        <v>49</v>
      </c>
      <c r="U163" s="2">
        <v>13</v>
      </c>
      <c r="V163" s="2" t="str">
        <f>IF(Tabela1[[#This Row],[qtde_batalhas]]&lt;=10,"Baixo",IF(Tabela1[[#This Row],[qtde_batalhas]]&lt;=25,"Médio","Alto"))</f>
        <v>Médio</v>
      </c>
      <c r="W163" s="2" t="s">
        <v>49</v>
      </c>
      <c r="X163" s="6">
        <v>37000</v>
      </c>
      <c r="Y163" s="2" t="str">
        <f t="shared" si="16"/>
        <v>Aprovado</v>
      </c>
      <c r="Z163" s="1" t="str">
        <f t="shared" si="17"/>
        <v>Aprovado</v>
      </c>
      <c r="AA163" s="26">
        <f t="shared" si="18"/>
        <v>0</v>
      </c>
    </row>
    <row r="164" spans="1:27">
      <c r="A164" s="16">
        <f ca="1">YEAR(TODAY())-Tabela1[[#This Row],[idade]]</f>
        <v>1982</v>
      </c>
      <c r="B164" s="1">
        <f t="shared" ca="1" si="19"/>
        <v>44</v>
      </c>
      <c r="C164" s="1" t="str">
        <f>PROPER(Tabela1[[#This Row],[nome]])</f>
        <v>Sandor Westerling</v>
      </c>
      <c r="D164" s="1" t="str">
        <f t="shared" si="20"/>
        <v>-</v>
      </c>
      <c r="E164" t="str">
        <f>IF(P185="Lannisporto","Oeste",
IF(P185="Ninho da Águia","Vale",
IF(P185="Ponta Tempestade","Terras da Tempestade",
IF(P185="Pedra do Dragão","Terras da Coroa",
IF(P185="Pyke","Ilhas de Ferro",
IF(P185="Meereen","Essos",
IF(P185="Braavos","Essos",
IF(P185="Correrrio","Terras Fluviais",
IF(P185="Castelo Negro","Norte",
IF(P185="Vilavelha","Campina",
IF(P185="Ilha dos Ursos","Norte",
IF(P185="Fosso Cailin","Norte",
IF(P185="Harrenhal","Terras Fluviais",
IF(P185="Winterfell","Norte",
IF(P185="Jardim de Cima","Campina",
IF(P185="Dorne","Dorne",
IF(P185="Monte Chifre","Campina",
IF(P185="Atalaia da Água Cinzenta","Oeste",
IF(P185="Porto Real","Terras da Coroa",
IF(P185="Solar do Entardecer","Terras da Tempestade",
""))))))))))))))))))))</f>
        <v>Terras da Tempestade</v>
      </c>
      <c r="G164" s="26">
        <f t="shared" si="21"/>
        <v>5500</v>
      </c>
      <c r="H164" s="26">
        <f t="shared" si="22"/>
        <v>26000</v>
      </c>
      <c r="I164" s="1" t="str">
        <f t="shared" si="23"/>
        <v>Não</v>
      </c>
      <c r="K164" s="2" t="s">
        <v>23</v>
      </c>
      <c r="L164" s="2" t="s">
        <v>417</v>
      </c>
      <c r="M164" s="3">
        <v>33700</v>
      </c>
      <c r="N164" s="4">
        <f ca="1">DATEDIF(O164,TODAY(),"Y")</f>
        <v>44</v>
      </c>
      <c r="O164" s="5">
        <v>30167</v>
      </c>
      <c r="P164" s="19" t="s">
        <v>97</v>
      </c>
      <c r="Q164" s="20" t="str">
        <f>IF(P164="Lannisporto","Oeste",
IF(P164="Ninho da Águia","Vale",
IF(P164="Ponta Tempestade","Terras da Tempestade",
IF(P164="Pedra do Dragão","Terras da Coroa",
IF(P164="Pyke","Ilhas de Ferro",
IF(P164="Meereen","Essos",
IF(P164="Braavos","Essos",
IF(P164="Correrrio","Terras Fluviais",
IF(P164="Castelo Negro","Norte",
IF(P164="Vilavelha","Campina",
IF(P164="Ilha dos Ursos","Norte",
IF(P164="Fosso Cailin","Norte",
IF(P164="Harrenhal","Terras Fluviais",
IF(P164="Winterfell","Norte",
IF(P164="Jardim de Cima","Campina",
IF(P164="Dorne","Dorne",
IF(P164="Monte Chifre","Campina",
IF(P164="Atalaia da Água Cinzenta","Oeste",
IF(P164="Porto Real","Terras da Coroa",
IF(P164="Solar do Entardecer","Terras da Tempestade",
""))))))))))))))))))))</f>
        <v>Campina</v>
      </c>
      <c r="R164" s="6">
        <v>5500</v>
      </c>
      <c r="S164" s="6">
        <v>26000</v>
      </c>
      <c r="T164" s="7" t="s">
        <v>49</v>
      </c>
      <c r="U164" s="2">
        <v>30</v>
      </c>
      <c r="V164" s="2" t="str">
        <f>IF(Tabela1[[#This Row],[qtde_batalhas]]&lt;=10,"Baixo",IF(Tabela1[[#This Row],[qtde_batalhas]]&lt;=25,"Médio","Alto"))</f>
        <v>Alto</v>
      </c>
      <c r="W164" s="2" t="s">
        <v>49</v>
      </c>
      <c r="X164" s="6">
        <v>64000</v>
      </c>
      <c r="Y164" s="2" t="str">
        <f t="shared" si="16"/>
        <v>Aprovado</v>
      </c>
      <c r="Z164" s="1" t="str">
        <f t="shared" si="17"/>
        <v>Aprovado</v>
      </c>
      <c r="AA164" s="26">
        <f t="shared" si="18"/>
        <v>69120</v>
      </c>
    </row>
    <row r="165" spans="1:27">
      <c r="A165" s="16">
        <f ca="1">YEAR(TODAY())-Tabela1[[#This Row],[idade]]</f>
        <v>1993</v>
      </c>
      <c r="B165" s="1">
        <f t="shared" ca="1" si="19"/>
        <v>33</v>
      </c>
      <c r="C165" s="1" t="str">
        <f>PROPER(Tabela1[[#This Row],[nome]])</f>
        <v>Gilly Frey</v>
      </c>
      <c r="D165" s="1" t="str">
        <f t="shared" si="20"/>
        <v>000.000.258-00</v>
      </c>
      <c r="G165" s="26">
        <f t="shared" si="21"/>
        <v>2400</v>
      </c>
      <c r="H165" s="26">
        <f t="shared" si="22"/>
        <v>78000</v>
      </c>
      <c r="I165" s="1" t="str">
        <f t="shared" si="23"/>
        <v>Não</v>
      </c>
      <c r="K165" s="2" t="s">
        <v>29</v>
      </c>
      <c r="L165" s="2" t="s">
        <v>419</v>
      </c>
      <c r="M165" s="3" t="s">
        <v>420</v>
      </c>
      <c r="N165" s="4">
        <f ca="1">DATEDIF(O165,TODAY(),"Y")</f>
        <v>33</v>
      </c>
      <c r="O165" s="5">
        <v>34154</v>
      </c>
      <c r="P165" s="2" t="s">
        <v>90</v>
      </c>
      <c r="Q165" s="2" t="s">
        <v>91</v>
      </c>
      <c r="R165" s="6">
        <v>2400</v>
      </c>
      <c r="S165" s="6">
        <v>78000</v>
      </c>
      <c r="T165" s="7" t="s">
        <v>49</v>
      </c>
      <c r="U165" s="2">
        <v>6</v>
      </c>
      <c r="V165" s="2" t="str">
        <f>IF(Tabela1[[#This Row],[qtde_batalhas]]&lt;=10,"Baixo",IF(Tabela1[[#This Row],[qtde_batalhas]]&lt;=25,"Médio","Alto"))</f>
        <v>Baixo</v>
      </c>
      <c r="W165" s="2" t="s">
        <v>49</v>
      </c>
      <c r="X165" s="6">
        <v>28000</v>
      </c>
      <c r="Y165" s="2" t="str">
        <f t="shared" si="16"/>
        <v>Aprovado</v>
      </c>
      <c r="Z165" s="1" t="str">
        <f t="shared" si="17"/>
        <v>Aprovado</v>
      </c>
      <c r="AA165" s="26">
        <f t="shared" si="18"/>
        <v>0</v>
      </c>
    </row>
    <row r="166" spans="1:27">
      <c r="A166" s="16">
        <f ca="1">YEAR(TODAY())-Tabela1[[#This Row],[idade]]</f>
        <v>1975</v>
      </c>
      <c r="B166" s="1">
        <f t="shared" ca="1" si="19"/>
        <v>51</v>
      </c>
      <c r="C166" s="1" t="str">
        <f>PROPER(Tabela1[[#This Row],[nome]])</f>
        <v>Loras Bracken</v>
      </c>
      <c r="D166" s="1" t="str">
        <f t="shared" si="20"/>
        <v>000.000.254-00</v>
      </c>
      <c r="G166" s="26">
        <f t="shared" si="21"/>
        <v>7200</v>
      </c>
      <c r="H166" s="26">
        <f t="shared" si="22"/>
        <v>17500</v>
      </c>
      <c r="I166" s="1" t="str">
        <f t="shared" si="23"/>
        <v>Sim</v>
      </c>
      <c r="K166" s="2" t="s">
        <v>23</v>
      </c>
      <c r="L166" s="2" t="s">
        <v>421</v>
      </c>
      <c r="M166" s="3" t="s">
        <v>422</v>
      </c>
      <c r="N166" s="4">
        <f ca="1">DATEDIF(O166,TODAY(),"Y")</f>
        <v>51</v>
      </c>
      <c r="O166" s="5">
        <v>27505</v>
      </c>
      <c r="P166" s="2" t="s">
        <v>833</v>
      </c>
      <c r="Q166" s="2" t="s">
        <v>834</v>
      </c>
      <c r="R166" s="6">
        <v>7200</v>
      </c>
      <c r="S166" s="6">
        <v>17500</v>
      </c>
      <c r="T166" s="7" t="s">
        <v>28</v>
      </c>
      <c r="U166" s="2">
        <v>40</v>
      </c>
      <c r="V166" s="2" t="str">
        <f>IF(Tabela1[[#This Row],[qtde_batalhas]]&lt;=10,"Baixo",IF(Tabela1[[#This Row],[qtde_batalhas]]&lt;=25,"Médio","Alto"))</f>
        <v>Alto</v>
      </c>
      <c r="W166" s="2" t="s">
        <v>28</v>
      </c>
      <c r="X166" s="6">
        <v>5500</v>
      </c>
      <c r="Y166" s="2" t="str">
        <f t="shared" si="16"/>
        <v>Negado</v>
      </c>
      <c r="Z166" s="1" t="str">
        <f t="shared" si="17"/>
        <v>Aprovado</v>
      </c>
      <c r="AA166" s="26">
        <f t="shared" si="18"/>
        <v>0</v>
      </c>
    </row>
    <row r="167" spans="1:27">
      <c r="A167" s="16">
        <f ca="1">YEAR(TODAY())-Tabela1[[#This Row],[idade]]</f>
        <v>1965</v>
      </c>
      <c r="B167" s="1">
        <f t="shared" ca="1" si="19"/>
        <v>61</v>
      </c>
      <c r="C167" s="1" t="str">
        <f>PROPER(Tabela1[[#This Row],[nome]])</f>
        <v>Varys Tallhart</v>
      </c>
      <c r="D167" s="1" t="str">
        <f t="shared" si="20"/>
        <v>-</v>
      </c>
      <c r="G167" s="26">
        <f t="shared" si="21"/>
        <v>4100</v>
      </c>
      <c r="H167" s="26">
        <f t="shared" si="22"/>
        <v>78000</v>
      </c>
      <c r="I167" s="1" t="str">
        <f t="shared" si="23"/>
        <v>Não</v>
      </c>
      <c r="K167" s="2" t="s">
        <v>29</v>
      </c>
      <c r="L167" s="2" t="s">
        <v>425</v>
      </c>
      <c r="N167" s="4">
        <f ca="1">DATEDIF(O167,TODAY(),"Y")</f>
        <v>61</v>
      </c>
      <c r="O167" s="5">
        <v>23932</v>
      </c>
      <c r="P167" s="2" t="s">
        <v>87</v>
      </c>
      <c r="Q167" s="2" t="s">
        <v>88</v>
      </c>
      <c r="R167" s="6">
        <v>4100</v>
      </c>
      <c r="S167" s="6">
        <v>78000</v>
      </c>
      <c r="T167" s="7" t="s">
        <v>49</v>
      </c>
      <c r="U167" s="2">
        <v>25</v>
      </c>
      <c r="V167" s="2" t="str">
        <f>IF(Tabela1[[#This Row],[qtde_batalhas]]&lt;=10,"Baixo",IF(Tabela1[[#This Row],[qtde_batalhas]]&lt;=25,"Médio","Alto"))</f>
        <v>Médio</v>
      </c>
      <c r="W167" s="2" t="s">
        <v>49</v>
      </c>
      <c r="X167" s="6">
        <v>48000</v>
      </c>
      <c r="Y167" s="2" t="str">
        <f t="shared" si="16"/>
        <v>Aprovado</v>
      </c>
      <c r="Z167" s="1" t="str">
        <f t="shared" si="17"/>
        <v>Aprovado</v>
      </c>
      <c r="AA167" s="26">
        <f t="shared" si="18"/>
        <v>0</v>
      </c>
    </row>
    <row r="168" spans="1:27">
      <c r="A168" s="16">
        <f ca="1">YEAR(TODAY())-Tabela1[[#This Row],[idade]]</f>
        <v>1983</v>
      </c>
      <c r="B168" s="1">
        <f t="shared" ca="1" si="19"/>
        <v>43</v>
      </c>
      <c r="C168" s="1" t="str">
        <f>PROPER(Tabela1[[#This Row],[nome]])</f>
        <v>Roose Bracken</v>
      </c>
      <c r="D168" s="1" t="str">
        <f t="shared" si="20"/>
        <v>-</v>
      </c>
      <c r="G168" s="26">
        <f t="shared" si="21"/>
        <v>21700</v>
      </c>
      <c r="H168" s="26">
        <f t="shared" si="22"/>
        <v>31000</v>
      </c>
      <c r="I168" s="1" t="str">
        <f t="shared" si="23"/>
        <v>Não</v>
      </c>
      <c r="K168" s="2" t="s">
        <v>23</v>
      </c>
      <c r="L168" s="2" t="s">
        <v>426</v>
      </c>
      <c r="M168" s="3">
        <v>18800</v>
      </c>
      <c r="N168" s="4">
        <f ca="1">DATEDIF(O168,TODAY(),"Y")</f>
        <v>43</v>
      </c>
      <c r="O168" s="5">
        <v>30355</v>
      </c>
      <c r="P168" s="2" t="s">
        <v>103</v>
      </c>
      <c r="Q168" s="2" t="s">
        <v>91</v>
      </c>
      <c r="R168" s="6">
        <v>21700</v>
      </c>
      <c r="S168" s="6">
        <v>31000</v>
      </c>
      <c r="T168" s="7" t="s">
        <v>49</v>
      </c>
      <c r="U168" s="2">
        <v>27</v>
      </c>
      <c r="V168" s="2" t="str">
        <f>IF(Tabela1[[#This Row],[qtde_batalhas]]&lt;=10,"Baixo",IF(Tabela1[[#This Row],[qtde_batalhas]]&lt;=25,"Médio","Alto"))</f>
        <v>Alto</v>
      </c>
      <c r="W168" s="2" t="s">
        <v>49</v>
      </c>
      <c r="X168" s="6">
        <v>45500</v>
      </c>
      <c r="Y168" s="2" t="str">
        <f t="shared" si="16"/>
        <v>Aprovado</v>
      </c>
      <c r="Z168" s="1" t="str">
        <f t="shared" si="17"/>
        <v>Aprovado</v>
      </c>
      <c r="AA168" s="26">
        <f t="shared" si="18"/>
        <v>49140</v>
      </c>
    </row>
    <row r="169" spans="1:27">
      <c r="A169" s="16">
        <f ca="1">YEAR(TODAY())-Tabela1[[#This Row],[idade]]</f>
        <v>1970</v>
      </c>
      <c r="B169" s="1">
        <f t="shared" ca="1" si="19"/>
        <v>56</v>
      </c>
      <c r="C169" s="1" t="str">
        <f>PROPER(Tabela1[[#This Row],[nome]])</f>
        <v>Varys Arryn</v>
      </c>
      <c r="D169" s="1" t="str">
        <f t="shared" si="20"/>
        <v>000.000.097-00</v>
      </c>
      <c r="G169" s="26">
        <f t="shared" si="21"/>
        <v>5400</v>
      </c>
      <c r="H169" s="26">
        <f t="shared" si="22"/>
        <v>61000</v>
      </c>
      <c r="I169" s="1" t="str">
        <f t="shared" si="23"/>
        <v>Não</v>
      </c>
      <c r="K169" s="2" t="s">
        <v>23</v>
      </c>
      <c r="L169" s="2" t="s">
        <v>427</v>
      </c>
      <c r="M169" s="3" t="s">
        <v>428</v>
      </c>
      <c r="N169" s="4">
        <f ca="1">DATEDIF(O169,TODAY(),"Y")</f>
        <v>56</v>
      </c>
      <c r="O169" s="5">
        <v>25808</v>
      </c>
      <c r="P169" s="2" t="s">
        <v>97</v>
      </c>
      <c r="Q169" s="2" t="s">
        <v>98</v>
      </c>
      <c r="R169" s="6">
        <v>5400</v>
      </c>
      <c r="S169" s="6">
        <v>61000</v>
      </c>
      <c r="T169" s="7" t="s">
        <v>49</v>
      </c>
      <c r="U169" s="2">
        <v>12</v>
      </c>
      <c r="V169" s="2" t="str">
        <f>IF(Tabela1[[#This Row],[qtde_batalhas]]&lt;=10,"Baixo",IF(Tabela1[[#This Row],[qtde_batalhas]]&lt;=25,"Médio","Alto"))</f>
        <v>Médio</v>
      </c>
      <c r="W169" s="2" t="s">
        <v>49</v>
      </c>
      <c r="X169" s="6">
        <v>96500</v>
      </c>
      <c r="Y169" s="2" t="str">
        <f t="shared" si="16"/>
        <v>Aprovado</v>
      </c>
      <c r="Z169" s="1" t="str">
        <f t="shared" si="17"/>
        <v>Aprovado</v>
      </c>
      <c r="AA169" s="26">
        <f t="shared" si="18"/>
        <v>104220</v>
      </c>
    </row>
    <row r="170" spans="1:27">
      <c r="A170" s="16">
        <f ca="1">YEAR(TODAY())-Tabela1[[#This Row],[idade]]</f>
        <v>1991</v>
      </c>
      <c r="B170" s="1">
        <f t="shared" ca="1" si="19"/>
        <v>35</v>
      </c>
      <c r="C170" s="1" t="str">
        <f>PROPER(Tabela1[[#This Row],[nome]])</f>
        <v>Asha Redwyne</v>
      </c>
      <c r="D170" s="1" t="str">
        <f t="shared" si="20"/>
        <v>-</v>
      </c>
      <c r="G170" s="26">
        <f t="shared" si="21"/>
        <v>8400</v>
      </c>
      <c r="H170" s="26">
        <f t="shared" si="22"/>
        <v>62500</v>
      </c>
      <c r="I170" s="1" t="str">
        <f t="shared" si="23"/>
        <v>Não</v>
      </c>
      <c r="K170" s="2" t="s">
        <v>23</v>
      </c>
      <c r="L170" s="2" t="s">
        <v>429</v>
      </c>
      <c r="M170" s="3">
        <v>10200</v>
      </c>
      <c r="N170" s="4">
        <f ca="1">DATEDIF(O170,TODAY(),"Y")</f>
        <v>35</v>
      </c>
      <c r="O170" s="5">
        <v>33444</v>
      </c>
      <c r="P170" s="2" t="s">
        <v>37</v>
      </c>
      <c r="Q170" s="2" t="s">
        <v>38</v>
      </c>
      <c r="R170" s="6">
        <v>8400</v>
      </c>
      <c r="S170" s="6">
        <v>62500</v>
      </c>
      <c r="T170" s="7" t="s">
        <v>49</v>
      </c>
      <c r="U170" s="2">
        <v>31</v>
      </c>
      <c r="V170" s="2" t="str">
        <f>IF(Tabela1[[#This Row],[qtde_batalhas]]&lt;=10,"Baixo",IF(Tabela1[[#This Row],[qtde_batalhas]]&lt;=25,"Médio","Alto"))</f>
        <v>Alto</v>
      </c>
      <c r="W170" s="2" t="s">
        <v>49</v>
      </c>
      <c r="X170" s="6">
        <v>83500</v>
      </c>
      <c r="Y170" s="2" t="str">
        <f t="shared" si="16"/>
        <v>Aprovado</v>
      </c>
      <c r="Z170" s="1" t="str">
        <f t="shared" si="17"/>
        <v>Aprovado</v>
      </c>
      <c r="AA170" s="26">
        <f t="shared" si="18"/>
        <v>90180</v>
      </c>
    </row>
    <row r="171" spans="1:27">
      <c r="A171" s="16">
        <f ca="1">YEAR(TODAY())-Tabela1[[#This Row],[idade]]</f>
        <v>1982</v>
      </c>
      <c r="B171" s="1">
        <f t="shared" ca="1" si="19"/>
        <v>44</v>
      </c>
      <c r="C171" s="1" t="str">
        <f>PROPER(Tabela1[[#This Row],[nome]])</f>
        <v>Beric Tallhart</v>
      </c>
      <c r="D171" s="1" t="str">
        <f t="shared" si="20"/>
        <v>000.000.291-00</v>
      </c>
      <c r="G171" s="26" t="str">
        <f t="shared" si="21"/>
        <v>-</v>
      </c>
      <c r="H171" s="26">
        <f t="shared" si="22"/>
        <v>0</v>
      </c>
      <c r="I171" s="1" t="str">
        <f t="shared" si="23"/>
        <v>Não</v>
      </c>
      <c r="K171" s="2" t="s">
        <v>29</v>
      </c>
      <c r="L171" s="2" t="s">
        <v>430</v>
      </c>
      <c r="M171" s="3" t="s">
        <v>431</v>
      </c>
      <c r="N171" s="4">
        <f ca="1">DATEDIF(O171,TODAY(),"Y")</f>
        <v>44</v>
      </c>
      <c r="O171" s="5">
        <v>29948</v>
      </c>
      <c r="P171" s="2" t="s">
        <v>133</v>
      </c>
      <c r="Q171" s="2" t="s">
        <v>133</v>
      </c>
      <c r="S171" s="6">
        <v>0</v>
      </c>
      <c r="T171" s="7" t="s">
        <v>49</v>
      </c>
      <c r="U171" s="2">
        <v>4</v>
      </c>
      <c r="V171" s="2" t="str">
        <f>IF(Tabela1[[#This Row],[qtde_batalhas]]&lt;=10,"Baixo",IF(Tabela1[[#This Row],[qtde_batalhas]]&lt;=25,"Médio","Alto"))</f>
        <v>Baixo</v>
      </c>
      <c r="W171" s="2" t="s">
        <v>49</v>
      </c>
      <c r="X171" s="6">
        <v>80000</v>
      </c>
      <c r="Y171" s="2" t="str">
        <f t="shared" si="16"/>
        <v>Aprovado</v>
      </c>
      <c r="Z171" s="1" t="str">
        <f t="shared" si="17"/>
        <v>Aprovado</v>
      </c>
      <c r="AA171" s="26">
        <f t="shared" si="18"/>
        <v>0</v>
      </c>
    </row>
    <row r="172" spans="1:27">
      <c r="A172" s="16">
        <f ca="1">YEAR(TODAY())-Tabela1[[#This Row],[idade]]</f>
        <v>1995</v>
      </c>
      <c r="B172" s="1">
        <f t="shared" ca="1" si="19"/>
        <v>31</v>
      </c>
      <c r="C172" s="1" t="str">
        <f>PROPER(Tabela1[[#This Row],[nome]])</f>
        <v>Margaery Cerwyn</v>
      </c>
      <c r="D172" s="1" t="str">
        <f t="shared" si="20"/>
        <v>000.000.211-00</v>
      </c>
      <c r="G172" s="26">
        <f t="shared" si="21"/>
        <v>22600</v>
      </c>
      <c r="H172" s="26">
        <f t="shared" si="22"/>
        <v>58000</v>
      </c>
      <c r="I172" s="1" t="str">
        <f t="shared" si="23"/>
        <v>Não</v>
      </c>
      <c r="K172" s="2" t="s">
        <v>29</v>
      </c>
      <c r="L172" s="2" t="s">
        <v>432</v>
      </c>
      <c r="M172" s="3" t="s">
        <v>433</v>
      </c>
      <c r="N172" s="4">
        <f ca="1">DATEDIF(O172,TODAY(),"Y")</f>
        <v>31</v>
      </c>
      <c r="O172" s="5">
        <v>34738</v>
      </c>
      <c r="P172" s="2" t="s">
        <v>97</v>
      </c>
      <c r="Q172" s="2" t="s">
        <v>98</v>
      </c>
      <c r="R172" s="6">
        <v>22600</v>
      </c>
      <c r="S172" s="6">
        <v>58000</v>
      </c>
      <c r="T172" s="7" t="s">
        <v>140</v>
      </c>
      <c r="U172" s="2">
        <v>5</v>
      </c>
      <c r="V172" s="2" t="str">
        <f>IF(Tabela1[[#This Row],[qtde_batalhas]]&lt;=10,"Baixo",IF(Tabela1[[#This Row],[qtde_batalhas]]&lt;=25,"Médio","Alto"))</f>
        <v>Baixo</v>
      </c>
      <c r="W172" s="2" t="s">
        <v>140</v>
      </c>
      <c r="X172" s="6">
        <v>26500</v>
      </c>
      <c r="Y172" s="2" t="str">
        <f t="shared" si="16"/>
        <v>Aprovado</v>
      </c>
      <c r="Z172" s="1" t="str">
        <f t="shared" si="17"/>
        <v>Aprovado</v>
      </c>
      <c r="AA172" s="26">
        <f t="shared" si="18"/>
        <v>0</v>
      </c>
    </row>
    <row r="173" spans="1:27">
      <c r="A173" s="16">
        <f ca="1">YEAR(TODAY())-Tabela1[[#This Row],[idade]]</f>
        <v>1978</v>
      </c>
      <c r="B173" s="1">
        <f t="shared" ca="1" si="19"/>
        <v>48</v>
      </c>
      <c r="C173" s="1" t="str">
        <f>PROPER(Tabela1[[#This Row],[nome]])</f>
        <v>Jorah Redwyne</v>
      </c>
      <c r="D173" s="1" t="str">
        <f t="shared" si="20"/>
        <v>-</v>
      </c>
      <c r="G173" s="26">
        <f t="shared" si="21"/>
        <v>24700</v>
      </c>
      <c r="H173" s="26">
        <f t="shared" si="22"/>
        <v>30500</v>
      </c>
      <c r="I173" s="1" t="str">
        <f t="shared" si="23"/>
        <v>Não</v>
      </c>
      <c r="K173" s="2" t="s">
        <v>29</v>
      </c>
      <c r="L173" s="2" t="s">
        <v>165</v>
      </c>
      <c r="M173" s="3">
        <v>4000</v>
      </c>
      <c r="N173" s="4">
        <f ca="1">DATEDIF(O173,TODAY(),"Y")</f>
        <v>48</v>
      </c>
      <c r="O173" s="5">
        <v>28663</v>
      </c>
      <c r="P173" s="2" t="s">
        <v>174</v>
      </c>
      <c r="Q173" s="2" t="s">
        <v>38</v>
      </c>
      <c r="R173" s="6">
        <v>24700</v>
      </c>
      <c r="S173" s="6">
        <v>30500</v>
      </c>
      <c r="T173" s="7" t="s">
        <v>49</v>
      </c>
      <c r="U173" s="2">
        <v>34</v>
      </c>
      <c r="V173" s="2" t="str">
        <f>IF(Tabela1[[#This Row],[qtde_batalhas]]&lt;=10,"Baixo",IF(Tabela1[[#This Row],[qtde_batalhas]]&lt;=25,"Médio","Alto"))</f>
        <v>Alto</v>
      </c>
      <c r="W173" s="2" t="s">
        <v>49</v>
      </c>
      <c r="X173" s="6">
        <v>87500</v>
      </c>
      <c r="Y173" s="2" t="str">
        <f t="shared" si="16"/>
        <v>Aprovado</v>
      </c>
      <c r="Z173" s="1" t="str">
        <f t="shared" si="17"/>
        <v>Aprovado</v>
      </c>
      <c r="AA173" s="26">
        <f t="shared" si="18"/>
        <v>0</v>
      </c>
    </row>
    <row r="174" spans="1:27">
      <c r="A174" s="16">
        <f ca="1">YEAR(TODAY())-Tabela1[[#This Row],[idade]]</f>
        <v>1996</v>
      </c>
      <c r="B174" s="1">
        <f t="shared" ca="1" si="19"/>
        <v>30</v>
      </c>
      <c r="C174" s="1" t="str">
        <f>PROPER(Tabela1[[#This Row],[nome]])</f>
        <v>Loras Frey</v>
      </c>
      <c r="D174" s="1" t="str">
        <f t="shared" si="20"/>
        <v>000.000.017-00</v>
      </c>
      <c r="G174" s="26">
        <f t="shared" si="21"/>
        <v>3900</v>
      </c>
      <c r="H174" s="26">
        <f t="shared" si="22"/>
        <v>45000</v>
      </c>
      <c r="I174" s="1" t="str">
        <f t="shared" si="23"/>
        <v>Não</v>
      </c>
      <c r="K174" s="2" t="s">
        <v>29</v>
      </c>
      <c r="L174" s="2" t="s">
        <v>435</v>
      </c>
      <c r="M174" s="3" t="s">
        <v>436</v>
      </c>
      <c r="N174" s="4">
        <f ca="1">DATEDIF(O174,TODAY(),"Y")</f>
        <v>30</v>
      </c>
      <c r="O174" s="5">
        <v>35213</v>
      </c>
      <c r="P174" s="2" t="s">
        <v>816</v>
      </c>
      <c r="Q174" s="2" t="s">
        <v>817</v>
      </c>
      <c r="R174" s="6">
        <v>3900</v>
      </c>
      <c r="S174" s="6">
        <v>45000</v>
      </c>
      <c r="T174" s="7" t="s">
        <v>49</v>
      </c>
      <c r="U174" s="2">
        <v>34</v>
      </c>
      <c r="V174" s="2" t="str">
        <f>IF(Tabela1[[#This Row],[qtde_batalhas]]&lt;=10,"Baixo",IF(Tabela1[[#This Row],[qtde_batalhas]]&lt;=25,"Médio","Alto"))</f>
        <v>Alto</v>
      </c>
      <c r="W174" s="2" t="s">
        <v>49</v>
      </c>
      <c r="X174" s="6">
        <v>41500</v>
      </c>
      <c r="Y174" s="2" t="str">
        <f t="shared" si="16"/>
        <v>Aprovado</v>
      </c>
      <c r="Z174" s="1" t="str">
        <f t="shared" si="17"/>
        <v>Aprovado</v>
      </c>
      <c r="AA174" s="26">
        <f t="shared" si="18"/>
        <v>0</v>
      </c>
    </row>
    <row r="175" spans="1:27">
      <c r="A175" s="16">
        <f ca="1">YEAR(TODAY())-Tabela1[[#This Row],[idade]]</f>
        <v>2005</v>
      </c>
      <c r="B175" s="1">
        <f t="shared" ca="1" si="19"/>
        <v>21</v>
      </c>
      <c r="C175" s="1" t="str">
        <f>PROPER(Tabela1[[#This Row],[nome]])</f>
        <v>Bran Karstark</v>
      </c>
      <c r="D175" s="1" t="str">
        <f t="shared" si="20"/>
        <v>000.000.241-00</v>
      </c>
      <c r="G175" s="26">
        <f t="shared" si="21"/>
        <v>4400</v>
      </c>
      <c r="H175" s="26">
        <f t="shared" si="22"/>
        <v>23500</v>
      </c>
      <c r="I175" s="1" t="str">
        <f t="shared" si="23"/>
        <v>Sim</v>
      </c>
      <c r="K175" s="2" t="s">
        <v>29</v>
      </c>
      <c r="L175" s="2" t="s">
        <v>437</v>
      </c>
      <c r="M175" s="3" t="s">
        <v>438</v>
      </c>
      <c r="N175" s="4">
        <f ca="1">DATEDIF(O175,TODAY(),"Y")</f>
        <v>21</v>
      </c>
      <c r="O175" s="5">
        <v>38328</v>
      </c>
      <c r="P175" s="2" t="s">
        <v>61</v>
      </c>
      <c r="Q175" s="2" t="s">
        <v>81</v>
      </c>
      <c r="R175" s="6">
        <v>4400</v>
      </c>
      <c r="S175" s="6">
        <v>23500</v>
      </c>
      <c r="T175" s="7" t="s">
        <v>28</v>
      </c>
      <c r="U175" s="2">
        <v>31</v>
      </c>
      <c r="V175" s="2" t="str">
        <f>IF(Tabela1[[#This Row],[qtde_batalhas]]&lt;=10,"Baixo",IF(Tabela1[[#This Row],[qtde_batalhas]]&lt;=25,"Médio","Alto"))</f>
        <v>Alto</v>
      </c>
      <c r="W175" s="2" t="s">
        <v>28</v>
      </c>
      <c r="X175" s="6">
        <v>91000</v>
      </c>
      <c r="Y175" s="2" t="str">
        <f t="shared" si="16"/>
        <v>Negado</v>
      </c>
      <c r="Z175" s="1" t="str">
        <f t="shared" si="17"/>
        <v>Aprovado</v>
      </c>
      <c r="AA175" s="26">
        <f t="shared" si="18"/>
        <v>0</v>
      </c>
    </row>
    <row r="176" spans="1:27">
      <c r="A176" s="16">
        <f ca="1">YEAR(TODAY())-Tabela1[[#This Row],[idade]]</f>
        <v>1978</v>
      </c>
      <c r="B176" s="1">
        <f t="shared" ca="1" si="19"/>
        <v>48</v>
      </c>
      <c r="C176" s="1" t="str">
        <f>PROPER(Tabela1[[#This Row],[nome]])</f>
        <v>Robert Cerwyn</v>
      </c>
      <c r="D176" s="1" t="str">
        <f t="shared" si="20"/>
        <v>-</v>
      </c>
      <c r="G176" s="26">
        <f t="shared" si="21"/>
        <v>17800</v>
      </c>
      <c r="H176" s="26">
        <f t="shared" si="22"/>
        <v>9000</v>
      </c>
      <c r="I176" s="1" t="str">
        <f t="shared" si="23"/>
        <v>Não</v>
      </c>
      <c r="K176" s="2" t="s">
        <v>23</v>
      </c>
      <c r="L176" s="2" t="s">
        <v>439</v>
      </c>
      <c r="M176" s="3">
        <v>30000</v>
      </c>
      <c r="N176" s="4">
        <f ca="1">DATEDIF(O176,TODAY(),"Y")</f>
        <v>48</v>
      </c>
      <c r="O176" s="5">
        <v>28509</v>
      </c>
      <c r="P176" s="2" t="s">
        <v>118</v>
      </c>
      <c r="Q176" s="2" t="s">
        <v>88</v>
      </c>
      <c r="R176" s="6">
        <v>17800</v>
      </c>
      <c r="S176" s="6">
        <v>9000</v>
      </c>
      <c r="T176" s="7">
        <v>0</v>
      </c>
      <c r="U176" s="2">
        <v>28</v>
      </c>
      <c r="V176" s="2" t="str">
        <f>IF(Tabela1[[#This Row],[qtde_batalhas]]&lt;=10,"Baixo",IF(Tabela1[[#This Row],[qtde_batalhas]]&lt;=25,"Médio","Alto"))</f>
        <v>Alto</v>
      </c>
      <c r="W176" s="2">
        <v>0</v>
      </c>
      <c r="X176" s="6">
        <v>80000</v>
      </c>
      <c r="Y176" s="2" t="str">
        <f t="shared" si="16"/>
        <v>Aprovado</v>
      </c>
      <c r="Z176" s="1" t="str">
        <f t="shared" si="17"/>
        <v>Aprovado</v>
      </c>
      <c r="AA176" s="26">
        <f t="shared" si="18"/>
        <v>86400</v>
      </c>
    </row>
    <row r="177" spans="1:27">
      <c r="A177" s="16">
        <f ca="1">YEAR(TODAY())-Tabela1[[#This Row],[idade]]</f>
        <v>1971</v>
      </c>
      <c r="B177" s="1">
        <f t="shared" ca="1" si="19"/>
        <v>55</v>
      </c>
      <c r="C177" s="1" t="str">
        <f>PROPER(Tabela1[[#This Row],[nome]])</f>
        <v>Thoros Yronwood</v>
      </c>
      <c r="D177" s="1" t="str">
        <f t="shared" si="20"/>
        <v>000.000.201-00</v>
      </c>
      <c r="G177" s="26">
        <f t="shared" si="21"/>
        <v>20200</v>
      </c>
      <c r="H177" s="26">
        <f t="shared" si="22"/>
        <v>61000</v>
      </c>
      <c r="I177" s="1" t="str">
        <f t="shared" si="23"/>
        <v>Não</v>
      </c>
      <c r="K177" s="2" t="s">
        <v>23</v>
      </c>
      <c r="L177" s="2" t="s">
        <v>441</v>
      </c>
      <c r="M177" s="3" t="s">
        <v>442</v>
      </c>
      <c r="N177" s="4">
        <f ca="1">DATEDIF(O177,TODAY(),"Y")</f>
        <v>55</v>
      </c>
      <c r="O177" s="5">
        <v>25925</v>
      </c>
      <c r="P177" s="2" t="s">
        <v>61</v>
      </c>
      <c r="Q177" s="2" t="s">
        <v>81</v>
      </c>
      <c r="R177" s="6">
        <v>20200</v>
      </c>
      <c r="S177" s="6">
        <v>61000</v>
      </c>
      <c r="T177" s="7" t="s">
        <v>49</v>
      </c>
      <c r="U177" s="2">
        <v>10</v>
      </c>
      <c r="V177" s="2" t="str">
        <f>IF(Tabela1[[#This Row],[qtde_batalhas]]&lt;=10,"Baixo",IF(Tabela1[[#This Row],[qtde_batalhas]]&lt;=25,"Médio","Alto"))</f>
        <v>Baixo</v>
      </c>
      <c r="W177" s="2" t="s">
        <v>49</v>
      </c>
      <c r="X177" s="6">
        <v>6500</v>
      </c>
      <c r="Y177" s="2" t="str">
        <f t="shared" si="16"/>
        <v>Aprovado</v>
      </c>
      <c r="Z177" s="1" t="str">
        <f t="shared" si="17"/>
        <v>Aprovado</v>
      </c>
      <c r="AA177" s="26">
        <f t="shared" si="18"/>
        <v>7020.0000000000009</v>
      </c>
    </row>
    <row r="178" spans="1:27">
      <c r="A178" s="16">
        <f ca="1">YEAR(TODAY())-Tabela1[[#This Row],[idade]]</f>
        <v>1970</v>
      </c>
      <c r="B178" s="1">
        <f t="shared" ca="1" si="19"/>
        <v>56</v>
      </c>
      <c r="C178" s="1" t="str">
        <f>PROPER(Tabela1[[#This Row],[nome]])</f>
        <v>Bronn Umber</v>
      </c>
      <c r="D178" s="1" t="str">
        <f t="shared" si="20"/>
        <v>000.000.177-00</v>
      </c>
      <c r="G178" s="26">
        <f t="shared" si="21"/>
        <v>11100</v>
      </c>
      <c r="H178" s="26">
        <f t="shared" si="22"/>
        <v>13000</v>
      </c>
      <c r="I178" s="1" t="str">
        <f t="shared" si="23"/>
        <v>Não</v>
      </c>
      <c r="L178" s="2" t="s">
        <v>443</v>
      </c>
      <c r="M178" s="3" t="s">
        <v>444</v>
      </c>
      <c r="N178" s="4">
        <f ca="1">DATEDIF(O178,TODAY(),"Y")</f>
        <v>56</v>
      </c>
      <c r="O178" s="5">
        <v>25705</v>
      </c>
      <c r="P178" s="2" t="s">
        <v>174</v>
      </c>
      <c r="Q178" s="2" t="s">
        <v>38</v>
      </c>
      <c r="R178" s="6">
        <v>11100</v>
      </c>
      <c r="S178" s="6">
        <v>13000</v>
      </c>
      <c r="T178" s="7" t="s">
        <v>49</v>
      </c>
      <c r="U178" s="2">
        <v>38</v>
      </c>
      <c r="V178" s="2" t="str">
        <f>IF(Tabela1[[#This Row],[qtde_batalhas]]&lt;=10,"Baixo",IF(Tabela1[[#This Row],[qtde_batalhas]]&lt;=25,"Médio","Alto"))</f>
        <v>Alto</v>
      </c>
      <c r="W178" s="2" t="s">
        <v>49</v>
      </c>
      <c r="X178" s="6">
        <v>88000</v>
      </c>
      <c r="Y178" s="2" t="str">
        <f t="shared" si="16"/>
        <v>Aprovado</v>
      </c>
      <c r="Z178" s="1" t="str">
        <f t="shared" si="17"/>
        <v>Aprovado</v>
      </c>
      <c r="AA178" s="26">
        <f t="shared" si="18"/>
        <v>0</v>
      </c>
    </row>
    <row r="179" spans="1:27">
      <c r="A179" s="16">
        <f ca="1">YEAR(TODAY())-Tabela1[[#This Row],[idade]]</f>
        <v>1964</v>
      </c>
      <c r="B179" s="1">
        <f t="shared" ca="1" si="19"/>
        <v>62</v>
      </c>
      <c r="C179" s="1" t="str">
        <f>PROPER(Tabela1[[#This Row],[nome]])</f>
        <v>Brienne Ilhasyne</v>
      </c>
      <c r="D179" s="1" t="str">
        <f t="shared" si="20"/>
        <v>000.000.070-00</v>
      </c>
      <c r="G179" s="26">
        <f t="shared" si="21"/>
        <v>11900</v>
      </c>
      <c r="H179" s="26">
        <f t="shared" si="22"/>
        <v>58500</v>
      </c>
      <c r="I179" s="1" t="str">
        <f t="shared" si="23"/>
        <v>Não</v>
      </c>
      <c r="K179" s="2" t="s">
        <v>23</v>
      </c>
      <c r="L179" s="2" t="s">
        <v>835</v>
      </c>
      <c r="M179" s="3" t="s">
        <v>446</v>
      </c>
      <c r="N179" s="4">
        <f ca="1">DATEDIF(O179,TODAY(),"Y")</f>
        <v>62</v>
      </c>
      <c r="O179" s="5">
        <v>23337</v>
      </c>
      <c r="P179" s="2" t="s">
        <v>37</v>
      </c>
      <c r="Q179" s="2" t="s">
        <v>38</v>
      </c>
      <c r="R179" s="6">
        <v>11900</v>
      </c>
      <c r="S179" s="6">
        <v>58500</v>
      </c>
      <c r="T179" s="7" t="s">
        <v>49</v>
      </c>
      <c r="U179" s="2">
        <v>37</v>
      </c>
      <c r="V179" s="2" t="str">
        <f>IF(Tabela1[[#This Row],[qtde_batalhas]]&lt;=10,"Baixo",IF(Tabela1[[#This Row],[qtde_batalhas]]&lt;=25,"Médio","Alto"))</f>
        <v>Alto</v>
      </c>
      <c r="W179" s="2" t="s">
        <v>49</v>
      </c>
      <c r="X179" s="6">
        <v>48000</v>
      </c>
      <c r="Y179" s="2" t="str">
        <f t="shared" si="16"/>
        <v>Aprovado</v>
      </c>
      <c r="Z179" s="1" t="str">
        <f t="shared" si="17"/>
        <v>Aprovado</v>
      </c>
      <c r="AA179" s="26">
        <f t="shared" si="18"/>
        <v>51840</v>
      </c>
    </row>
    <row r="180" spans="1:27">
      <c r="A180" s="16">
        <f ca="1">YEAR(TODAY())-Tabela1[[#This Row],[idade]]</f>
        <v>2000</v>
      </c>
      <c r="B180" s="1">
        <f t="shared" ca="1" si="19"/>
        <v>26</v>
      </c>
      <c r="C180" s="1" t="str">
        <f>PROPER(Tabela1[[#This Row],[nome]])</f>
        <v>Bronn Bolton</v>
      </c>
      <c r="D180" s="1" t="str">
        <f t="shared" si="20"/>
        <v>000.000.143-00</v>
      </c>
      <c r="G180" s="26">
        <f t="shared" si="21"/>
        <v>26800</v>
      </c>
      <c r="H180" s="26">
        <f t="shared" si="22"/>
        <v>42500</v>
      </c>
      <c r="I180" s="1" t="str">
        <f t="shared" si="23"/>
        <v>Sim</v>
      </c>
      <c r="K180" s="2" t="s">
        <v>23</v>
      </c>
      <c r="L180" s="2" t="s">
        <v>447</v>
      </c>
      <c r="M180" s="3" t="s">
        <v>448</v>
      </c>
      <c r="N180" s="4">
        <f ca="1">DATEDIF(O180,TODAY(),"Y")</f>
        <v>26</v>
      </c>
      <c r="O180" s="5">
        <v>36619</v>
      </c>
      <c r="P180" s="2" t="s">
        <v>118</v>
      </c>
      <c r="Q180" s="2" t="s">
        <v>88</v>
      </c>
      <c r="R180" s="6">
        <v>26800</v>
      </c>
      <c r="S180" s="6">
        <v>42500</v>
      </c>
      <c r="T180" s="7" t="s">
        <v>28</v>
      </c>
      <c r="U180" s="2">
        <v>29</v>
      </c>
      <c r="V180" s="2" t="str">
        <f>IF(Tabela1[[#This Row],[qtde_batalhas]]&lt;=10,"Baixo",IF(Tabela1[[#This Row],[qtde_batalhas]]&lt;=25,"Médio","Alto"))</f>
        <v>Alto</v>
      </c>
      <c r="W180" s="2" t="s">
        <v>28</v>
      </c>
      <c r="X180" s="6">
        <v>66000</v>
      </c>
      <c r="Y180" s="2" t="str">
        <f t="shared" si="16"/>
        <v>Negado</v>
      </c>
      <c r="Z180" s="1" t="str">
        <f t="shared" si="17"/>
        <v>Aprovado</v>
      </c>
      <c r="AA180" s="26">
        <f t="shared" si="18"/>
        <v>0</v>
      </c>
    </row>
    <row r="181" spans="1:27">
      <c r="A181" s="16">
        <f ca="1">YEAR(TODAY())-Tabela1[[#This Row],[idade]]</f>
        <v>1996</v>
      </c>
      <c r="B181" s="1">
        <f t="shared" ca="1" si="19"/>
        <v>30</v>
      </c>
      <c r="C181" s="1" t="str">
        <f>PROPER(Tabela1[[#This Row],[nome]])</f>
        <v>Rhaegar Hornwood</v>
      </c>
      <c r="D181" s="1" t="str">
        <f t="shared" si="20"/>
        <v>000.000.178-00</v>
      </c>
      <c r="G181" s="26">
        <f t="shared" si="21"/>
        <v>2600</v>
      </c>
      <c r="H181" s="26">
        <f t="shared" si="22"/>
        <v>62000</v>
      </c>
      <c r="I181" s="1" t="str">
        <f t="shared" si="23"/>
        <v>Não</v>
      </c>
      <c r="K181" s="2" t="s">
        <v>23</v>
      </c>
      <c r="L181" s="2" t="s">
        <v>450</v>
      </c>
      <c r="M181" s="3" t="s">
        <v>451</v>
      </c>
      <c r="N181" s="4">
        <f ca="1">DATEDIF(O181,TODAY(),"Y")</f>
        <v>30</v>
      </c>
      <c r="O181" s="5">
        <v>35109</v>
      </c>
      <c r="P181" s="2" t="s">
        <v>31</v>
      </c>
      <c r="Q181" s="2" t="s">
        <v>32</v>
      </c>
      <c r="R181" s="6">
        <v>2600</v>
      </c>
      <c r="S181" s="6">
        <v>62000</v>
      </c>
      <c r="T181" s="7" t="s">
        <v>49</v>
      </c>
      <c r="U181" s="2">
        <v>22</v>
      </c>
      <c r="V181" s="2" t="str">
        <f>IF(Tabela1[[#This Row],[qtde_batalhas]]&lt;=10,"Baixo",IF(Tabela1[[#This Row],[qtde_batalhas]]&lt;=25,"Médio","Alto"))</f>
        <v>Médio</v>
      </c>
      <c r="W181" s="2" t="s">
        <v>49</v>
      </c>
      <c r="X181" s="6">
        <v>62000</v>
      </c>
      <c r="Y181" s="2" t="str">
        <f t="shared" si="16"/>
        <v>Aprovado</v>
      </c>
      <c r="Z181" s="1" t="str">
        <f t="shared" si="17"/>
        <v>Aprovado</v>
      </c>
      <c r="AA181" s="26">
        <f t="shared" si="18"/>
        <v>66960</v>
      </c>
    </row>
    <row r="182" spans="1:27">
      <c r="A182" s="16">
        <f ca="1">YEAR(TODAY())-Tabela1[[#This Row],[idade]]</f>
        <v>1952</v>
      </c>
      <c r="B182" s="1">
        <f t="shared" ca="1" si="19"/>
        <v>74</v>
      </c>
      <c r="C182" s="1" t="str">
        <f>PROPER(Tabela1[[#This Row],[nome]])</f>
        <v>Meera Tarly</v>
      </c>
      <c r="D182" s="1" t="str">
        <f t="shared" si="20"/>
        <v>000.000.326-00</v>
      </c>
      <c r="G182" s="26">
        <f t="shared" si="21"/>
        <v>25000</v>
      </c>
      <c r="H182" s="26">
        <f t="shared" si="22"/>
        <v>0</v>
      </c>
      <c r="I182" s="1" t="str">
        <f t="shared" si="23"/>
        <v>Não</v>
      </c>
      <c r="K182" s="2" t="s">
        <v>23</v>
      </c>
      <c r="L182" s="2" t="s">
        <v>452</v>
      </c>
      <c r="M182" s="3" t="s">
        <v>453</v>
      </c>
      <c r="N182" s="4">
        <f ca="1">DATEDIF(O182,TODAY(),"Y")</f>
        <v>74</v>
      </c>
      <c r="O182" s="5">
        <v>19168</v>
      </c>
      <c r="P182" s="2" t="s">
        <v>61</v>
      </c>
      <c r="Q182" s="2" t="s">
        <v>81</v>
      </c>
      <c r="R182" s="6">
        <v>25000</v>
      </c>
      <c r="S182" s="6">
        <v>0</v>
      </c>
      <c r="T182" s="7" t="s">
        <v>49</v>
      </c>
      <c r="U182" s="2">
        <v>3</v>
      </c>
      <c r="V182" s="2" t="str">
        <f>IF(Tabela1[[#This Row],[qtde_batalhas]]&lt;=10,"Baixo",IF(Tabela1[[#This Row],[qtde_batalhas]]&lt;=25,"Médio","Alto"))</f>
        <v>Baixo</v>
      </c>
      <c r="W182" s="2" t="s">
        <v>49</v>
      </c>
      <c r="X182" s="6">
        <v>2500</v>
      </c>
      <c r="Y182" s="2" t="str">
        <f t="shared" si="16"/>
        <v>Aprovado</v>
      </c>
      <c r="Z182" s="1" t="str">
        <f t="shared" si="17"/>
        <v>Aprovado</v>
      </c>
      <c r="AA182" s="26">
        <f t="shared" si="18"/>
        <v>2700</v>
      </c>
    </row>
    <row r="183" spans="1:27">
      <c r="A183" s="16">
        <f ca="1">YEAR(TODAY())-Tabela1[[#This Row],[idade]]</f>
        <v>1961</v>
      </c>
      <c r="B183" s="1">
        <f t="shared" ca="1" si="19"/>
        <v>65</v>
      </c>
      <c r="C183" s="1" t="str">
        <f>PROPER(Tabela1[[#This Row],[nome]])</f>
        <v>Thoros Hornwood</v>
      </c>
      <c r="D183" s="1" t="str">
        <f t="shared" si="20"/>
        <v>000.000.245-00</v>
      </c>
      <c r="G183" s="26">
        <f t="shared" si="21"/>
        <v>19800</v>
      </c>
      <c r="H183" s="26">
        <f t="shared" si="22"/>
        <v>78500</v>
      </c>
      <c r="I183" s="1" t="str">
        <f t="shared" si="23"/>
        <v>Não</v>
      </c>
      <c r="K183" s="2" t="s">
        <v>29</v>
      </c>
      <c r="L183" s="2" t="s">
        <v>454</v>
      </c>
      <c r="M183" s="3" t="s">
        <v>455</v>
      </c>
      <c r="N183" s="4">
        <f ca="1">DATEDIF(O183,TODAY(),"Y")</f>
        <v>65</v>
      </c>
      <c r="O183" s="5">
        <v>22205</v>
      </c>
      <c r="P183" s="2" t="s">
        <v>90</v>
      </c>
      <c r="Q183" s="2" t="s">
        <v>91</v>
      </c>
      <c r="R183" s="6">
        <v>19800</v>
      </c>
      <c r="S183" s="6">
        <v>78500</v>
      </c>
      <c r="T183" s="7" t="s">
        <v>49</v>
      </c>
      <c r="U183" s="2">
        <v>34</v>
      </c>
      <c r="V183" s="2" t="str">
        <f>IF(Tabela1[[#This Row],[qtde_batalhas]]&lt;=10,"Baixo",IF(Tabela1[[#This Row],[qtde_batalhas]]&lt;=25,"Médio","Alto"))</f>
        <v>Alto</v>
      </c>
      <c r="W183" s="2" t="s">
        <v>49</v>
      </c>
      <c r="X183" s="6">
        <v>23000</v>
      </c>
      <c r="Y183" s="2" t="str">
        <f t="shared" si="16"/>
        <v>Aprovado</v>
      </c>
      <c r="Z183" s="1" t="str">
        <f t="shared" si="17"/>
        <v>Aprovado</v>
      </c>
      <c r="AA183" s="26">
        <f t="shared" si="18"/>
        <v>0</v>
      </c>
    </row>
    <row r="184" spans="1:27">
      <c r="A184" s="16">
        <f ca="1">YEAR(TODAY())-Tabela1[[#This Row],[idade]]</f>
        <v>1967</v>
      </c>
      <c r="B184" s="1">
        <f t="shared" ca="1" si="19"/>
        <v>59</v>
      </c>
      <c r="C184" s="1" t="str">
        <f>PROPER(Tabela1[[#This Row],[nome]])</f>
        <v>Jeor Martell</v>
      </c>
      <c r="D184" s="1" t="str">
        <f t="shared" si="20"/>
        <v>000.000.061-00</v>
      </c>
      <c r="G184" s="26">
        <f t="shared" si="21"/>
        <v>20100</v>
      </c>
      <c r="H184" s="26">
        <f t="shared" si="22"/>
        <v>40000</v>
      </c>
      <c r="I184" s="1" t="str">
        <f t="shared" si="23"/>
        <v>Não</v>
      </c>
      <c r="K184" s="2" t="s">
        <v>29</v>
      </c>
      <c r="L184" s="2" t="s">
        <v>456</v>
      </c>
      <c r="M184" s="3" t="s">
        <v>457</v>
      </c>
      <c r="N184" s="4">
        <f ca="1">DATEDIF(O184,TODAY(),"Y")</f>
        <v>59</v>
      </c>
      <c r="O184" s="5">
        <v>24726</v>
      </c>
      <c r="P184" s="2" t="s">
        <v>70</v>
      </c>
      <c r="Q184" s="2" t="s">
        <v>71</v>
      </c>
      <c r="R184" s="6">
        <v>20100</v>
      </c>
      <c r="S184" s="6">
        <v>40000</v>
      </c>
      <c r="T184" s="7" t="s">
        <v>49</v>
      </c>
      <c r="U184" s="2">
        <v>16</v>
      </c>
      <c r="V184" s="2" t="str">
        <f>IF(Tabela1[[#This Row],[qtde_batalhas]]&lt;=10,"Baixo",IF(Tabela1[[#This Row],[qtde_batalhas]]&lt;=25,"Médio","Alto"))</f>
        <v>Médio</v>
      </c>
      <c r="W184" s="2" t="s">
        <v>49</v>
      </c>
      <c r="X184" s="6">
        <v>98500</v>
      </c>
      <c r="Y184" s="2" t="str">
        <f t="shared" si="16"/>
        <v>Aprovado</v>
      </c>
      <c r="Z184" s="1" t="str">
        <f t="shared" si="17"/>
        <v>Aprovado</v>
      </c>
      <c r="AA184" s="26">
        <f t="shared" si="18"/>
        <v>0</v>
      </c>
    </row>
    <row r="185" spans="1:27">
      <c r="A185" s="16">
        <f ca="1">YEAR(TODAY())-Tabela1[[#This Row],[idade]]</f>
        <v>1981</v>
      </c>
      <c r="B185" s="1">
        <f t="shared" ca="1" si="19"/>
        <v>45</v>
      </c>
      <c r="C185" s="1" t="str">
        <f>PROPER(Tabela1[[#This Row],[nome]])</f>
        <v>Lyanna Stark</v>
      </c>
      <c r="D185" s="1" t="str">
        <f t="shared" si="20"/>
        <v>000.000.023-00</v>
      </c>
      <c r="G185" s="26">
        <f t="shared" si="21"/>
        <v>24400</v>
      </c>
      <c r="H185" s="26">
        <f t="shared" si="22"/>
        <v>7500</v>
      </c>
      <c r="I185" s="1" t="str">
        <f t="shared" si="23"/>
        <v>Não</v>
      </c>
      <c r="K185" s="2" t="s">
        <v>23</v>
      </c>
      <c r="L185" s="2" t="s">
        <v>459</v>
      </c>
      <c r="M185" s="3" t="s">
        <v>460</v>
      </c>
      <c r="N185" s="4">
        <f ca="1">DATEDIF(O185,TODAY(),"Y")</f>
        <v>45</v>
      </c>
      <c r="O185" s="5">
        <v>29769</v>
      </c>
      <c r="P185" s="2" t="s">
        <v>31</v>
      </c>
      <c r="Q185" s="2" t="s">
        <v>795</v>
      </c>
      <c r="R185" s="6">
        <v>24400</v>
      </c>
      <c r="S185" s="6">
        <v>7500</v>
      </c>
      <c r="T185" s="7" t="s">
        <v>140</v>
      </c>
      <c r="U185" s="2">
        <v>13</v>
      </c>
      <c r="V185" s="2" t="str">
        <f>IF(Tabela1[[#This Row],[qtde_batalhas]]&lt;=10,"Baixo",IF(Tabela1[[#This Row],[qtde_batalhas]]&lt;=25,"Médio","Alto"))</f>
        <v>Médio</v>
      </c>
      <c r="W185" s="2" t="s">
        <v>140</v>
      </c>
      <c r="X185" s="6">
        <v>95000</v>
      </c>
      <c r="Y185" s="2" t="str">
        <f t="shared" si="16"/>
        <v>Aprovado</v>
      </c>
      <c r="Z185" s="1" t="str">
        <f t="shared" si="17"/>
        <v>Aprovado</v>
      </c>
      <c r="AA185" s="26">
        <f t="shared" si="18"/>
        <v>102600</v>
      </c>
    </row>
    <row r="186" spans="1:27">
      <c r="A186" s="16">
        <f ca="1">YEAR(TODAY())-Tabela1[[#This Row],[idade]]</f>
        <v>2000</v>
      </c>
      <c r="B186" s="1">
        <f t="shared" ca="1" si="19"/>
        <v>26</v>
      </c>
      <c r="C186" s="1" t="str">
        <f>PROPER(Tabela1[[#This Row],[nome]])</f>
        <v>Rhaegar Tallhart</v>
      </c>
      <c r="D186" s="1" t="str">
        <f t="shared" si="20"/>
        <v>-</v>
      </c>
      <c r="G186" s="26">
        <f t="shared" si="21"/>
        <v>3500</v>
      </c>
      <c r="H186" s="26">
        <f t="shared" si="22"/>
        <v>50000</v>
      </c>
      <c r="I186" s="1" t="str">
        <f t="shared" si="23"/>
        <v>Não</v>
      </c>
      <c r="K186" s="2" t="s">
        <v>23</v>
      </c>
      <c r="L186" s="2" t="s">
        <v>461</v>
      </c>
      <c r="M186" s="3">
        <v>34800</v>
      </c>
      <c r="N186" s="4">
        <f ca="1">DATEDIF(O186,TODAY(),"Y")</f>
        <v>26</v>
      </c>
      <c r="O186" s="5">
        <v>36596</v>
      </c>
      <c r="P186" s="2" t="s">
        <v>103</v>
      </c>
      <c r="Q186" s="2" t="s">
        <v>91</v>
      </c>
      <c r="R186" s="6">
        <v>3500</v>
      </c>
      <c r="S186" s="6">
        <v>50000</v>
      </c>
      <c r="T186" s="7">
        <v>0</v>
      </c>
      <c r="U186" s="2">
        <v>40</v>
      </c>
      <c r="V186" s="2" t="str">
        <f>IF(Tabela1[[#This Row],[qtde_batalhas]]&lt;=10,"Baixo",IF(Tabela1[[#This Row],[qtde_batalhas]]&lt;=25,"Médio","Alto"))</f>
        <v>Alto</v>
      </c>
      <c r="W186" s="2">
        <v>0</v>
      </c>
      <c r="X186" s="6">
        <v>46500</v>
      </c>
      <c r="Y186" s="2" t="str">
        <f t="shared" si="16"/>
        <v>Aprovado</v>
      </c>
      <c r="Z186" s="1" t="str">
        <f t="shared" si="17"/>
        <v>Aprovado</v>
      </c>
      <c r="AA186" s="26">
        <f t="shared" si="18"/>
        <v>50220</v>
      </c>
    </row>
    <row r="187" spans="1:27">
      <c r="A187" s="16">
        <f ca="1">YEAR(TODAY())-Tabela1[[#This Row],[idade]]</f>
        <v>1984</v>
      </c>
      <c r="B187" s="1">
        <f t="shared" ca="1" si="19"/>
        <v>42</v>
      </c>
      <c r="C187" s="1" t="str">
        <f>PROPER(Tabela1[[#This Row],[nome]])</f>
        <v>Petyr Greyjoy</v>
      </c>
      <c r="D187" s="1" t="str">
        <f t="shared" si="20"/>
        <v>000.000.301-00</v>
      </c>
      <c r="E187" t="str">
        <f>IF(P208="Lannisporto","Oeste",
IF(P208="Ninho da Águia","Vale",
IF(P208="Ponta Tempestade","Terras da Tempestade",
IF(P208="Pedra do Dragão","Terras da Coroa",
IF(P208="Pyke","Ilhas de Ferro",
IF(P208="Meereen","Essos",
IF(P208="Braavos","Essos",
IF(P208="Correrrio","Terras Fluviais",
IF(P208="Castelo Negro","Norte",
IF(P208="Vilavelha","Campina",
IF(P208="Ilha dos Ursos","Norte",
IF(P208="Fosso Cailin","Norte",
IF(P208="Harrenhal","Terras Fluviais",
IF(P208="Winterfell","Norte",
IF(P208="Jardim de Cima","Campina",
IF(P208="Dorne","Dorne",
IF(P208="Monte Chifre","Campina",
IF(P208="Atalaia da Água Cinzenta","Oeste",
IF(P208="Porto Real","Terras da Coroa",
IF(P208="Solar do Entardecer","Terras da Tempestade",
""))))))))))))))))))))</f>
        <v>Essos</v>
      </c>
      <c r="G187" s="26">
        <f t="shared" si="21"/>
        <v>20800</v>
      </c>
      <c r="H187" s="26">
        <f t="shared" si="22"/>
        <v>54000</v>
      </c>
      <c r="I187" s="1" t="str">
        <f t="shared" si="23"/>
        <v>Não</v>
      </c>
      <c r="K187" s="2" t="s">
        <v>23</v>
      </c>
      <c r="L187" s="2" t="s">
        <v>462</v>
      </c>
      <c r="M187" s="3" t="s">
        <v>463</v>
      </c>
      <c r="N187" s="4">
        <f ca="1">DATEDIF(O187,TODAY(),"Y")</f>
        <v>42</v>
      </c>
      <c r="O187" s="5">
        <v>30898</v>
      </c>
      <c r="P187" s="19" t="s">
        <v>52</v>
      </c>
      <c r="Q187" s="20" t="str">
        <f>IF(P187="Lannisporto","Oeste",
IF(P187="Ninho da Águia","Vale",
IF(P187="Ponta Tempestade","Terras da Tempestade",
IF(P187="Pedra do Dragão","Terras da Coroa",
IF(P187="Pyke","Ilhas de Ferro",
IF(P187="Meereen","Essos",
IF(P187="Braavos","Essos",
IF(P187="Correrrio","Terras Fluviais",
IF(P187="Castelo Negro","Norte",
IF(P187="Vilavelha","Campina",
IF(P187="Ilha dos Ursos","Norte",
IF(P187="Fosso Cailin","Norte",
IF(P187="Harrenhal","Terras Fluviais",
IF(P187="Winterfell","Norte",
IF(P187="Jardim de Cima","Campina",
IF(P187="Dorne","Dorne",
IF(P187="Monte Chifre","Campina",
IF(P187="Atalaia da Água Cinzenta","Oeste",
IF(P187="Porto Real","Terras da Coroa",
IF(P187="Solar do Entardecer","Terras da Tempestade",
""))))))))))))))))))))</f>
        <v>Oeste</v>
      </c>
      <c r="R187" s="6">
        <v>20800</v>
      </c>
      <c r="S187" s="6">
        <v>54000</v>
      </c>
      <c r="T187" s="7" t="s">
        <v>49</v>
      </c>
      <c r="U187" s="2">
        <v>4</v>
      </c>
      <c r="V187" s="2" t="str">
        <f>IF(Tabela1[[#This Row],[qtde_batalhas]]&lt;=10,"Baixo",IF(Tabela1[[#This Row],[qtde_batalhas]]&lt;=25,"Médio","Alto"))</f>
        <v>Baixo</v>
      </c>
      <c r="W187" s="2" t="s">
        <v>49</v>
      </c>
      <c r="X187" s="6">
        <v>73500</v>
      </c>
      <c r="Y187" s="2" t="str">
        <f t="shared" si="16"/>
        <v>Aprovado</v>
      </c>
      <c r="Z187" s="1" t="str">
        <f t="shared" si="17"/>
        <v>Aprovado</v>
      </c>
      <c r="AA187" s="26">
        <f t="shared" si="18"/>
        <v>79380</v>
      </c>
    </row>
    <row r="188" spans="1:27">
      <c r="A188" s="16">
        <f ca="1">YEAR(TODAY())-Tabela1[[#This Row],[idade]]</f>
        <v>1960</v>
      </c>
      <c r="B188" s="1">
        <f t="shared" ca="1" si="19"/>
        <v>66</v>
      </c>
      <c r="C188" s="1" t="str">
        <f>PROPER(Tabela1[[#This Row],[nome]])</f>
        <v>Renly Redwyne</v>
      </c>
      <c r="D188" s="1" t="str">
        <f t="shared" si="20"/>
        <v>000.000.045-00</v>
      </c>
      <c r="G188" s="26">
        <f t="shared" si="21"/>
        <v>3400</v>
      </c>
      <c r="H188" s="26">
        <f t="shared" si="22"/>
        <v>78000</v>
      </c>
      <c r="I188" s="1" t="str">
        <f t="shared" si="23"/>
        <v>Não</v>
      </c>
      <c r="K188" s="2" t="s">
        <v>29</v>
      </c>
      <c r="L188" s="2" t="s">
        <v>464</v>
      </c>
      <c r="M188" s="3" t="s">
        <v>465</v>
      </c>
      <c r="N188" s="4">
        <f ca="1">DATEDIF(O188,TODAY(),"Y")</f>
        <v>66</v>
      </c>
      <c r="O188" s="5">
        <v>21954</v>
      </c>
      <c r="P188" s="2" t="s">
        <v>174</v>
      </c>
      <c r="Q188" s="2" t="s">
        <v>38</v>
      </c>
      <c r="R188" s="6">
        <v>3400</v>
      </c>
      <c r="S188" s="6">
        <v>78000</v>
      </c>
      <c r="T188" s="7" t="s">
        <v>49</v>
      </c>
      <c r="U188" s="2">
        <v>9</v>
      </c>
      <c r="V188" s="2" t="str">
        <f>IF(Tabela1[[#This Row],[qtde_batalhas]]&lt;=10,"Baixo",IF(Tabela1[[#This Row],[qtde_batalhas]]&lt;=25,"Médio","Alto"))</f>
        <v>Baixo</v>
      </c>
      <c r="W188" s="2" t="s">
        <v>49</v>
      </c>
      <c r="X188" s="6">
        <v>51500</v>
      </c>
      <c r="Y188" s="2" t="str">
        <f t="shared" si="16"/>
        <v>Aprovado</v>
      </c>
      <c r="Z188" s="1" t="str">
        <f t="shared" si="17"/>
        <v>Aprovado</v>
      </c>
      <c r="AA188" s="26">
        <f t="shared" si="18"/>
        <v>0</v>
      </c>
    </row>
    <row r="189" spans="1:27">
      <c r="A189" s="16">
        <f ca="1">YEAR(TODAY())-Tabela1[[#This Row],[idade]]</f>
        <v>1977</v>
      </c>
      <c r="B189" s="1">
        <f t="shared" ca="1" si="19"/>
        <v>49</v>
      </c>
      <c r="C189" s="1" t="str">
        <f>PROPER(Tabela1[[#This Row],[nome]])</f>
        <v>Asha Arryn</v>
      </c>
      <c r="D189" s="1" t="str">
        <f t="shared" si="20"/>
        <v>000.000.122-00</v>
      </c>
      <c r="G189" s="26">
        <f t="shared" si="21"/>
        <v>25200</v>
      </c>
      <c r="H189" s="26">
        <f t="shared" si="22"/>
        <v>59500</v>
      </c>
      <c r="I189" s="1" t="str">
        <f t="shared" si="23"/>
        <v>Não</v>
      </c>
      <c r="K189" s="2" t="s">
        <v>29</v>
      </c>
      <c r="L189" s="2" t="s">
        <v>466</v>
      </c>
      <c r="M189" s="3" t="s">
        <v>467</v>
      </c>
      <c r="N189" s="4">
        <f ca="1">DATEDIF(O189,TODAY(),"Y")</f>
        <v>49</v>
      </c>
      <c r="O189" s="5">
        <v>28049</v>
      </c>
      <c r="P189" s="2" t="s">
        <v>90</v>
      </c>
      <c r="Q189" s="2" t="s">
        <v>91</v>
      </c>
      <c r="R189" s="6">
        <v>25200</v>
      </c>
      <c r="S189" s="6">
        <v>59500</v>
      </c>
      <c r="T189" s="7" t="s">
        <v>49</v>
      </c>
      <c r="U189" s="2">
        <v>37</v>
      </c>
      <c r="V189" s="2" t="str">
        <f>IF(Tabela1[[#This Row],[qtde_batalhas]]&lt;=10,"Baixo",IF(Tabela1[[#This Row],[qtde_batalhas]]&lt;=25,"Médio","Alto"))</f>
        <v>Alto</v>
      </c>
      <c r="W189" s="2" t="s">
        <v>49</v>
      </c>
      <c r="X189" s="6">
        <v>86500</v>
      </c>
      <c r="Y189" s="2" t="str">
        <f t="shared" si="16"/>
        <v>Aprovado</v>
      </c>
      <c r="Z189" s="1" t="str">
        <f t="shared" si="17"/>
        <v>Aprovado</v>
      </c>
      <c r="AA189" s="26">
        <f t="shared" si="18"/>
        <v>0</v>
      </c>
    </row>
    <row r="190" spans="1:27">
      <c r="A190" s="16">
        <f ca="1">YEAR(TODAY())-Tabela1[[#This Row],[idade]]</f>
        <v>1966</v>
      </c>
      <c r="B190" s="1">
        <f t="shared" ca="1" si="19"/>
        <v>60</v>
      </c>
      <c r="C190" s="1" t="str">
        <f>PROPER(Tabela1[[#This Row],[nome]])</f>
        <v>Podrick Florent</v>
      </c>
      <c r="D190" s="1" t="str">
        <f t="shared" si="20"/>
        <v>000.000.354-00</v>
      </c>
      <c r="G190" s="26">
        <f t="shared" si="21"/>
        <v>22900</v>
      </c>
      <c r="H190" s="26">
        <f t="shared" si="22"/>
        <v>4500</v>
      </c>
      <c r="I190" s="1" t="str">
        <f t="shared" si="23"/>
        <v>Sim</v>
      </c>
      <c r="K190" s="2" t="s">
        <v>23</v>
      </c>
      <c r="L190" s="2" t="s">
        <v>468</v>
      </c>
      <c r="M190" s="3" t="s">
        <v>469</v>
      </c>
      <c r="N190" s="4">
        <f ca="1">DATEDIF(O190,TODAY(),"Y")</f>
        <v>60</v>
      </c>
      <c r="O190" s="5">
        <v>24021</v>
      </c>
      <c r="P190" s="2" t="s">
        <v>119</v>
      </c>
      <c r="Q190" s="2" t="s">
        <v>91</v>
      </c>
      <c r="R190" s="6">
        <v>22900</v>
      </c>
      <c r="S190" s="6">
        <v>4500</v>
      </c>
      <c r="T190" s="7" t="s">
        <v>28</v>
      </c>
      <c r="U190" s="2">
        <v>29</v>
      </c>
      <c r="V190" s="2" t="str">
        <f>IF(Tabela1[[#This Row],[qtde_batalhas]]&lt;=10,"Baixo",IF(Tabela1[[#This Row],[qtde_batalhas]]&lt;=25,"Médio","Alto"))</f>
        <v>Alto</v>
      </c>
      <c r="W190" s="2" t="s">
        <v>28</v>
      </c>
      <c r="X190" s="6">
        <v>43500</v>
      </c>
      <c r="Y190" s="2" t="str">
        <f t="shared" si="16"/>
        <v>Negado</v>
      </c>
      <c r="Z190" s="1" t="str">
        <f t="shared" si="17"/>
        <v>Aprovado</v>
      </c>
      <c r="AA190" s="26">
        <f t="shared" si="18"/>
        <v>0</v>
      </c>
    </row>
    <row r="191" spans="1:27">
      <c r="A191" s="16">
        <f ca="1">YEAR(TODAY())-Tabela1[[#This Row],[idade]]</f>
        <v>1966</v>
      </c>
      <c r="B191" s="1">
        <f t="shared" ca="1" si="19"/>
        <v>60</v>
      </c>
      <c r="C191" s="1" t="str">
        <f>PROPER(Tabela1[[#This Row],[nome]])</f>
        <v>Ilhasario Cerwyn</v>
      </c>
      <c r="D191" s="1" t="str">
        <f t="shared" si="20"/>
        <v>-</v>
      </c>
      <c r="G191" s="26">
        <f t="shared" si="21"/>
        <v>10100</v>
      </c>
      <c r="H191" s="26">
        <f t="shared" si="22"/>
        <v>55000</v>
      </c>
      <c r="I191" s="1" t="str">
        <f t="shared" si="23"/>
        <v>Não</v>
      </c>
      <c r="K191" s="2" t="s">
        <v>29</v>
      </c>
      <c r="L191" s="2" t="s">
        <v>836</v>
      </c>
      <c r="M191" s="3">
        <v>17500</v>
      </c>
      <c r="N191" s="4">
        <f ca="1">DATEDIF(O191,TODAY(),"Y")</f>
        <v>60</v>
      </c>
      <c r="O191" s="5">
        <v>24091</v>
      </c>
      <c r="P191" s="2" t="s">
        <v>52</v>
      </c>
      <c r="Q191" s="2" t="s">
        <v>57</v>
      </c>
      <c r="R191" s="6">
        <v>10100</v>
      </c>
      <c r="S191" s="6">
        <v>55000</v>
      </c>
      <c r="T191" s="7" t="s">
        <v>49</v>
      </c>
      <c r="U191" s="2">
        <v>26</v>
      </c>
      <c r="V191" s="2" t="str">
        <f>IF(Tabela1[[#This Row],[qtde_batalhas]]&lt;=10,"Baixo",IF(Tabela1[[#This Row],[qtde_batalhas]]&lt;=25,"Médio","Alto"))</f>
        <v>Alto</v>
      </c>
      <c r="W191" s="2" t="s">
        <v>49</v>
      </c>
      <c r="X191" s="6">
        <v>54000</v>
      </c>
      <c r="Y191" s="2" t="str">
        <f t="shared" si="16"/>
        <v>Aprovado</v>
      </c>
      <c r="Z191" s="1" t="str">
        <f t="shared" si="17"/>
        <v>Aprovado</v>
      </c>
      <c r="AA191" s="26">
        <f t="shared" si="18"/>
        <v>0</v>
      </c>
    </row>
    <row r="192" spans="1:27">
      <c r="A192" s="16">
        <f ca="1">YEAR(TODAY())-Tabela1[[#This Row],[idade]]</f>
        <v>1999</v>
      </c>
      <c r="B192" s="1">
        <f t="shared" ca="1" si="19"/>
        <v>27</v>
      </c>
      <c r="C192" s="1" t="str">
        <f>PROPER(Tabela1[[#This Row],[nome]])</f>
        <v>Catelyn Tarly</v>
      </c>
      <c r="D192" s="1" t="str">
        <f t="shared" si="20"/>
        <v>-</v>
      </c>
      <c r="G192" s="26">
        <f t="shared" si="21"/>
        <v>14000</v>
      </c>
      <c r="H192" s="26">
        <f t="shared" si="22"/>
        <v>63500</v>
      </c>
      <c r="I192" s="1" t="str">
        <f t="shared" si="23"/>
        <v>Não</v>
      </c>
      <c r="K192" s="2" t="s">
        <v>23</v>
      </c>
      <c r="L192" s="2" t="s">
        <v>472</v>
      </c>
      <c r="M192" s="3">
        <v>16300</v>
      </c>
      <c r="N192" s="4">
        <f ca="1">DATEDIF(O192,TODAY(),"Y")</f>
        <v>27</v>
      </c>
      <c r="O192" s="5">
        <v>36255</v>
      </c>
      <c r="P192" s="2" t="s">
        <v>90</v>
      </c>
      <c r="Q192" s="2" t="s">
        <v>91</v>
      </c>
      <c r="R192" s="6">
        <v>14000</v>
      </c>
      <c r="S192" s="6">
        <v>63500</v>
      </c>
      <c r="T192" s="7" t="s">
        <v>49</v>
      </c>
      <c r="U192" s="2">
        <v>24</v>
      </c>
      <c r="V192" s="2" t="str">
        <f>IF(Tabela1[[#This Row],[qtde_batalhas]]&lt;=10,"Baixo",IF(Tabela1[[#This Row],[qtde_batalhas]]&lt;=25,"Médio","Alto"))</f>
        <v>Médio</v>
      </c>
      <c r="W192" s="2" t="s">
        <v>49</v>
      </c>
      <c r="X192" s="6">
        <v>87000</v>
      </c>
      <c r="Y192" s="2" t="str">
        <f t="shared" si="16"/>
        <v>Aprovado</v>
      </c>
      <c r="Z192" s="1" t="str">
        <f t="shared" si="17"/>
        <v>Aprovado</v>
      </c>
      <c r="AA192" s="26">
        <f t="shared" si="18"/>
        <v>93960</v>
      </c>
    </row>
    <row r="193" spans="1:27">
      <c r="A193" s="16">
        <f ca="1">YEAR(TODAY())-Tabela1[[#This Row],[idade]]</f>
        <v>1973</v>
      </c>
      <c r="B193" s="1">
        <f t="shared" ca="1" si="19"/>
        <v>53</v>
      </c>
      <c r="C193" s="1" t="str">
        <f>PROPER(Tabela1[[#This Row],[nome]])</f>
        <v>Rickon Lannister</v>
      </c>
      <c r="D193" s="1" t="str">
        <f t="shared" si="20"/>
        <v>000.000.197-00</v>
      </c>
      <c r="G193" s="26">
        <f t="shared" si="21"/>
        <v>27100</v>
      </c>
      <c r="H193" s="26">
        <f t="shared" si="22"/>
        <v>68000</v>
      </c>
      <c r="I193" s="1" t="str">
        <f t="shared" si="23"/>
        <v>Não</v>
      </c>
      <c r="K193" s="2" t="s">
        <v>23</v>
      </c>
      <c r="L193" s="2" t="s">
        <v>474</v>
      </c>
      <c r="M193" s="3" t="s">
        <v>475</v>
      </c>
      <c r="N193" s="4">
        <f ca="1">DATEDIF(O193,TODAY(),"Y")</f>
        <v>53</v>
      </c>
      <c r="O193" s="5">
        <v>26898</v>
      </c>
      <c r="P193" s="2" t="s">
        <v>111</v>
      </c>
      <c r="Q193" s="2" t="s">
        <v>91</v>
      </c>
      <c r="R193" s="6">
        <v>27100</v>
      </c>
      <c r="S193" s="6">
        <v>68000</v>
      </c>
      <c r="T193" s="7" t="s">
        <v>49</v>
      </c>
      <c r="U193" s="2">
        <v>40</v>
      </c>
      <c r="V193" s="2" t="str">
        <f>IF(Tabela1[[#This Row],[qtde_batalhas]]&lt;=10,"Baixo",IF(Tabela1[[#This Row],[qtde_batalhas]]&lt;=25,"Médio","Alto"))</f>
        <v>Alto</v>
      </c>
      <c r="W193" s="2" t="s">
        <v>49</v>
      </c>
      <c r="X193" s="6">
        <v>49500</v>
      </c>
      <c r="Y193" s="2" t="str">
        <f t="shared" si="16"/>
        <v>Aprovado</v>
      </c>
      <c r="Z193" s="1" t="str">
        <f t="shared" si="17"/>
        <v>Aprovado</v>
      </c>
      <c r="AA193" s="26">
        <f t="shared" si="18"/>
        <v>53460</v>
      </c>
    </row>
    <row r="194" spans="1:27">
      <c r="A194" s="16">
        <f ca="1">YEAR(TODAY())-Tabela1[[#This Row],[idade]]</f>
        <v>1989</v>
      </c>
      <c r="B194" s="1">
        <f t="shared" ca="1" si="19"/>
        <v>37</v>
      </c>
      <c r="C194" s="1" t="str">
        <f>PROPER(Tabela1[[#This Row],[nome]])</f>
        <v>Jorah Marbrand</v>
      </c>
      <c r="D194" s="1" t="str">
        <f t="shared" si="20"/>
        <v>000.000.168-00</v>
      </c>
      <c r="G194" s="26">
        <f t="shared" si="21"/>
        <v>12800</v>
      </c>
      <c r="H194" s="26">
        <f t="shared" si="22"/>
        <v>76500</v>
      </c>
      <c r="I194" s="1" t="str">
        <f t="shared" si="23"/>
        <v>Não</v>
      </c>
      <c r="K194" s="2" t="s">
        <v>23</v>
      </c>
      <c r="L194" s="2" t="s">
        <v>477</v>
      </c>
      <c r="M194" s="3" t="s">
        <v>478</v>
      </c>
      <c r="N194" s="4">
        <f ca="1">DATEDIF(O194,TODAY(),"Y")</f>
        <v>37</v>
      </c>
      <c r="O194" s="5">
        <v>32414</v>
      </c>
      <c r="P194" s="2" t="s">
        <v>837</v>
      </c>
      <c r="Q194" s="2" t="s">
        <v>838</v>
      </c>
      <c r="R194" s="6">
        <v>12800</v>
      </c>
      <c r="S194" s="6">
        <v>76500</v>
      </c>
      <c r="T194" s="7" t="s">
        <v>49</v>
      </c>
      <c r="U194" s="2">
        <v>30</v>
      </c>
      <c r="V194" s="2" t="str">
        <f>IF(Tabela1[[#This Row],[qtde_batalhas]]&lt;=10,"Baixo",IF(Tabela1[[#This Row],[qtde_batalhas]]&lt;=25,"Médio","Alto"))</f>
        <v>Alto</v>
      </c>
      <c r="W194" s="2" t="s">
        <v>49</v>
      </c>
      <c r="X194" s="6">
        <v>18500</v>
      </c>
      <c r="Y194" s="2" t="str">
        <f t="shared" si="16"/>
        <v>Aprovado</v>
      </c>
      <c r="Z194" s="1" t="str">
        <f t="shared" si="17"/>
        <v>Aprovado</v>
      </c>
      <c r="AA194" s="26">
        <f t="shared" si="18"/>
        <v>19980</v>
      </c>
    </row>
    <row r="195" spans="1:27">
      <c r="A195" s="16">
        <f ca="1">YEAR(TODAY())-Tabela1[[#This Row],[idade]]</f>
        <v>2008</v>
      </c>
      <c r="B195" s="1">
        <f t="shared" ca="1" si="19"/>
        <v>19</v>
      </c>
      <c r="C195" s="1" t="str">
        <f>PROPER(Tabela1[[#This Row],[nome]])</f>
        <v>Renly Seaworth</v>
      </c>
      <c r="D195" s="1" t="str">
        <f t="shared" si="20"/>
        <v>-</v>
      </c>
      <c r="G195" s="26">
        <f t="shared" si="21"/>
        <v>28900</v>
      </c>
      <c r="H195" s="26">
        <f t="shared" si="22"/>
        <v>22000</v>
      </c>
      <c r="I195" s="1" t="str">
        <f t="shared" si="23"/>
        <v>Não</v>
      </c>
      <c r="K195" s="2" t="s">
        <v>23</v>
      </c>
      <c r="L195" s="2" t="s">
        <v>480</v>
      </c>
      <c r="M195" s="3">
        <v>35000</v>
      </c>
      <c r="N195" s="4">
        <f ca="1">DATEDIF(O195,TODAY(),"Y")</f>
        <v>18</v>
      </c>
      <c r="O195" s="5">
        <v>39342</v>
      </c>
      <c r="P195" s="2" t="s">
        <v>97</v>
      </c>
      <c r="Q195" s="2" t="s">
        <v>98</v>
      </c>
      <c r="R195" s="6">
        <v>28900</v>
      </c>
      <c r="S195" s="6">
        <v>22000</v>
      </c>
      <c r="T195" s="7" t="s">
        <v>49</v>
      </c>
      <c r="U195" s="2">
        <v>23</v>
      </c>
      <c r="V195" s="2" t="str">
        <f>IF(Tabela1[[#This Row],[qtde_batalhas]]&lt;=10,"Baixo",IF(Tabela1[[#This Row],[qtde_batalhas]]&lt;=25,"Médio","Alto"))</f>
        <v>Médio</v>
      </c>
      <c r="W195" s="2" t="s">
        <v>49</v>
      </c>
      <c r="X195" s="6">
        <v>90000</v>
      </c>
      <c r="Y195" s="2" t="str">
        <f t="shared" ref="Y195:Y258" si="24">IF(AND(V195="Alto",T195="Sim"),"Negado","Aprovado")</f>
        <v>Aprovado</v>
      </c>
      <c r="Z195" s="1" t="str">
        <f t="shared" ref="Z195:Z258" si="25">IF(AND(ISNUMBER(S195),S195&gt;50000,T195="Sim"),"Negado","Aprovado")</f>
        <v>Aprovado</v>
      </c>
      <c r="AA195" s="26">
        <f t="shared" ref="AA195:AA258" si="26">IF(OR(Y195="Negado",Z195="Negado"),0,IF(K195="Ativo",X195*1.08,0))</f>
        <v>97200</v>
      </c>
    </row>
    <row r="196" spans="1:27">
      <c r="A196" s="16">
        <f ca="1">YEAR(TODAY())-Tabela1[[#This Row],[idade]]</f>
        <v>1999</v>
      </c>
      <c r="B196" s="1">
        <f t="shared" ref="B196:B225" ca="1" si="27">INT((TODAY()-O196)/365)</f>
        <v>27</v>
      </c>
      <c r="C196" s="1" t="str">
        <f>PROPER(Tabela1[[#This Row],[nome]])</f>
        <v>Lyanna Marbrand</v>
      </c>
      <c r="D196" s="1" t="str">
        <f t="shared" ref="D196:D259" si="28">IF(LEN(SUBSTITUTE(SUBSTITUTE(SUBSTITUTE(M196,".",""),"-","")," ",""))=11,M196,"-")</f>
        <v>000.000.283-00</v>
      </c>
      <c r="G196" s="26">
        <f t="shared" ref="G196:G259" si="29">IF(R196="","-",IF(ISNUMBER(R196),R196,IF(UPPER(TRIM(R196))="SEM RENDA","-","-")))</f>
        <v>5300</v>
      </c>
      <c r="H196" s="26">
        <f t="shared" ref="H196:H259" si="30">IF(S196="","-",IF(ISNUMBER(S196),S196,IF(UPPER(TRIM(S196))="SEM RENDA","-","-")))</f>
        <v>22000</v>
      </c>
      <c r="I196" s="1" t="str">
        <f t="shared" ref="I196:I259" si="31">IF(TRIM(W196)="","-",
IF(OR(UPPER(TRIM(W196))="SIM",TRIM(W196)="1"),"Sim",
IF(OR(UPPER(TRIM(W196))="NÃO",UPPER(TRIM(W196))="NAO",TRIM(W196)="0"),"Não",
"-")))</f>
        <v>Não</v>
      </c>
      <c r="K196" s="2" t="s">
        <v>23</v>
      </c>
      <c r="L196" s="2" t="s">
        <v>243</v>
      </c>
      <c r="M196" s="3" t="s">
        <v>244</v>
      </c>
      <c r="N196" s="4">
        <f ca="1">DATEDIF(O196,TODAY(),"Y")</f>
        <v>27</v>
      </c>
      <c r="O196" s="5">
        <v>36308</v>
      </c>
      <c r="P196" s="2" t="s">
        <v>87</v>
      </c>
      <c r="Q196" s="2" t="s">
        <v>88</v>
      </c>
      <c r="R196" s="6">
        <v>5300</v>
      </c>
      <c r="S196" s="6">
        <v>22000</v>
      </c>
      <c r="T196" s="7" t="s">
        <v>49</v>
      </c>
      <c r="U196" s="2">
        <v>11</v>
      </c>
      <c r="V196" s="2" t="str">
        <f>IF(Tabela1[[#This Row],[qtde_batalhas]]&lt;=10,"Baixo",IF(Tabela1[[#This Row],[qtde_batalhas]]&lt;=25,"Médio","Alto"))</f>
        <v>Médio</v>
      </c>
      <c r="W196" s="2" t="s">
        <v>49</v>
      </c>
      <c r="X196" s="6">
        <v>4500</v>
      </c>
      <c r="Y196" s="2" t="str">
        <f t="shared" si="24"/>
        <v>Aprovado</v>
      </c>
      <c r="Z196" s="1" t="str">
        <f t="shared" si="25"/>
        <v>Aprovado</v>
      </c>
      <c r="AA196" s="26">
        <f t="shared" si="26"/>
        <v>4860</v>
      </c>
    </row>
    <row r="197" spans="1:27">
      <c r="A197" s="16">
        <f ca="1">YEAR(TODAY())-Tabela1[[#This Row],[idade]]</f>
        <v>2001</v>
      </c>
      <c r="B197" s="1">
        <f t="shared" ca="1" si="27"/>
        <v>25</v>
      </c>
      <c r="C197" s="1" t="str">
        <f>PROPER(Tabela1[[#This Row],[nome]])</f>
        <v>Robert Mallister</v>
      </c>
      <c r="D197" s="1" t="str">
        <f t="shared" si="28"/>
        <v>000.000.037-00</v>
      </c>
      <c r="G197" s="26">
        <f t="shared" si="29"/>
        <v>18300</v>
      </c>
      <c r="H197" s="26">
        <f t="shared" si="30"/>
        <v>41000</v>
      </c>
      <c r="I197" s="1" t="str">
        <f t="shared" si="31"/>
        <v>Não</v>
      </c>
      <c r="K197" s="2" t="s">
        <v>23</v>
      </c>
      <c r="L197" s="2" t="s">
        <v>481</v>
      </c>
      <c r="M197" s="3" t="s">
        <v>482</v>
      </c>
      <c r="N197" s="4">
        <f ca="1">DATEDIF(O197,TODAY(),"Y")</f>
        <v>25</v>
      </c>
      <c r="O197" s="5">
        <v>36824</v>
      </c>
      <c r="P197" s="2" t="s">
        <v>90</v>
      </c>
      <c r="Q197" s="2" t="s">
        <v>91</v>
      </c>
      <c r="R197" s="6">
        <v>18300</v>
      </c>
      <c r="S197" s="6">
        <v>41000</v>
      </c>
      <c r="T197" s="7" t="s">
        <v>49</v>
      </c>
      <c r="U197" s="2">
        <v>9</v>
      </c>
      <c r="V197" s="2" t="str">
        <f>IF(Tabela1[[#This Row],[qtde_batalhas]]&lt;=10,"Baixo",IF(Tabela1[[#This Row],[qtde_batalhas]]&lt;=25,"Médio","Alto"))</f>
        <v>Baixo</v>
      </c>
      <c r="W197" s="2" t="s">
        <v>49</v>
      </c>
      <c r="X197" s="6">
        <v>32500</v>
      </c>
      <c r="Y197" s="2" t="str">
        <f t="shared" si="24"/>
        <v>Aprovado</v>
      </c>
      <c r="Z197" s="1" t="str">
        <f t="shared" si="25"/>
        <v>Aprovado</v>
      </c>
      <c r="AA197" s="26">
        <f t="shared" si="26"/>
        <v>35100</v>
      </c>
    </row>
    <row r="198" spans="1:27">
      <c r="A198" s="16">
        <f ca="1">YEAR(TODAY())-Tabela1[[#This Row],[idade]]</f>
        <v>1971</v>
      </c>
      <c r="B198" s="1">
        <f t="shared" ca="1" si="27"/>
        <v>55</v>
      </c>
      <c r="C198" s="1" t="str">
        <f>PROPER(Tabela1[[#This Row],[nome]])</f>
        <v>Ramsay Ilhasyne</v>
      </c>
      <c r="D198" s="1" t="str">
        <f t="shared" si="28"/>
        <v>000.000.224-00</v>
      </c>
      <c r="G198" s="26">
        <f t="shared" si="29"/>
        <v>9600</v>
      </c>
      <c r="H198" s="26">
        <f t="shared" si="30"/>
        <v>43000</v>
      </c>
      <c r="I198" s="1" t="str">
        <f t="shared" si="31"/>
        <v>Não</v>
      </c>
      <c r="K198" s="2" t="s">
        <v>23</v>
      </c>
      <c r="L198" s="2" t="s">
        <v>839</v>
      </c>
      <c r="M198" s="3" t="s">
        <v>484</v>
      </c>
      <c r="N198" s="4">
        <f ca="1">DATEDIF(O198,TODAY(),"Y")</f>
        <v>55</v>
      </c>
      <c r="O198" s="5">
        <v>26103</v>
      </c>
      <c r="P198" s="2" t="s">
        <v>31</v>
      </c>
      <c r="Q198" s="2" t="s">
        <v>32</v>
      </c>
      <c r="R198" s="6">
        <v>9600</v>
      </c>
      <c r="S198" s="6">
        <v>43000</v>
      </c>
      <c r="T198" s="7" t="s">
        <v>49</v>
      </c>
      <c r="U198" s="2">
        <v>36</v>
      </c>
      <c r="V198" s="2" t="str">
        <f>IF(Tabela1[[#This Row],[qtde_batalhas]]&lt;=10,"Baixo",IF(Tabela1[[#This Row],[qtde_batalhas]]&lt;=25,"Médio","Alto"))</f>
        <v>Alto</v>
      </c>
      <c r="W198" s="2" t="s">
        <v>49</v>
      </c>
      <c r="X198" s="6">
        <v>67500</v>
      </c>
      <c r="Y198" s="2" t="str">
        <f t="shared" si="24"/>
        <v>Aprovado</v>
      </c>
      <c r="Z198" s="1" t="str">
        <f t="shared" si="25"/>
        <v>Aprovado</v>
      </c>
      <c r="AA198" s="26">
        <f t="shared" si="26"/>
        <v>72900</v>
      </c>
    </row>
    <row r="199" spans="1:27">
      <c r="A199" s="16">
        <f ca="1">YEAR(TODAY())-Tabela1[[#This Row],[idade]]</f>
        <v>2003</v>
      </c>
      <c r="B199" s="1">
        <f t="shared" ca="1" si="27"/>
        <v>23</v>
      </c>
      <c r="C199" s="1" t="str">
        <f>PROPER(Tabela1[[#This Row],[nome]])</f>
        <v>Brienne Karstark</v>
      </c>
      <c r="D199" s="1" t="str">
        <f t="shared" si="28"/>
        <v>000.000.031-00</v>
      </c>
      <c r="G199" s="26">
        <f t="shared" si="29"/>
        <v>10700</v>
      </c>
      <c r="H199" s="26">
        <f t="shared" si="30"/>
        <v>15000</v>
      </c>
      <c r="I199" s="1" t="str">
        <f t="shared" si="31"/>
        <v>Não</v>
      </c>
      <c r="K199" s="2" t="s">
        <v>23</v>
      </c>
      <c r="L199" s="2" t="s">
        <v>485</v>
      </c>
      <c r="M199" s="3" t="s">
        <v>486</v>
      </c>
      <c r="N199" s="4">
        <f ca="1">DATEDIF(O199,TODAY(),"Y")</f>
        <v>23</v>
      </c>
      <c r="O199" s="5">
        <v>37530</v>
      </c>
      <c r="P199" s="2" t="s">
        <v>789</v>
      </c>
      <c r="Q199" s="2" t="s">
        <v>790</v>
      </c>
      <c r="R199" s="6">
        <v>10700</v>
      </c>
      <c r="S199" s="6">
        <v>15000</v>
      </c>
      <c r="T199" s="7" t="s">
        <v>49</v>
      </c>
      <c r="U199" s="2">
        <v>42</v>
      </c>
      <c r="V199" s="2" t="str">
        <f>IF(Tabela1[[#This Row],[qtde_batalhas]]&lt;=10,"Baixo",IF(Tabela1[[#This Row],[qtde_batalhas]]&lt;=25,"Médio","Alto"))</f>
        <v>Alto</v>
      </c>
      <c r="W199" s="2" t="s">
        <v>49</v>
      </c>
      <c r="X199" s="6">
        <v>81500</v>
      </c>
      <c r="Y199" s="2" t="str">
        <f t="shared" si="24"/>
        <v>Aprovado</v>
      </c>
      <c r="Z199" s="1" t="str">
        <f t="shared" si="25"/>
        <v>Aprovado</v>
      </c>
      <c r="AA199" s="26">
        <f t="shared" si="26"/>
        <v>88020</v>
      </c>
    </row>
    <row r="200" spans="1:27">
      <c r="A200" s="16">
        <f ca="1">YEAR(TODAY())-Tabela1[[#This Row],[idade]]</f>
        <v>1968</v>
      </c>
      <c r="B200" s="1">
        <f t="shared" ca="1" si="27"/>
        <v>58</v>
      </c>
      <c r="C200" s="1" t="str">
        <f>PROPER(Tabela1[[#This Row],[nome]])</f>
        <v>Tormund Greyjoy</v>
      </c>
      <c r="D200" s="1" t="str">
        <f t="shared" si="28"/>
        <v>000.000.009-00</v>
      </c>
      <c r="G200" s="26">
        <f t="shared" si="29"/>
        <v>12500</v>
      </c>
      <c r="H200" s="26">
        <f t="shared" si="30"/>
        <v>44500</v>
      </c>
      <c r="I200" s="1" t="str">
        <f t="shared" si="31"/>
        <v>Não</v>
      </c>
      <c r="K200" s="2" t="s">
        <v>29</v>
      </c>
      <c r="L200" s="2" t="s">
        <v>487</v>
      </c>
      <c r="M200" s="3" t="s">
        <v>488</v>
      </c>
      <c r="N200" s="4">
        <f ca="1">DATEDIF(O200,TODAY(),"Y")</f>
        <v>58</v>
      </c>
      <c r="O200" s="5">
        <v>24872</v>
      </c>
      <c r="P200" s="2" t="s">
        <v>61</v>
      </c>
      <c r="Q200" s="2" t="s">
        <v>81</v>
      </c>
      <c r="R200" s="6">
        <v>12500</v>
      </c>
      <c r="S200" s="6">
        <v>44500</v>
      </c>
      <c r="T200" s="7" t="s">
        <v>49</v>
      </c>
      <c r="U200" s="2">
        <v>13</v>
      </c>
      <c r="V200" s="2" t="str">
        <f>IF(Tabela1[[#This Row],[qtde_batalhas]]&lt;=10,"Baixo",IF(Tabela1[[#This Row],[qtde_batalhas]]&lt;=25,"Médio","Alto"))</f>
        <v>Médio</v>
      </c>
      <c r="W200" s="2" t="s">
        <v>49</v>
      </c>
      <c r="X200" s="6">
        <v>16000</v>
      </c>
      <c r="Y200" s="2" t="str">
        <f t="shared" si="24"/>
        <v>Aprovado</v>
      </c>
      <c r="Z200" s="1" t="str">
        <f t="shared" si="25"/>
        <v>Aprovado</v>
      </c>
      <c r="AA200" s="26">
        <f t="shared" si="26"/>
        <v>0</v>
      </c>
    </row>
    <row r="201" spans="1:27">
      <c r="A201" s="16">
        <f ca="1">YEAR(TODAY())-Tabela1[[#This Row],[idade]]</f>
        <v>2026</v>
      </c>
      <c r="B201" s="1">
        <f t="shared" ca="1" si="27"/>
        <v>126</v>
      </c>
      <c r="C201" s="1" t="str">
        <f>PROPER(Tabela1[[#This Row],[nome]])</f>
        <v>Jaime Yronwood</v>
      </c>
      <c r="D201" s="1" t="str">
        <f t="shared" si="28"/>
        <v>-</v>
      </c>
      <c r="G201" s="26">
        <f t="shared" si="29"/>
        <v>17000</v>
      </c>
      <c r="H201" s="26">
        <f t="shared" si="30"/>
        <v>41000</v>
      </c>
      <c r="I201" s="1" t="str">
        <f t="shared" si="31"/>
        <v>Não</v>
      </c>
      <c r="K201" s="2" t="s">
        <v>23</v>
      </c>
      <c r="L201" s="2" t="s">
        <v>489</v>
      </c>
      <c r="P201" s="2" t="s">
        <v>37</v>
      </c>
      <c r="Q201" s="2" t="s">
        <v>827</v>
      </c>
      <c r="R201" s="6">
        <v>17000</v>
      </c>
      <c r="S201" s="6">
        <v>41000</v>
      </c>
      <c r="T201" s="7" t="s">
        <v>49</v>
      </c>
      <c r="U201" s="2">
        <v>37</v>
      </c>
      <c r="V201" s="2" t="str">
        <f>IF(Tabela1[[#This Row],[qtde_batalhas]]&lt;=10,"Baixo",IF(Tabela1[[#This Row],[qtde_batalhas]]&lt;=25,"Médio","Alto"))</f>
        <v>Alto</v>
      </c>
      <c r="W201" s="2" t="s">
        <v>49</v>
      </c>
      <c r="X201" s="6">
        <v>33000</v>
      </c>
      <c r="Y201" s="2" t="str">
        <f t="shared" si="24"/>
        <v>Aprovado</v>
      </c>
      <c r="Z201" s="1" t="str">
        <f t="shared" si="25"/>
        <v>Aprovado</v>
      </c>
      <c r="AA201" s="26">
        <f t="shared" si="26"/>
        <v>35640</v>
      </c>
    </row>
    <row r="202" spans="1:27">
      <c r="A202" s="16">
        <f ca="1">YEAR(TODAY())-Tabela1[[#This Row],[idade]]</f>
        <v>1986</v>
      </c>
      <c r="B202" s="1">
        <f t="shared" ca="1" si="27"/>
        <v>40</v>
      </c>
      <c r="C202" s="1" t="str">
        <f>PROPER(Tabela1[[#This Row],[nome]])</f>
        <v>Thoros Payne</v>
      </c>
      <c r="D202" s="1" t="str">
        <f t="shared" si="28"/>
        <v>-</v>
      </c>
      <c r="G202" s="26">
        <f t="shared" si="29"/>
        <v>14000</v>
      </c>
      <c r="H202" s="26">
        <f t="shared" si="30"/>
        <v>0</v>
      </c>
      <c r="I202" s="1" t="str">
        <f t="shared" si="31"/>
        <v>Não</v>
      </c>
      <c r="K202" s="2" t="s">
        <v>23</v>
      </c>
      <c r="L202" s="2" t="s">
        <v>490</v>
      </c>
      <c r="M202" s="3">
        <v>7700</v>
      </c>
      <c r="N202" s="4">
        <f ca="1">DATEDIF(O202,TODAY(),"Y")</f>
        <v>40</v>
      </c>
      <c r="O202" s="5">
        <v>31337</v>
      </c>
      <c r="P202" s="2" t="s">
        <v>118</v>
      </c>
      <c r="Q202" s="2" t="s">
        <v>88</v>
      </c>
      <c r="R202" s="6">
        <v>14000</v>
      </c>
      <c r="S202" s="6">
        <v>0</v>
      </c>
      <c r="T202" s="7" t="s">
        <v>140</v>
      </c>
      <c r="U202" s="2">
        <v>24</v>
      </c>
      <c r="V202" s="2" t="str">
        <f>IF(Tabela1[[#This Row],[qtde_batalhas]]&lt;=10,"Baixo",IF(Tabela1[[#This Row],[qtde_batalhas]]&lt;=25,"Médio","Alto"))</f>
        <v>Médio</v>
      </c>
      <c r="W202" s="2" t="s">
        <v>140</v>
      </c>
      <c r="X202" s="6">
        <v>82000</v>
      </c>
      <c r="Y202" s="2" t="str">
        <f t="shared" si="24"/>
        <v>Aprovado</v>
      </c>
      <c r="Z202" s="1" t="str">
        <f t="shared" si="25"/>
        <v>Aprovado</v>
      </c>
      <c r="AA202" s="26">
        <f t="shared" si="26"/>
        <v>88560</v>
      </c>
    </row>
    <row r="203" spans="1:27">
      <c r="A203" s="16">
        <f ca="1">YEAR(TODAY())-Tabela1[[#This Row],[idade]]</f>
        <v>1967</v>
      </c>
      <c r="B203" s="1">
        <f t="shared" ca="1" si="27"/>
        <v>59</v>
      </c>
      <c r="C203" s="1" t="str">
        <f>PROPER(Tabela1[[#This Row],[nome]])</f>
        <v>Asha Tallhart</v>
      </c>
      <c r="D203" s="1" t="str">
        <f t="shared" si="28"/>
        <v>000.000.006-00</v>
      </c>
      <c r="G203" s="26">
        <f t="shared" si="29"/>
        <v>19900</v>
      </c>
      <c r="H203" s="26">
        <f t="shared" si="30"/>
        <v>55000</v>
      </c>
      <c r="I203" s="1" t="str">
        <f t="shared" si="31"/>
        <v>Não</v>
      </c>
      <c r="K203" s="2" t="s">
        <v>23</v>
      </c>
      <c r="L203" s="2" t="s">
        <v>80</v>
      </c>
      <c r="M203" s="3" t="s">
        <v>491</v>
      </c>
      <c r="N203" s="4">
        <f ca="1">DATEDIF(O203,TODAY(),"Y")</f>
        <v>59</v>
      </c>
      <c r="O203" s="5">
        <v>24710</v>
      </c>
      <c r="P203" s="2" t="s">
        <v>840</v>
      </c>
      <c r="Q203" s="2" t="s">
        <v>823</v>
      </c>
      <c r="R203" s="6">
        <v>19900</v>
      </c>
      <c r="S203" s="6">
        <v>55000</v>
      </c>
      <c r="T203" s="7" t="s">
        <v>49</v>
      </c>
      <c r="U203" s="2">
        <v>26</v>
      </c>
      <c r="V203" s="2" t="str">
        <f>IF(Tabela1[[#This Row],[qtde_batalhas]]&lt;=10,"Baixo",IF(Tabela1[[#This Row],[qtde_batalhas]]&lt;=25,"Médio","Alto"))</f>
        <v>Alto</v>
      </c>
      <c r="W203" s="2" t="s">
        <v>49</v>
      </c>
      <c r="X203" s="6">
        <v>100000</v>
      </c>
      <c r="Y203" s="2" t="str">
        <f t="shared" si="24"/>
        <v>Aprovado</v>
      </c>
      <c r="Z203" s="1" t="str">
        <f t="shared" si="25"/>
        <v>Aprovado</v>
      </c>
      <c r="AA203" s="26">
        <f t="shared" si="26"/>
        <v>108000</v>
      </c>
    </row>
    <row r="204" spans="1:27">
      <c r="A204" s="16">
        <f ca="1">YEAR(TODAY())-Tabela1[[#This Row],[idade]]</f>
        <v>1952</v>
      </c>
      <c r="B204" s="1">
        <f t="shared" ca="1" si="27"/>
        <v>74</v>
      </c>
      <c r="C204" s="1" t="str">
        <f>PROPER(Tabela1[[#This Row],[nome]])</f>
        <v>Theon Tarth</v>
      </c>
      <c r="D204" s="1" t="str">
        <f t="shared" si="28"/>
        <v>000.000.289-00</v>
      </c>
      <c r="E204" t="str">
        <f>IF(P225="Lannisporto","Oeste",
IF(P225="Ninho da Águia","Vale",
IF(P225="Ponta Tempestade","Terras da Tempestade",
IF(P225="Pedra do Dragão","Terras da Coroa",
IF(P225="Pyke","Ilhas de Ferro",
IF(P225="Meereen","Essos",
IF(P225="Braavos","Essos",
IF(P225="Correrrio","Terras Fluviais",
IF(P225="Castelo Negro","Norte",
IF(P225="Vilavelha","Campina",
IF(P225="Ilha dos Ursos","Norte",
IF(P225="Fosso Cailin","Norte",
IF(P225="Harrenhal","Terras Fluviais",
IF(P225="Winterfell","Norte",
IF(P225="Jardim de Cima","Campina",
IF(P225="Dorne","Dorne",
IF(P225="Monte Chifre","Campina",
IF(P225="Atalaia da Água Cinzenta","Oeste",
IF(P225="Porto Real","Terras da Coroa",
IF(P225="Solar do Entardecer","Terras da Tempestade",
""))))))))))))))))))))</f>
        <v>Terras da Coroa</v>
      </c>
      <c r="G204" s="26">
        <f t="shared" si="29"/>
        <v>7100</v>
      </c>
      <c r="H204" s="26">
        <f t="shared" si="30"/>
        <v>61500</v>
      </c>
      <c r="I204" s="1" t="str">
        <f t="shared" si="31"/>
        <v>Não</v>
      </c>
      <c r="K204" s="2" t="s">
        <v>29</v>
      </c>
      <c r="L204" s="2" t="s">
        <v>493</v>
      </c>
      <c r="M204" s="3" t="s">
        <v>494</v>
      </c>
      <c r="N204" s="4">
        <f ca="1">DATEDIF(O204,TODAY(),"Y")</f>
        <v>74</v>
      </c>
      <c r="O204" s="5">
        <v>19073</v>
      </c>
      <c r="P204" s="19" t="s">
        <v>52</v>
      </c>
      <c r="Q204" s="20" t="str">
        <f>IF(P204="Lannisporto","Oeste",
IF(P204="Ninho da Águia","Vale",
IF(P204="Ponta Tempestade","Terras da Tempestade",
IF(P204="Pedra do Dragão","Terras da Coroa",
IF(P204="Pyke","Ilhas de Ferro",
IF(P204="Meereen","Essos",
IF(P204="Braavos","Essos",
IF(P204="Correrrio","Terras Fluviais",
IF(P204="Castelo Negro","Norte",
IF(P204="Vilavelha","Campina",
IF(P204="Ilha dos Ursos","Norte",
IF(P204="Fosso Cailin","Norte",
IF(P204="Harrenhal","Terras Fluviais",
IF(P204="Winterfell","Norte",
IF(P204="Jardim de Cima","Campina",
IF(P204="Dorne","Dorne",
IF(P204="Monte Chifre","Campina",
IF(P204="Atalaia da Água Cinzenta","Oeste",
IF(P204="Porto Real","Terras da Coroa",
IF(P204="Solar do Entardecer","Terras da Tempestade",
""))))))))))))))))))))</f>
        <v>Oeste</v>
      </c>
      <c r="R204" s="6">
        <v>7100</v>
      </c>
      <c r="S204" s="6">
        <v>61500</v>
      </c>
      <c r="T204" s="7" t="s">
        <v>49</v>
      </c>
      <c r="U204" s="2">
        <v>1</v>
      </c>
      <c r="V204" s="2" t="str">
        <f>IF(Tabela1[[#This Row],[qtde_batalhas]]&lt;=10,"Baixo",IF(Tabela1[[#This Row],[qtde_batalhas]]&lt;=25,"Médio","Alto"))</f>
        <v>Baixo</v>
      </c>
      <c r="W204" s="2" t="s">
        <v>49</v>
      </c>
      <c r="X204" s="6">
        <v>50500</v>
      </c>
      <c r="Y204" s="2" t="str">
        <f t="shared" si="24"/>
        <v>Aprovado</v>
      </c>
      <c r="Z204" s="1" t="str">
        <f t="shared" si="25"/>
        <v>Aprovado</v>
      </c>
      <c r="AA204" s="26">
        <f t="shared" si="26"/>
        <v>0</v>
      </c>
    </row>
    <row r="205" spans="1:27">
      <c r="A205" s="16">
        <f ca="1">YEAR(TODAY())-Tabela1[[#This Row],[idade]]</f>
        <v>1962</v>
      </c>
      <c r="B205" s="1">
        <f t="shared" ca="1" si="27"/>
        <v>64</v>
      </c>
      <c r="C205" s="1" t="str">
        <f>PROPER(Tabela1[[#This Row],[nome]])</f>
        <v>Stannis Seaworth</v>
      </c>
      <c r="D205" s="1" t="str">
        <f t="shared" si="28"/>
        <v>000.000.316-00</v>
      </c>
      <c r="G205" s="26">
        <f t="shared" si="29"/>
        <v>8800</v>
      </c>
      <c r="H205" s="26">
        <f t="shared" si="30"/>
        <v>66000</v>
      </c>
      <c r="I205" s="1" t="str">
        <f t="shared" si="31"/>
        <v>Não</v>
      </c>
      <c r="K205" s="2" t="s">
        <v>23</v>
      </c>
      <c r="L205" s="2" t="s">
        <v>495</v>
      </c>
      <c r="M205" s="3" t="s">
        <v>496</v>
      </c>
      <c r="N205" s="4">
        <f ca="1">DATEDIF(O205,TODAY(),"Y")</f>
        <v>64</v>
      </c>
      <c r="O205" s="5">
        <v>22886</v>
      </c>
      <c r="P205" s="2" t="s">
        <v>61</v>
      </c>
      <c r="Q205" s="2" t="s">
        <v>81</v>
      </c>
      <c r="R205" s="6">
        <v>8800</v>
      </c>
      <c r="S205" s="6">
        <v>66000</v>
      </c>
      <c r="T205" s="7" t="s">
        <v>49</v>
      </c>
      <c r="U205" s="2">
        <v>28</v>
      </c>
      <c r="V205" s="2" t="str">
        <f>IF(Tabela1[[#This Row],[qtde_batalhas]]&lt;=10,"Baixo",IF(Tabela1[[#This Row],[qtde_batalhas]]&lt;=25,"Médio","Alto"))</f>
        <v>Alto</v>
      </c>
      <c r="W205" s="2" t="s">
        <v>49</v>
      </c>
      <c r="X205" s="6">
        <v>5000</v>
      </c>
      <c r="Y205" s="2" t="str">
        <f t="shared" si="24"/>
        <v>Aprovado</v>
      </c>
      <c r="Z205" s="1" t="str">
        <f t="shared" si="25"/>
        <v>Aprovado</v>
      </c>
      <c r="AA205" s="26">
        <f t="shared" si="26"/>
        <v>5400</v>
      </c>
    </row>
    <row r="206" spans="1:27">
      <c r="A206" s="16">
        <f ca="1">YEAR(TODAY())-Tabela1[[#This Row],[idade]]</f>
        <v>1968</v>
      </c>
      <c r="B206" s="1">
        <f t="shared" ca="1" si="27"/>
        <v>58</v>
      </c>
      <c r="C206" s="1" t="str">
        <f>PROPER(Tabela1[[#This Row],[nome]])</f>
        <v>Tormund Greyjoy</v>
      </c>
      <c r="D206" s="1" t="str">
        <f t="shared" si="28"/>
        <v>000.000.009-00</v>
      </c>
      <c r="G206" s="26">
        <f t="shared" si="29"/>
        <v>12500</v>
      </c>
      <c r="H206" s="26">
        <f t="shared" si="30"/>
        <v>44500</v>
      </c>
      <c r="I206" s="1" t="str">
        <f>IF(TRIM(W206)="","-",
IF(OR(UPPER(TRIM(W206))="SIM",TRIM(W206)="1"),"Sim",
IF(OR(UPPER(TRIM(W206))="NÃO",UPPER(TRIM(W206))="NAO",TRIM(W206)="0"),"Não",
"-")))</f>
        <v>Não</v>
      </c>
      <c r="K206" s="2" t="s">
        <v>29</v>
      </c>
      <c r="L206" s="2" t="s">
        <v>487</v>
      </c>
      <c r="M206" s="3" t="s">
        <v>488</v>
      </c>
      <c r="N206" s="4">
        <f ca="1">DATEDIF(O206,TODAY(),"Y")</f>
        <v>58</v>
      </c>
      <c r="O206" s="5">
        <v>24872</v>
      </c>
      <c r="P206" s="2" t="s">
        <v>61</v>
      </c>
      <c r="Q206" s="2" t="s">
        <v>81</v>
      </c>
      <c r="R206" s="6">
        <v>12500</v>
      </c>
      <c r="S206" s="6">
        <v>44500</v>
      </c>
      <c r="T206" s="7" t="s">
        <v>49</v>
      </c>
      <c r="U206" s="2">
        <v>13</v>
      </c>
      <c r="V206" s="2" t="str">
        <f>IF(Tabela1[[#This Row],[qtde_batalhas]]&lt;=10,"Baixo",IF(Tabela1[[#This Row],[qtde_batalhas]]&lt;=25,"Médio","Alto"))</f>
        <v>Médio</v>
      </c>
      <c r="W206" s="2" t="s">
        <v>49</v>
      </c>
      <c r="X206" s="6">
        <v>98500</v>
      </c>
      <c r="Y206" s="2" t="str">
        <f t="shared" si="24"/>
        <v>Aprovado</v>
      </c>
      <c r="Z206" s="1" t="str">
        <f t="shared" si="25"/>
        <v>Aprovado</v>
      </c>
      <c r="AA206" s="26">
        <f t="shared" si="26"/>
        <v>0</v>
      </c>
    </row>
    <row r="207" spans="1:27">
      <c r="A207" s="16">
        <f ca="1">YEAR(TODAY())-Tabela1[[#This Row],[idade]]</f>
        <v>1988</v>
      </c>
      <c r="B207" s="1">
        <f t="shared" ca="1" si="27"/>
        <v>38</v>
      </c>
      <c r="C207" s="1" t="str">
        <f>PROPER(Tabela1[[#This Row],[nome]])</f>
        <v>Grey Worm Dondarrion</v>
      </c>
      <c r="D207" s="1" t="str">
        <f t="shared" si="28"/>
        <v>-</v>
      </c>
      <c r="G207" s="26">
        <f t="shared" si="29"/>
        <v>9700</v>
      </c>
      <c r="H207" s="26">
        <f t="shared" si="30"/>
        <v>25000</v>
      </c>
      <c r="I207" s="1" t="str">
        <f t="shared" si="31"/>
        <v>Não</v>
      </c>
      <c r="K207" s="2" t="s">
        <v>23</v>
      </c>
      <c r="L207" s="2" t="s">
        <v>497</v>
      </c>
      <c r="M207" s="3">
        <v>23300</v>
      </c>
      <c r="N207" s="4">
        <f ca="1">DATEDIF(O207,TODAY(),"Y")</f>
        <v>38</v>
      </c>
      <c r="O207" s="5">
        <v>32066</v>
      </c>
      <c r="P207" s="2" t="s">
        <v>70</v>
      </c>
      <c r="Q207" s="2" t="s">
        <v>71</v>
      </c>
      <c r="R207" s="6">
        <v>9700</v>
      </c>
      <c r="S207" s="6">
        <v>25000</v>
      </c>
      <c r="T207" s="7" t="s">
        <v>49</v>
      </c>
      <c r="U207" s="2">
        <v>0</v>
      </c>
      <c r="V207" s="2" t="str">
        <f>IF(Tabela1[[#This Row],[qtde_batalhas]]&lt;=10,"Baixo",IF(Tabela1[[#This Row],[qtde_batalhas]]&lt;=25,"Médio","Alto"))</f>
        <v>Baixo</v>
      </c>
      <c r="W207" s="2" t="s">
        <v>49</v>
      </c>
      <c r="X207" s="6">
        <v>55500</v>
      </c>
      <c r="Y207" s="2" t="str">
        <f t="shared" si="24"/>
        <v>Aprovado</v>
      </c>
      <c r="Z207" s="1" t="str">
        <f t="shared" si="25"/>
        <v>Aprovado</v>
      </c>
      <c r="AA207" s="26">
        <f t="shared" si="26"/>
        <v>59940.000000000007</v>
      </c>
    </row>
    <row r="208" spans="1:27">
      <c r="A208" s="16">
        <f ca="1">YEAR(TODAY())-Tabela1[[#This Row],[idade]]</f>
        <v>1977</v>
      </c>
      <c r="B208" s="1">
        <f t="shared" ca="1" si="27"/>
        <v>49</v>
      </c>
      <c r="C208" s="1" t="str">
        <f>PROPER(Tabela1[[#This Row],[nome]])</f>
        <v>Olenna Arryn</v>
      </c>
      <c r="D208" s="1" t="str">
        <f t="shared" si="28"/>
        <v>-</v>
      </c>
      <c r="G208" s="26">
        <f t="shared" si="29"/>
        <v>11500</v>
      </c>
      <c r="H208" s="26">
        <f t="shared" si="30"/>
        <v>44500</v>
      </c>
      <c r="I208" s="1" t="str">
        <f t="shared" si="31"/>
        <v>Não</v>
      </c>
      <c r="K208" s="2" t="s">
        <v>23</v>
      </c>
      <c r="L208" s="2" t="s">
        <v>498</v>
      </c>
      <c r="M208" s="3">
        <v>9600</v>
      </c>
      <c r="N208" s="4">
        <f ca="1">DATEDIF(O208,TODAY(),"Y")</f>
        <v>49</v>
      </c>
      <c r="O208" s="5">
        <v>28330</v>
      </c>
      <c r="P208" s="2" t="s">
        <v>76</v>
      </c>
      <c r="Q208" s="2" t="s">
        <v>71</v>
      </c>
      <c r="R208" s="6">
        <v>11500</v>
      </c>
      <c r="S208" s="6">
        <v>44500</v>
      </c>
      <c r="T208" s="7" t="s">
        <v>49</v>
      </c>
      <c r="U208" s="2">
        <v>45</v>
      </c>
      <c r="V208" s="2" t="str">
        <f>IF(Tabela1[[#This Row],[qtde_batalhas]]&lt;=10,"Baixo",IF(Tabela1[[#This Row],[qtde_batalhas]]&lt;=25,"Médio","Alto"))</f>
        <v>Alto</v>
      </c>
      <c r="W208" s="2" t="s">
        <v>49</v>
      </c>
      <c r="X208" s="6">
        <v>3000</v>
      </c>
      <c r="Y208" s="2" t="str">
        <f t="shared" si="24"/>
        <v>Aprovado</v>
      </c>
      <c r="Z208" s="1" t="str">
        <f t="shared" si="25"/>
        <v>Aprovado</v>
      </c>
      <c r="AA208" s="26">
        <f t="shared" si="26"/>
        <v>3240</v>
      </c>
    </row>
    <row r="209" spans="1:27">
      <c r="A209" s="16">
        <f ca="1">YEAR(TODAY())-Tabela1[[#This Row],[idade]]</f>
        <v>1984</v>
      </c>
      <c r="B209" s="1">
        <f t="shared" ca="1" si="27"/>
        <v>42</v>
      </c>
      <c r="C209" s="1" t="str">
        <f>PROPER(Tabela1[[#This Row],[nome]])</f>
        <v>Tyrion Tyrell</v>
      </c>
      <c r="D209" s="1" t="str">
        <f t="shared" si="28"/>
        <v>-</v>
      </c>
      <c r="G209" s="26">
        <f t="shared" si="29"/>
        <v>18500</v>
      </c>
      <c r="H209" s="26">
        <f t="shared" si="30"/>
        <v>59000</v>
      </c>
      <c r="I209" s="1" t="str">
        <f t="shared" si="31"/>
        <v>Não</v>
      </c>
      <c r="K209" s="2" t="s">
        <v>23</v>
      </c>
      <c r="L209" s="2" t="s">
        <v>499</v>
      </c>
      <c r="M209" s="3">
        <v>19000</v>
      </c>
      <c r="N209" s="4">
        <f ca="1">DATEDIF(O209,TODAY(),"Y")</f>
        <v>42</v>
      </c>
      <c r="O209" s="5">
        <v>30724</v>
      </c>
      <c r="P209" s="2" t="s">
        <v>103</v>
      </c>
      <c r="Q209" s="2" t="s">
        <v>91</v>
      </c>
      <c r="R209" s="6">
        <v>18500</v>
      </c>
      <c r="S209" s="6">
        <v>59000</v>
      </c>
      <c r="T209" s="7" t="s">
        <v>49</v>
      </c>
      <c r="U209" s="2">
        <v>44</v>
      </c>
      <c r="V209" s="2" t="str">
        <f>IF(Tabela1[[#This Row],[qtde_batalhas]]&lt;=10,"Baixo",IF(Tabela1[[#This Row],[qtde_batalhas]]&lt;=25,"Médio","Alto"))</f>
        <v>Alto</v>
      </c>
      <c r="W209" s="2" t="s">
        <v>49</v>
      </c>
      <c r="X209" s="6">
        <v>16500</v>
      </c>
      <c r="Y209" s="2" t="str">
        <f t="shared" si="24"/>
        <v>Aprovado</v>
      </c>
      <c r="Z209" s="1" t="str">
        <f t="shared" si="25"/>
        <v>Aprovado</v>
      </c>
      <c r="AA209" s="26">
        <f t="shared" si="26"/>
        <v>17820</v>
      </c>
    </row>
    <row r="210" spans="1:27">
      <c r="A210" s="16">
        <f ca="1">YEAR(TODAY())-Tabela1[[#This Row],[idade]]</f>
        <v>2008</v>
      </c>
      <c r="B210" s="1">
        <f t="shared" ca="1" si="27"/>
        <v>19</v>
      </c>
      <c r="C210" s="1" t="str">
        <f>PROPER(Tabela1[[#This Row],[nome]])</f>
        <v>Robb Clegane</v>
      </c>
      <c r="D210" s="1" t="str">
        <f t="shared" si="28"/>
        <v>000.000.304-00</v>
      </c>
      <c r="G210" s="26">
        <f t="shared" si="29"/>
        <v>14100</v>
      </c>
      <c r="H210" s="26">
        <f t="shared" si="30"/>
        <v>38500</v>
      </c>
      <c r="I210" s="1" t="str">
        <f t="shared" si="31"/>
        <v>Não</v>
      </c>
      <c r="K210" s="2" t="s">
        <v>23</v>
      </c>
      <c r="L210" s="2" t="s">
        <v>500</v>
      </c>
      <c r="M210" s="3" t="s">
        <v>501</v>
      </c>
      <c r="N210" s="4">
        <f ca="1">DATEDIF(O210,TODAY(),"Y")</f>
        <v>18</v>
      </c>
      <c r="O210" s="5">
        <v>39338</v>
      </c>
      <c r="P210" s="2" t="s">
        <v>111</v>
      </c>
      <c r="Q210" s="2" t="s">
        <v>91</v>
      </c>
      <c r="R210" s="6">
        <v>14100</v>
      </c>
      <c r="S210" s="6">
        <v>38500</v>
      </c>
      <c r="T210" s="7" t="s">
        <v>49</v>
      </c>
      <c r="U210" s="2">
        <v>7</v>
      </c>
      <c r="V210" s="2" t="str">
        <f>IF(Tabela1[[#This Row],[qtde_batalhas]]&lt;=10,"Baixo",IF(Tabela1[[#This Row],[qtde_batalhas]]&lt;=25,"Médio","Alto"))</f>
        <v>Baixo</v>
      </c>
      <c r="W210" s="2" t="s">
        <v>49</v>
      </c>
      <c r="X210" s="6">
        <v>11000</v>
      </c>
      <c r="Y210" s="2" t="str">
        <f t="shared" si="24"/>
        <v>Aprovado</v>
      </c>
      <c r="Z210" s="1" t="str">
        <f t="shared" si="25"/>
        <v>Aprovado</v>
      </c>
      <c r="AA210" s="26">
        <f t="shared" si="26"/>
        <v>11880</v>
      </c>
    </row>
    <row r="211" spans="1:27">
      <c r="A211" s="16">
        <f ca="1">YEAR(TODAY())-Tabela1[[#This Row],[idade]]</f>
        <v>2008</v>
      </c>
      <c r="B211" s="1">
        <f t="shared" ca="1" si="27"/>
        <v>18</v>
      </c>
      <c r="C211" s="1" t="str">
        <f>PROPER(Tabela1[[#This Row],[nome]])</f>
        <v>Bran Dondarrion</v>
      </c>
      <c r="D211" s="1" t="str">
        <f t="shared" si="28"/>
        <v>-</v>
      </c>
      <c r="G211" s="26">
        <f t="shared" si="29"/>
        <v>18500</v>
      </c>
      <c r="H211" s="26">
        <f t="shared" si="30"/>
        <v>74500</v>
      </c>
      <c r="I211" s="1" t="str">
        <f t="shared" si="31"/>
        <v>Sim</v>
      </c>
      <c r="K211" s="2" t="s">
        <v>23</v>
      </c>
      <c r="L211" s="2" t="s">
        <v>502</v>
      </c>
      <c r="M211" s="3">
        <v>4900</v>
      </c>
      <c r="N211" s="4">
        <f ca="1">DATEDIF(O211,TODAY(),"Y")</f>
        <v>18</v>
      </c>
      <c r="O211" s="5">
        <v>39369</v>
      </c>
      <c r="P211" s="2" t="s">
        <v>70</v>
      </c>
      <c r="Q211" s="2" t="s">
        <v>71</v>
      </c>
      <c r="R211" s="6">
        <v>18500</v>
      </c>
      <c r="S211" s="6">
        <v>74500</v>
      </c>
      <c r="T211" s="7" t="s">
        <v>28</v>
      </c>
      <c r="U211" s="2">
        <v>20</v>
      </c>
      <c r="V211" s="2" t="str">
        <f>IF(Tabela1[[#This Row],[qtde_batalhas]]&lt;=10,"Baixo",IF(Tabela1[[#This Row],[qtde_batalhas]]&lt;=25,"Médio","Alto"))</f>
        <v>Médio</v>
      </c>
      <c r="W211" s="2" t="s">
        <v>28</v>
      </c>
      <c r="X211" s="6">
        <v>45500</v>
      </c>
      <c r="Y211" s="2" t="str">
        <f t="shared" si="24"/>
        <v>Aprovado</v>
      </c>
      <c r="Z211" s="1" t="str">
        <f t="shared" si="25"/>
        <v>Negado</v>
      </c>
      <c r="AA211" s="26">
        <f t="shared" si="26"/>
        <v>0</v>
      </c>
    </row>
    <row r="212" spans="1:27">
      <c r="A212" s="16">
        <f ca="1">YEAR(TODAY())-Tabela1[[#This Row],[idade]]</f>
        <v>1960</v>
      </c>
      <c r="B212" s="1">
        <f t="shared" ca="1" si="27"/>
        <v>66</v>
      </c>
      <c r="C212" s="1" t="str">
        <f>PROPER(Tabela1[[#This Row],[nome]])</f>
        <v>Jeor Baelish</v>
      </c>
      <c r="D212" s="1" t="str">
        <f t="shared" si="28"/>
        <v>000.000.332-00</v>
      </c>
      <c r="G212" s="26">
        <f t="shared" si="29"/>
        <v>14300</v>
      </c>
      <c r="H212" s="26">
        <f t="shared" si="30"/>
        <v>78000</v>
      </c>
      <c r="I212" s="1" t="str">
        <f t="shared" si="31"/>
        <v>Não</v>
      </c>
      <c r="K212" s="2" t="s">
        <v>29</v>
      </c>
      <c r="L212" s="2" t="s">
        <v>503</v>
      </c>
      <c r="M212" s="3" t="s">
        <v>504</v>
      </c>
      <c r="N212" s="4">
        <f ca="1">DATEDIF(O212,TODAY(),"Y")</f>
        <v>66</v>
      </c>
      <c r="O212" s="5">
        <v>22039</v>
      </c>
      <c r="P212" s="2" t="s">
        <v>133</v>
      </c>
      <c r="Q212" s="2" t="s">
        <v>133</v>
      </c>
      <c r="R212" s="6">
        <v>14300</v>
      </c>
      <c r="S212" s="6">
        <v>78000</v>
      </c>
      <c r="T212" s="7" t="s">
        <v>49</v>
      </c>
      <c r="U212" s="2">
        <v>28</v>
      </c>
      <c r="V212" s="2" t="str">
        <f>IF(Tabela1[[#This Row],[qtde_batalhas]]&lt;=10,"Baixo",IF(Tabela1[[#This Row],[qtde_batalhas]]&lt;=25,"Médio","Alto"))</f>
        <v>Alto</v>
      </c>
      <c r="W212" s="2" t="s">
        <v>49</v>
      </c>
      <c r="X212" s="6">
        <v>74500</v>
      </c>
      <c r="Y212" s="2" t="str">
        <f t="shared" si="24"/>
        <v>Aprovado</v>
      </c>
      <c r="Z212" s="1" t="str">
        <f t="shared" si="25"/>
        <v>Aprovado</v>
      </c>
      <c r="AA212" s="26">
        <f t="shared" si="26"/>
        <v>0</v>
      </c>
    </row>
    <row r="213" spans="1:27">
      <c r="A213" s="16">
        <f ca="1">YEAR(TODAY())-Tabela1[[#This Row],[idade]]</f>
        <v>1991</v>
      </c>
      <c r="B213" s="1">
        <f t="shared" ca="1" si="27"/>
        <v>35</v>
      </c>
      <c r="C213" s="1" t="str">
        <f>PROPER(Tabela1[[#This Row],[nome]])</f>
        <v>Jaime Dondarrion</v>
      </c>
      <c r="D213" s="1" t="str">
        <f t="shared" si="28"/>
        <v>000.000.056-00</v>
      </c>
      <c r="G213" s="26">
        <f t="shared" si="29"/>
        <v>20900</v>
      </c>
      <c r="H213" s="26">
        <f t="shared" si="30"/>
        <v>54000</v>
      </c>
      <c r="I213" s="1" t="str">
        <f t="shared" si="31"/>
        <v>Não</v>
      </c>
      <c r="K213" s="2" t="s">
        <v>23</v>
      </c>
      <c r="L213" s="2" t="s">
        <v>507</v>
      </c>
      <c r="M213" s="3" t="s">
        <v>508</v>
      </c>
      <c r="N213" s="4">
        <f ca="1">DATEDIF(O213,TODAY(),"Y")</f>
        <v>35</v>
      </c>
      <c r="O213" s="5">
        <v>33336</v>
      </c>
      <c r="P213" s="2" t="s">
        <v>26</v>
      </c>
      <c r="Q213" s="2" t="s">
        <v>27</v>
      </c>
      <c r="R213" s="6">
        <v>20900</v>
      </c>
      <c r="S213" s="6">
        <v>54000</v>
      </c>
      <c r="T213" s="7">
        <v>0</v>
      </c>
      <c r="U213" s="2">
        <v>44</v>
      </c>
      <c r="V213" s="2" t="str">
        <f>IF(Tabela1[[#This Row],[qtde_batalhas]]&lt;=10,"Baixo",IF(Tabela1[[#This Row],[qtde_batalhas]]&lt;=25,"Médio","Alto"))</f>
        <v>Alto</v>
      </c>
      <c r="W213" s="2">
        <v>0</v>
      </c>
      <c r="X213" s="6">
        <v>18000</v>
      </c>
      <c r="Y213" s="2" t="str">
        <f t="shared" si="24"/>
        <v>Aprovado</v>
      </c>
      <c r="Z213" s="1" t="str">
        <f t="shared" si="25"/>
        <v>Aprovado</v>
      </c>
      <c r="AA213" s="26">
        <f t="shared" si="26"/>
        <v>19440</v>
      </c>
    </row>
    <row r="214" spans="1:27">
      <c r="A214" s="16">
        <f ca="1">YEAR(TODAY())-Tabela1[[#This Row],[idade]]</f>
        <v>1988</v>
      </c>
      <c r="B214" s="1">
        <f t="shared" ca="1" si="27"/>
        <v>38</v>
      </c>
      <c r="C214" s="1" t="str">
        <f>PROPER(Tabela1[[#This Row],[nome]])</f>
        <v>Loras Manderly</v>
      </c>
      <c r="D214" s="1" t="str">
        <f t="shared" si="28"/>
        <v>-</v>
      </c>
      <c r="G214" s="26">
        <f t="shared" si="29"/>
        <v>2000</v>
      </c>
      <c r="H214" s="26">
        <f t="shared" si="30"/>
        <v>60000</v>
      </c>
      <c r="I214" s="1" t="str">
        <f t="shared" si="31"/>
        <v>Não</v>
      </c>
      <c r="K214" s="2" t="s">
        <v>23</v>
      </c>
      <c r="L214" s="2" t="s">
        <v>510</v>
      </c>
      <c r="M214" s="3">
        <v>27800</v>
      </c>
      <c r="N214" s="4">
        <f ca="1">DATEDIF(O214,TODAY(),"Y")</f>
        <v>38</v>
      </c>
      <c r="O214" s="5">
        <v>32152</v>
      </c>
      <c r="P214" s="2" t="s">
        <v>841</v>
      </c>
      <c r="Q214" s="2" t="s">
        <v>817</v>
      </c>
      <c r="R214" s="6">
        <v>2000</v>
      </c>
      <c r="S214" s="6">
        <v>60000</v>
      </c>
      <c r="T214" s="7" t="s">
        <v>49</v>
      </c>
      <c r="U214" s="2">
        <v>18</v>
      </c>
      <c r="V214" s="2" t="str">
        <f>IF(Tabela1[[#This Row],[qtde_batalhas]]&lt;=10,"Baixo",IF(Tabela1[[#This Row],[qtde_batalhas]]&lt;=25,"Médio","Alto"))</f>
        <v>Médio</v>
      </c>
      <c r="W214" s="2" t="s">
        <v>49</v>
      </c>
      <c r="X214" s="6">
        <v>54000</v>
      </c>
      <c r="Y214" s="2" t="str">
        <f t="shared" si="24"/>
        <v>Aprovado</v>
      </c>
      <c r="Z214" s="1" t="str">
        <f t="shared" si="25"/>
        <v>Aprovado</v>
      </c>
      <c r="AA214" s="26">
        <f t="shared" si="26"/>
        <v>58320.000000000007</v>
      </c>
    </row>
    <row r="215" spans="1:27">
      <c r="A215" s="16">
        <f ca="1">YEAR(TODAY())-Tabela1[[#This Row],[idade]]</f>
        <v>1980</v>
      </c>
      <c r="B215" s="1">
        <f t="shared" ca="1" si="27"/>
        <v>47</v>
      </c>
      <c r="C215" s="1" t="str">
        <f>PROPER(Tabela1[[#This Row],[nome]])</f>
        <v>Ilhasario Marbrand</v>
      </c>
      <c r="D215" s="1" t="str">
        <f t="shared" si="28"/>
        <v>000.000.014-00</v>
      </c>
      <c r="G215" s="26">
        <f t="shared" si="29"/>
        <v>15000</v>
      </c>
      <c r="H215" s="26">
        <f t="shared" si="30"/>
        <v>0</v>
      </c>
      <c r="I215" s="1" t="str">
        <f t="shared" si="31"/>
        <v>Não</v>
      </c>
      <c r="K215" s="2" t="s">
        <v>29</v>
      </c>
      <c r="L215" s="2" t="s">
        <v>805</v>
      </c>
      <c r="M215" s="3" t="s">
        <v>213</v>
      </c>
      <c r="N215" s="4">
        <f ca="1">DATEDIF(O215,TODAY(),"Y")</f>
        <v>46</v>
      </c>
      <c r="O215" s="5">
        <v>29113</v>
      </c>
      <c r="P215" s="2" t="s">
        <v>111</v>
      </c>
      <c r="Q215" s="2" t="s">
        <v>91</v>
      </c>
      <c r="R215" s="6">
        <v>15000</v>
      </c>
      <c r="S215" s="6">
        <v>0</v>
      </c>
      <c r="T215" s="7" t="s">
        <v>49</v>
      </c>
      <c r="U215" s="2">
        <v>40</v>
      </c>
      <c r="V215" s="2" t="str">
        <f>IF(Tabela1[[#This Row],[qtde_batalhas]]&lt;=10,"Baixo",IF(Tabela1[[#This Row],[qtde_batalhas]]&lt;=25,"Médio","Alto"))</f>
        <v>Alto</v>
      </c>
      <c r="W215" s="2" t="s">
        <v>49</v>
      </c>
      <c r="X215" s="6">
        <v>90500</v>
      </c>
      <c r="Y215" s="2" t="str">
        <f t="shared" si="24"/>
        <v>Aprovado</v>
      </c>
      <c r="Z215" s="1" t="str">
        <f t="shared" si="25"/>
        <v>Aprovado</v>
      </c>
      <c r="AA215" s="26">
        <f t="shared" si="26"/>
        <v>0</v>
      </c>
    </row>
    <row r="216" spans="1:27">
      <c r="A216" s="16">
        <f ca="1">YEAR(TODAY())-Tabela1[[#This Row],[idade]]</f>
        <v>1954</v>
      </c>
      <c r="B216" s="1">
        <f t="shared" ca="1" si="27"/>
        <v>72</v>
      </c>
      <c r="C216" s="1" t="str">
        <f>PROPER(Tabela1[[#This Row],[nome]])</f>
        <v>Beric Seaworth</v>
      </c>
      <c r="D216" s="1" t="str">
        <f t="shared" si="28"/>
        <v>000.000.025-00</v>
      </c>
      <c r="G216" s="26">
        <f t="shared" si="29"/>
        <v>24300</v>
      </c>
      <c r="H216" s="26">
        <f t="shared" si="30"/>
        <v>13500</v>
      </c>
      <c r="I216" s="1" t="str">
        <f t="shared" si="31"/>
        <v>Não</v>
      </c>
      <c r="K216" s="2" t="s">
        <v>23</v>
      </c>
      <c r="L216" s="2" t="s">
        <v>513</v>
      </c>
      <c r="M216" s="3" t="s">
        <v>514</v>
      </c>
      <c r="N216" s="4">
        <f ca="1">DATEDIF(O216,TODAY(),"Y")</f>
        <v>72</v>
      </c>
      <c r="O216" s="5">
        <v>19800</v>
      </c>
      <c r="P216" s="2" t="s">
        <v>87</v>
      </c>
      <c r="Q216" s="2" t="s">
        <v>88</v>
      </c>
      <c r="R216" s="6">
        <v>24300</v>
      </c>
      <c r="S216" s="6">
        <v>13500</v>
      </c>
      <c r="T216" s="7" t="s">
        <v>49</v>
      </c>
      <c r="U216" s="2">
        <v>33</v>
      </c>
      <c r="V216" s="2" t="str">
        <f>IF(Tabela1[[#This Row],[qtde_batalhas]]&lt;=10,"Baixo",IF(Tabela1[[#This Row],[qtde_batalhas]]&lt;=25,"Médio","Alto"))</f>
        <v>Alto</v>
      </c>
      <c r="W216" s="2" t="s">
        <v>49</v>
      </c>
      <c r="X216" s="6">
        <v>14500</v>
      </c>
      <c r="Y216" s="2" t="str">
        <f t="shared" si="24"/>
        <v>Aprovado</v>
      </c>
      <c r="Z216" s="1" t="str">
        <f t="shared" si="25"/>
        <v>Aprovado</v>
      </c>
      <c r="AA216" s="26">
        <f t="shared" si="26"/>
        <v>15660.000000000002</v>
      </c>
    </row>
    <row r="217" spans="1:27">
      <c r="A217" s="16">
        <f ca="1">YEAR(TODAY())-Tabela1[[#This Row],[idade]]</f>
        <v>2026</v>
      </c>
      <c r="B217" s="1">
        <f t="shared" ca="1" si="27"/>
        <v>126</v>
      </c>
      <c r="C217" s="1" t="str">
        <f>PROPER(Tabela1[[#This Row],[nome]])</f>
        <v>Lyanna Seaworth</v>
      </c>
      <c r="D217" s="1" t="str">
        <f t="shared" si="28"/>
        <v>000.000.041-00</v>
      </c>
      <c r="G217" s="26">
        <f t="shared" si="29"/>
        <v>4500</v>
      </c>
      <c r="H217" s="26">
        <f t="shared" si="30"/>
        <v>0</v>
      </c>
      <c r="I217" s="1" t="str">
        <f t="shared" si="31"/>
        <v>Sim</v>
      </c>
      <c r="K217" s="2" t="s">
        <v>23</v>
      </c>
      <c r="L217" s="2" t="s">
        <v>515</v>
      </c>
      <c r="M217" s="3" t="s">
        <v>516</v>
      </c>
      <c r="P217" s="2" t="s">
        <v>76</v>
      </c>
      <c r="Q217" s="2" t="s">
        <v>71</v>
      </c>
      <c r="R217" s="6">
        <v>4500</v>
      </c>
      <c r="S217" s="6">
        <v>0</v>
      </c>
      <c r="T217" s="7" t="s">
        <v>28</v>
      </c>
      <c r="U217" s="2">
        <v>32</v>
      </c>
      <c r="V217" s="2" t="str">
        <f>IF(Tabela1[[#This Row],[qtde_batalhas]]&lt;=10,"Baixo",IF(Tabela1[[#This Row],[qtde_batalhas]]&lt;=25,"Médio","Alto"))</f>
        <v>Alto</v>
      </c>
      <c r="W217" s="2" t="s">
        <v>28</v>
      </c>
      <c r="X217" s="6">
        <v>56500</v>
      </c>
      <c r="Y217" s="2" t="str">
        <f t="shared" si="24"/>
        <v>Negado</v>
      </c>
      <c r="Z217" s="1" t="str">
        <f t="shared" si="25"/>
        <v>Aprovado</v>
      </c>
      <c r="AA217" s="26">
        <f t="shared" si="26"/>
        <v>0</v>
      </c>
    </row>
    <row r="218" spans="1:27">
      <c r="A218" s="16">
        <f ca="1">YEAR(TODAY())-Tabela1[[#This Row],[idade]]</f>
        <v>2004</v>
      </c>
      <c r="B218" s="1">
        <f t="shared" ca="1" si="27"/>
        <v>22</v>
      </c>
      <c r="C218" s="1" t="str">
        <f>PROPER(Tabela1[[#This Row],[nome]])</f>
        <v>Margaery Marbrand</v>
      </c>
      <c r="D218" s="1" t="str">
        <f t="shared" si="28"/>
        <v>000.000.146-00</v>
      </c>
      <c r="G218" s="26">
        <f t="shared" si="29"/>
        <v>9200</v>
      </c>
      <c r="H218" s="26">
        <f t="shared" si="30"/>
        <v>5000</v>
      </c>
      <c r="I218" s="1" t="str">
        <f t="shared" si="31"/>
        <v>Não</v>
      </c>
      <c r="K218" s="2" t="s">
        <v>23</v>
      </c>
      <c r="L218" s="2" t="s">
        <v>517</v>
      </c>
      <c r="M218" s="3" t="s">
        <v>518</v>
      </c>
      <c r="N218" s="4">
        <f ca="1">DATEDIF(O218,TODAY(),"Y")</f>
        <v>22</v>
      </c>
      <c r="O218" s="5">
        <v>38079</v>
      </c>
      <c r="P218" s="2" t="s">
        <v>31</v>
      </c>
      <c r="Q218" s="2" t="s">
        <v>32</v>
      </c>
      <c r="R218" s="6">
        <v>9200</v>
      </c>
      <c r="S218" s="6">
        <v>5000</v>
      </c>
      <c r="T218" s="7" t="s">
        <v>49</v>
      </c>
      <c r="U218" s="2">
        <v>42</v>
      </c>
      <c r="V218" s="2" t="str">
        <f>IF(Tabela1[[#This Row],[qtde_batalhas]]&lt;=10,"Baixo",IF(Tabela1[[#This Row],[qtde_batalhas]]&lt;=25,"Médio","Alto"))</f>
        <v>Alto</v>
      </c>
      <c r="W218" s="2" t="s">
        <v>49</v>
      </c>
      <c r="X218" s="6">
        <v>63500</v>
      </c>
      <c r="Y218" s="2" t="str">
        <f t="shared" si="24"/>
        <v>Aprovado</v>
      </c>
      <c r="Z218" s="1" t="str">
        <f t="shared" si="25"/>
        <v>Aprovado</v>
      </c>
      <c r="AA218" s="26">
        <f t="shared" si="26"/>
        <v>68580</v>
      </c>
    </row>
    <row r="219" spans="1:27">
      <c r="A219" s="16">
        <f ca="1">YEAR(TODAY())-Tabela1[[#This Row],[idade]]</f>
        <v>1987</v>
      </c>
      <c r="B219" s="1">
        <f t="shared" ca="1" si="27"/>
        <v>39</v>
      </c>
      <c r="C219" s="1" t="str">
        <f>PROPER(Tabela1[[#This Row],[nome]])</f>
        <v>Tormund Yronwood</v>
      </c>
      <c r="D219" s="1" t="str">
        <f t="shared" si="28"/>
        <v>000.000.187-00</v>
      </c>
      <c r="G219" s="26">
        <f t="shared" si="29"/>
        <v>8700</v>
      </c>
      <c r="H219" s="26">
        <f t="shared" si="30"/>
        <v>4500</v>
      </c>
      <c r="I219" s="1" t="str">
        <f t="shared" si="31"/>
        <v>Não</v>
      </c>
      <c r="K219" s="2" t="s">
        <v>23</v>
      </c>
      <c r="L219" s="2" t="s">
        <v>519</v>
      </c>
      <c r="M219" s="3" t="s">
        <v>520</v>
      </c>
      <c r="N219" s="4">
        <f ca="1">DATEDIF(O219,TODAY(),"Y")</f>
        <v>39</v>
      </c>
      <c r="O219" s="5">
        <v>31972</v>
      </c>
      <c r="P219" s="2" t="s">
        <v>87</v>
      </c>
      <c r="Q219" s="2" t="s">
        <v>88</v>
      </c>
      <c r="R219" s="6">
        <v>8700</v>
      </c>
      <c r="S219" s="6">
        <v>4500</v>
      </c>
      <c r="T219" s="7" t="s">
        <v>49</v>
      </c>
      <c r="U219" s="2">
        <v>16</v>
      </c>
      <c r="V219" s="2" t="str">
        <f>IF(Tabela1[[#This Row],[qtde_batalhas]]&lt;=10,"Baixo",IF(Tabela1[[#This Row],[qtde_batalhas]]&lt;=25,"Médio","Alto"))</f>
        <v>Médio</v>
      </c>
      <c r="W219" s="2" t="s">
        <v>49</v>
      </c>
      <c r="X219" s="6">
        <v>93500</v>
      </c>
      <c r="Y219" s="2" t="str">
        <f t="shared" si="24"/>
        <v>Aprovado</v>
      </c>
      <c r="Z219" s="1" t="str">
        <f t="shared" si="25"/>
        <v>Aprovado</v>
      </c>
      <c r="AA219" s="26">
        <f t="shared" si="26"/>
        <v>100980</v>
      </c>
    </row>
    <row r="220" spans="1:27">
      <c r="A220" s="16">
        <f ca="1">YEAR(TODAY())-Tabela1[[#This Row],[idade]]</f>
        <v>1991</v>
      </c>
      <c r="B220" s="1">
        <f t="shared" ca="1" si="27"/>
        <v>35</v>
      </c>
      <c r="C220" s="1" t="str">
        <f>PROPER(Tabela1[[#This Row],[nome]])</f>
        <v>Ramsay Tarly</v>
      </c>
      <c r="D220" s="1" t="str">
        <f t="shared" si="28"/>
        <v>-</v>
      </c>
      <c r="G220" s="26">
        <f t="shared" si="29"/>
        <v>2000</v>
      </c>
      <c r="H220" s="26">
        <f t="shared" si="30"/>
        <v>5500</v>
      </c>
      <c r="I220" s="1" t="str">
        <f t="shared" si="31"/>
        <v>Não</v>
      </c>
      <c r="K220" s="2" t="s">
        <v>23</v>
      </c>
      <c r="L220" s="2" t="s">
        <v>521</v>
      </c>
      <c r="M220" s="3">
        <v>9800</v>
      </c>
      <c r="N220" s="4">
        <f ca="1">DATEDIF(O220,TODAY(),"Y")</f>
        <v>35</v>
      </c>
      <c r="O220" s="5">
        <v>33440</v>
      </c>
      <c r="P220" s="2" t="s">
        <v>61</v>
      </c>
      <c r="Q220" s="2" t="s">
        <v>81</v>
      </c>
      <c r="R220" s="6">
        <v>2000</v>
      </c>
      <c r="S220" s="6">
        <v>5500</v>
      </c>
      <c r="T220" s="7" t="s">
        <v>49</v>
      </c>
      <c r="U220" s="2">
        <v>34</v>
      </c>
      <c r="V220" s="2" t="str">
        <f>IF(Tabela1[[#This Row],[qtde_batalhas]]&lt;=10,"Baixo",IF(Tabela1[[#This Row],[qtde_batalhas]]&lt;=25,"Médio","Alto"))</f>
        <v>Alto</v>
      </c>
      <c r="W220" s="2" t="s">
        <v>49</v>
      </c>
      <c r="X220" s="6">
        <v>71000</v>
      </c>
      <c r="Y220" s="2" t="str">
        <f t="shared" si="24"/>
        <v>Aprovado</v>
      </c>
      <c r="Z220" s="1" t="str">
        <f t="shared" si="25"/>
        <v>Aprovado</v>
      </c>
      <c r="AA220" s="26">
        <f t="shared" si="26"/>
        <v>76680</v>
      </c>
    </row>
    <row r="221" spans="1:27">
      <c r="A221" s="16">
        <f ca="1">YEAR(TODAY())-Tabela1[[#This Row],[idade]]</f>
        <v>1954</v>
      </c>
      <c r="B221" s="1">
        <f t="shared" ca="1" si="27"/>
        <v>73</v>
      </c>
      <c r="C221" s="1" t="str">
        <f>PROPER(Tabela1[[#This Row],[nome]])</f>
        <v>Shae Mormont</v>
      </c>
      <c r="D221" s="1" t="str">
        <f t="shared" si="28"/>
        <v>000.000.114-00</v>
      </c>
      <c r="G221" s="26">
        <f t="shared" si="29"/>
        <v>12600</v>
      </c>
      <c r="H221" s="26">
        <f t="shared" si="30"/>
        <v>5500</v>
      </c>
      <c r="I221" s="1" t="str">
        <f t="shared" si="31"/>
        <v>Não</v>
      </c>
      <c r="K221" s="2" t="s">
        <v>23</v>
      </c>
      <c r="L221" s="2" t="s">
        <v>522</v>
      </c>
      <c r="M221" s="3" t="s">
        <v>523</v>
      </c>
      <c r="N221" s="4">
        <f ca="1">DATEDIF(O221,TODAY(),"Y")</f>
        <v>72</v>
      </c>
      <c r="O221" s="5">
        <v>19623</v>
      </c>
      <c r="P221" s="2" t="s">
        <v>52</v>
      </c>
      <c r="Q221" s="2" t="s">
        <v>57</v>
      </c>
      <c r="R221" s="6">
        <v>12600</v>
      </c>
      <c r="S221" s="6">
        <v>5500</v>
      </c>
      <c r="T221" s="7" t="s">
        <v>49</v>
      </c>
      <c r="U221" s="2">
        <v>35</v>
      </c>
      <c r="V221" s="2" t="str">
        <f>IF(Tabela1[[#This Row],[qtde_batalhas]]&lt;=10,"Baixo",IF(Tabela1[[#This Row],[qtde_batalhas]]&lt;=25,"Médio","Alto"))</f>
        <v>Alto</v>
      </c>
      <c r="W221" s="2" t="s">
        <v>49</v>
      </c>
      <c r="X221" s="6">
        <v>21000</v>
      </c>
      <c r="Y221" s="2" t="str">
        <f t="shared" si="24"/>
        <v>Aprovado</v>
      </c>
      <c r="Z221" s="1" t="str">
        <f t="shared" si="25"/>
        <v>Aprovado</v>
      </c>
      <c r="AA221" s="26">
        <f t="shared" si="26"/>
        <v>22680</v>
      </c>
    </row>
    <row r="222" spans="1:27">
      <c r="A222" s="16">
        <f ca="1">YEAR(TODAY())-Tabela1[[#This Row],[idade]]</f>
        <v>2026</v>
      </c>
      <c r="B222" s="1">
        <f t="shared" ca="1" si="27"/>
        <v>126</v>
      </c>
      <c r="C222" s="1" t="str">
        <f>PROPER(Tabela1[[#This Row],[nome]])</f>
        <v>Renly Bolton</v>
      </c>
      <c r="D222" s="1" t="str">
        <f t="shared" si="28"/>
        <v>000.000.303-00</v>
      </c>
      <c r="G222" s="26">
        <f t="shared" si="29"/>
        <v>29300</v>
      </c>
      <c r="H222" s="26">
        <f t="shared" si="30"/>
        <v>32000</v>
      </c>
      <c r="I222" s="1" t="str">
        <f t="shared" si="31"/>
        <v>Sim</v>
      </c>
      <c r="K222" s="2" t="s">
        <v>23</v>
      </c>
      <c r="L222" s="2" t="s">
        <v>524</v>
      </c>
      <c r="M222" s="3" t="s">
        <v>525</v>
      </c>
      <c r="P222" s="2" t="s">
        <v>90</v>
      </c>
      <c r="Q222" s="2" t="s">
        <v>91</v>
      </c>
      <c r="R222" s="6">
        <v>29300</v>
      </c>
      <c r="S222" s="6">
        <v>32000</v>
      </c>
      <c r="T222" s="7" t="s">
        <v>28</v>
      </c>
      <c r="U222" s="2">
        <v>26</v>
      </c>
      <c r="V222" s="2" t="str">
        <f>IF(Tabela1[[#This Row],[qtde_batalhas]]&lt;=10,"Baixo",IF(Tabela1[[#This Row],[qtde_batalhas]]&lt;=25,"Médio","Alto"))</f>
        <v>Alto</v>
      </c>
      <c r="W222" s="2" t="s">
        <v>28</v>
      </c>
      <c r="X222" s="6">
        <v>59000</v>
      </c>
      <c r="Y222" s="2" t="str">
        <f t="shared" si="24"/>
        <v>Negado</v>
      </c>
      <c r="Z222" s="1" t="str">
        <f t="shared" si="25"/>
        <v>Aprovado</v>
      </c>
      <c r="AA222" s="26">
        <f t="shared" si="26"/>
        <v>0</v>
      </c>
    </row>
    <row r="223" spans="1:27">
      <c r="A223" s="16">
        <f ca="1">YEAR(TODAY())-Tabela1[[#This Row],[idade]]</f>
        <v>2000</v>
      </c>
      <c r="B223" s="1">
        <f t="shared" ca="1" si="27"/>
        <v>26</v>
      </c>
      <c r="C223" s="1" t="str">
        <f>PROPER(Tabela1[[#This Row],[nome]])</f>
        <v>Grey Worm Hornwood</v>
      </c>
      <c r="D223" s="1" t="str">
        <f t="shared" si="28"/>
        <v>000.000.322-00</v>
      </c>
      <c r="G223" s="26">
        <f t="shared" si="29"/>
        <v>24000</v>
      </c>
      <c r="H223" s="26">
        <f t="shared" si="30"/>
        <v>52000</v>
      </c>
      <c r="I223" s="1" t="str">
        <f t="shared" si="31"/>
        <v>Não</v>
      </c>
      <c r="K223" s="2" t="s">
        <v>29</v>
      </c>
      <c r="L223" s="2" t="s">
        <v>526</v>
      </c>
      <c r="M223" s="3" t="s">
        <v>527</v>
      </c>
      <c r="N223" s="4">
        <f ca="1">DATEDIF(O223,TODAY(),"Y")</f>
        <v>26</v>
      </c>
      <c r="O223" s="5">
        <v>36540</v>
      </c>
      <c r="P223" s="2" t="s">
        <v>37</v>
      </c>
      <c r="Q223" s="2" t="s">
        <v>38</v>
      </c>
      <c r="R223" s="6">
        <v>24000</v>
      </c>
      <c r="S223" s="6">
        <v>52000</v>
      </c>
      <c r="T223" s="7" t="s">
        <v>49</v>
      </c>
      <c r="U223" s="2">
        <v>30</v>
      </c>
      <c r="V223" s="2" t="str">
        <f>IF(Tabela1[[#This Row],[qtde_batalhas]]&lt;=10,"Baixo",IF(Tabela1[[#This Row],[qtde_batalhas]]&lt;=25,"Médio","Alto"))</f>
        <v>Alto</v>
      </c>
      <c r="W223" s="2" t="s">
        <v>49</v>
      </c>
      <c r="X223" s="6">
        <v>62500</v>
      </c>
      <c r="Y223" s="2" t="str">
        <f t="shared" si="24"/>
        <v>Aprovado</v>
      </c>
      <c r="Z223" s="1" t="str">
        <f t="shared" si="25"/>
        <v>Aprovado</v>
      </c>
      <c r="AA223" s="26">
        <f t="shared" si="26"/>
        <v>0</v>
      </c>
    </row>
    <row r="224" spans="1:27">
      <c r="A224" s="16">
        <f ca="1">YEAR(TODAY())-Tabela1[[#This Row],[idade]]</f>
        <v>1991</v>
      </c>
      <c r="B224" s="1">
        <f t="shared" ca="1" si="27"/>
        <v>35</v>
      </c>
      <c r="C224" s="1" t="str">
        <f>PROPER(Tabela1[[#This Row],[nome]])</f>
        <v>Rhaegar Ilhasyne</v>
      </c>
      <c r="D224" s="1" t="str">
        <f t="shared" si="28"/>
        <v>000.000.335-00</v>
      </c>
      <c r="G224" s="26">
        <f t="shared" si="29"/>
        <v>28500</v>
      </c>
      <c r="H224" s="26">
        <f t="shared" si="30"/>
        <v>48500</v>
      </c>
      <c r="I224" s="1" t="str">
        <f t="shared" si="31"/>
        <v>Não</v>
      </c>
      <c r="K224" s="2" t="s">
        <v>23</v>
      </c>
      <c r="L224" s="2" t="s">
        <v>842</v>
      </c>
      <c r="M224" s="3" t="s">
        <v>530</v>
      </c>
      <c r="N224" s="4">
        <f ca="1">DATEDIF(O224,TODAY(),"Y")</f>
        <v>35</v>
      </c>
      <c r="O224" s="5">
        <v>33309</v>
      </c>
      <c r="P224" s="2" t="s">
        <v>87</v>
      </c>
      <c r="Q224" s="2" t="s">
        <v>88</v>
      </c>
      <c r="R224" s="6">
        <v>28500</v>
      </c>
      <c r="S224" s="6">
        <v>48500</v>
      </c>
      <c r="T224" s="7" t="s">
        <v>49</v>
      </c>
      <c r="U224" s="2">
        <v>24</v>
      </c>
      <c r="V224" s="2" t="str">
        <f>IF(Tabela1[[#This Row],[qtde_batalhas]]&lt;=10,"Baixo",IF(Tabela1[[#This Row],[qtde_batalhas]]&lt;=25,"Médio","Alto"))</f>
        <v>Médio</v>
      </c>
      <c r="W224" s="2" t="s">
        <v>49</v>
      </c>
      <c r="X224" s="6">
        <v>80500</v>
      </c>
      <c r="Y224" s="2" t="str">
        <f t="shared" si="24"/>
        <v>Aprovado</v>
      </c>
      <c r="Z224" s="1" t="str">
        <f t="shared" si="25"/>
        <v>Aprovado</v>
      </c>
      <c r="AA224" s="26">
        <f t="shared" si="26"/>
        <v>86940</v>
      </c>
    </row>
    <row r="225" spans="1:27">
      <c r="A225" s="16">
        <f ca="1">YEAR(TODAY())-Tabela1[[#This Row],[idade]]</f>
        <v>2003</v>
      </c>
      <c r="B225" s="1">
        <f ca="1">INT((TODAY()-O225)/365)</f>
        <v>23</v>
      </c>
      <c r="C225" s="1" t="str">
        <f>PROPER(Tabela1[[#This Row],[nome]])</f>
        <v>Bran Bolton</v>
      </c>
      <c r="D225" s="1" t="str">
        <f t="shared" si="28"/>
        <v>000.000.003-00</v>
      </c>
      <c r="G225" s="26">
        <f t="shared" si="29"/>
        <v>17900</v>
      </c>
      <c r="H225" s="26">
        <f t="shared" si="30"/>
        <v>28000</v>
      </c>
      <c r="I225" s="1" t="str">
        <f t="shared" si="31"/>
        <v>Não</v>
      </c>
      <c r="K225" s="2" t="s">
        <v>23</v>
      </c>
      <c r="L225" s="2" t="s">
        <v>531</v>
      </c>
      <c r="M225" s="3" t="s">
        <v>532</v>
      </c>
      <c r="N225" s="4">
        <f ca="1">DATEDIF(O225,TODAY(),"Y")</f>
        <v>23</v>
      </c>
      <c r="O225" s="5">
        <v>37785</v>
      </c>
      <c r="P225" s="2" t="s">
        <v>174</v>
      </c>
      <c r="Q225" s="2" t="s">
        <v>827</v>
      </c>
      <c r="R225" s="6">
        <v>17900</v>
      </c>
      <c r="S225" s="6">
        <v>28000</v>
      </c>
      <c r="T225" s="7" t="s">
        <v>49</v>
      </c>
      <c r="U225" s="2">
        <v>41</v>
      </c>
      <c r="V225" s="2" t="str">
        <f>IF(Tabela1[[#This Row],[qtde_batalhas]]&lt;=10,"Baixo",IF(Tabela1[[#This Row],[qtde_batalhas]]&lt;=25,"Médio","Alto"))</f>
        <v>Alto</v>
      </c>
      <c r="W225" s="2" t="s">
        <v>49</v>
      </c>
      <c r="X225" s="6">
        <v>52500</v>
      </c>
      <c r="Y225" s="2" t="str">
        <f t="shared" si="24"/>
        <v>Aprovado</v>
      </c>
      <c r="Z225" s="1" t="str">
        <f t="shared" si="25"/>
        <v>Aprovado</v>
      </c>
      <c r="AA225" s="26">
        <f t="shared" si="26"/>
        <v>56700.000000000007</v>
      </c>
    </row>
    <row r="226" spans="1:27">
      <c r="A226" s="16">
        <f ca="1">YEAR(TODAY())-Tabela1[[#This Row],[idade]]</f>
        <v>1993</v>
      </c>
      <c r="B226" s="1">
        <f t="shared" ref="B226:B289" ca="1" si="32">INT((TODAY()-O226)/365)</f>
        <v>33</v>
      </c>
      <c r="C226" s="1" t="str">
        <f>PROPER(Tabela1[[#This Row],[nome]])</f>
        <v>Shae Tarly</v>
      </c>
      <c r="D226" s="1" t="str">
        <f t="shared" si="28"/>
        <v>000.000.235-00</v>
      </c>
      <c r="G226" s="26">
        <f t="shared" si="29"/>
        <v>12500</v>
      </c>
      <c r="H226" s="26">
        <f t="shared" si="30"/>
        <v>51500</v>
      </c>
      <c r="I226" s="1" t="str">
        <f t="shared" si="31"/>
        <v>Sim</v>
      </c>
      <c r="K226" s="2" t="s">
        <v>29</v>
      </c>
      <c r="L226" s="2" t="s">
        <v>533</v>
      </c>
      <c r="M226" s="3" t="s">
        <v>534</v>
      </c>
      <c r="N226" s="4">
        <f ca="1">DATEDIF(O226,TODAY(),"Y")</f>
        <v>33</v>
      </c>
      <c r="O226" s="5">
        <v>33902</v>
      </c>
      <c r="P226" s="2" t="s">
        <v>122</v>
      </c>
      <c r="Q226" s="2" t="s">
        <v>98</v>
      </c>
      <c r="R226" s="6">
        <v>12500</v>
      </c>
      <c r="S226" s="6">
        <v>51500</v>
      </c>
      <c r="T226" s="7" t="s">
        <v>28</v>
      </c>
      <c r="U226" s="2">
        <v>44</v>
      </c>
      <c r="V226" s="2" t="str">
        <f>IF(Tabela1[[#This Row],[qtde_batalhas]]&lt;=10,"Baixo",IF(Tabela1[[#This Row],[qtde_batalhas]]&lt;=25,"Médio","Alto"))</f>
        <v>Alto</v>
      </c>
      <c r="W226" s="2" t="s">
        <v>28</v>
      </c>
      <c r="X226" s="6">
        <v>24000</v>
      </c>
      <c r="Y226" s="2" t="str">
        <f t="shared" si="24"/>
        <v>Negado</v>
      </c>
      <c r="Z226" s="1" t="str">
        <f t="shared" si="25"/>
        <v>Negado</v>
      </c>
      <c r="AA226" s="26">
        <f t="shared" si="26"/>
        <v>0</v>
      </c>
    </row>
    <row r="227" spans="1:27">
      <c r="A227" s="16">
        <f ca="1">YEAR(TODAY())-Tabela1[[#This Row],[idade]]</f>
        <v>1962</v>
      </c>
      <c r="B227" s="1">
        <f t="shared" ca="1" si="32"/>
        <v>64</v>
      </c>
      <c r="C227" s="1" t="str">
        <f>PROPER(Tabela1[[#This Row],[nome]])</f>
        <v>Shae Mormont</v>
      </c>
      <c r="D227" s="1" t="str">
        <f t="shared" si="28"/>
        <v>000.000.307-00</v>
      </c>
      <c r="G227" s="26">
        <f t="shared" si="29"/>
        <v>5500</v>
      </c>
      <c r="H227" s="26">
        <f t="shared" si="30"/>
        <v>41000</v>
      </c>
      <c r="I227" s="1" t="str">
        <f t="shared" si="31"/>
        <v>Não</v>
      </c>
      <c r="K227" s="2" t="s">
        <v>23</v>
      </c>
      <c r="L227" s="2" t="s">
        <v>522</v>
      </c>
      <c r="M227" s="3" t="s">
        <v>535</v>
      </c>
      <c r="N227" s="4">
        <f ca="1">DATEDIF(O227,TODAY(),"Y")</f>
        <v>64</v>
      </c>
      <c r="O227" s="5">
        <v>22900</v>
      </c>
      <c r="P227" s="2" t="s">
        <v>133</v>
      </c>
      <c r="Q227" s="2" t="s">
        <v>133</v>
      </c>
      <c r="R227" s="6">
        <v>5500</v>
      </c>
      <c r="S227" s="6">
        <v>41000</v>
      </c>
      <c r="T227" s="7" t="s">
        <v>49</v>
      </c>
      <c r="U227" s="2">
        <v>2</v>
      </c>
      <c r="V227" s="2" t="str">
        <f>IF(Tabela1[[#This Row],[qtde_batalhas]]&lt;=10,"Baixo",IF(Tabela1[[#This Row],[qtde_batalhas]]&lt;=25,"Médio","Alto"))</f>
        <v>Baixo</v>
      </c>
      <c r="W227" s="2" t="s">
        <v>49</v>
      </c>
      <c r="X227" s="6">
        <v>54500</v>
      </c>
      <c r="Y227" s="2" t="str">
        <f t="shared" si="24"/>
        <v>Aprovado</v>
      </c>
      <c r="Z227" s="1" t="str">
        <f t="shared" si="25"/>
        <v>Aprovado</v>
      </c>
      <c r="AA227" s="26">
        <f t="shared" si="26"/>
        <v>58860.000000000007</v>
      </c>
    </row>
    <row r="228" spans="1:27">
      <c r="A228" s="16">
        <f ca="1">YEAR(TODAY())-Tabela1[[#This Row],[idade]]</f>
        <v>1995</v>
      </c>
      <c r="B228" s="1">
        <f t="shared" ca="1" si="32"/>
        <v>31</v>
      </c>
      <c r="C228" s="1" t="str">
        <f>PROPER(Tabela1[[#This Row],[nome]])</f>
        <v>Melisandre Crakehall</v>
      </c>
      <c r="D228" s="1" t="str">
        <f t="shared" si="28"/>
        <v>000.000.260-00</v>
      </c>
      <c r="G228" s="26">
        <f t="shared" si="29"/>
        <v>16400</v>
      </c>
      <c r="H228" s="26">
        <f t="shared" si="30"/>
        <v>45500</v>
      </c>
      <c r="I228" s="1" t="str">
        <f t="shared" si="31"/>
        <v>Não</v>
      </c>
      <c r="K228" s="2" t="s">
        <v>29</v>
      </c>
      <c r="L228" s="2" t="s">
        <v>536</v>
      </c>
      <c r="M228" s="3" t="s">
        <v>537</v>
      </c>
      <c r="N228" s="4">
        <f ca="1">DATEDIF(O228,TODAY(),"Y")</f>
        <v>31</v>
      </c>
      <c r="O228" s="5">
        <v>34885</v>
      </c>
      <c r="P228" s="2" t="s">
        <v>37</v>
      </c>
      <c r="Q228" s="2" t="s">
        <v>38</v>
      </c>
      <c r="R228" s="6">
        <v>16400</v>
      </c>
      <c r="S228" s="6">
        <v>45500</v>
      </c>
      <c r="T228" s="7" t="s">
        <v>49</v>
      </c>
      <c r="U228" s="2">
        <v>6</v>
      </c>
      <c r="V228" s="2" t="str">
        <f>IF(Tabela1[[#This Row],[qtde_batalhas]]&lt;=10,"Baixo",IF(Tabela1[[#This Row],[qtde_batalhas]]&lt;=25,"Médio","Alto"))</f>
        <v>Baixo</v>
      </c>
      <c r="W228" s="2" t="s">
        <v>49</v>
      </c>
      <c r="X228" s="6">
        <v>49500</v>
      </c>
      <c r="Y228" s="2" t="str">
        <f t="shared" si="24"/>
        <v>Aprovado</v>
      </c>
      <c r="Z228" s="1" t="str">
        <f t="shared" si="25"/>
        <v>Aprovado</v>
      </c>
      <c r="AA228" s="26">
        <f t="shared" si="26"/>
        <v>0</v>
      </c>
    </row>
    <row r="229" spans="1:27">
      <c r="A229" s="16">
        <f ca="1">YEAR(TODAY())-Tabela1[[#This Row],[idade]]</f>
        <v>1955</v>
      </c>
      <c r="B229" s="1">
        <f t="shared" ca="1" si="32"/>
        <v>71</v>
      </c>
      <c r="C229" s="1" t="str">
        <f>PROPER(Tabela1[[#This Row],[nome]])</f>
        <v>Sandor Westerling</v>
      </c>
      <c r="D229" s="1" t="str">
        <f t="shared" si="28"/>
        <v>000.000.008-00</v>
      </c>
      <c r="G229" s="26">
        <f t="shared" si="29"/>
        <v>15100</v>
      </c>
      <c r="H229" s="26" t="str">
        <f t="shared" si="30"/>
        <v>-</v>
      </c>
      <c r="I229" s="1" t="str">
        <f t="shared" si="31"/>
        <v>Não</v>
      </c>
      <c r="K229" s="2" t="s">
        <v>23</v>
      </c>
      <c r="L229" s="2" t="s">
        <v>539</v>
      </c>
      <c r="M229" s="3" t="s">
        <v>540</v>
      </c>
      <c r="N229" s="4">
        <f ca="1">DATEDIF(O229,TODAY(),"Y")</f>
        <v>71</v>
      </c>
      <c r="O229" s="5">
        <v>20000</v>
      </c>
      <c r="P229" s="2" t="s">
        <v>194</v>
      </c>
      <c r="Q229" s="2" t="s">
        <v>408</v>
      </c>
      <c r="R229" s="6">
        <v>15100</v>
      </c>
      <c r="S229" s="6" t="s">
        <v>40</v>
      </c>
      <c r="T229" s="7" t="s">
        <v>49</v>
      </c>
      <c r="U229" s="2">
        <v>42</v>
      </c>
      <c r="V229" s="2" t="str">
        <f>IF(Tabela1[[#This Row],[qtde_batalhas]]&lt;=10,"Baixo",IF(Tabela1[[#This Row],[qtde_batalhas]]&lt;=25,"Médio","Alto"))</f>
        <v>Alto</v>
      </c>
      <c r="W229" s="2" t="s">
        <v>49</v>
      </c>
      <c r="X229" s="6">
        <v>77000</v>
      </c>
      <c r="Y229" s="2" t="str">
        <f t="shared" si="24"/>
        <v>Aprovado</v>
      </c>
      <c r="Z229" s="1" t="str">
        <f t="shared" si="25"/>
        <v>Aprovado</v>
      </c>
      <c r="AA229" s="26">
        <f t="shared" si="26"/>
        <v>83160</v>
      </c>
    </row>
    <row r="230" spans="1:27">
      <c r="A230" s="16">
        <f ca="1">YEAR(TODAY())-Tabela1[[#This Row],[idade]]</f>
        <v>1959</v>
      </c>
      <c r="B230" s="1">
        <f t="shared" ca="1" si="32"/>
        <v>67</v>
      </c>
      <c r="C230" s="1" t="str">
        <f>PROPER(Tabela1[[#This Row],[nome]])</f>
        <v>Petyr Snow</v>
      </c>
      <c r="D230" s="1" t="str">
        <f t="shared" si="28"/>
        <v>-</v>
      </c>
      <c r="G230" s="26">
        <f t="shared" si="29"/>
        <v>20200</v>
      </c>
      <c r="H230" s="26">
        <f t="shared" si="30"/>
        <v>6500</v>
      </c>
      <c r="I230" s="1" t="str">
        <f t="shared" si="31"/>
        <v>Não</v>
      </c>
      <c r="K230" s="2" t="s">
        <v>23</v>
      </c>
      <c r="L230" s="2" t="s">
        <v>541</v>
      </c>
      <c r="M230" s="3">
        <v>21900</v>
      </c>
      <c r="N230" s="4">
        <f ca="1">DATEDIF(O230,TODAY(),"Y")</f>
        <v>67</v>
      </c>
      <c r="O230" s="5">
        <v>21619</v>
      </c>
      <c r="P230" s="2" t="s">
        <v>31</v>
      </c>
      <c r="Q230" s="2" t="s">
        <v>32</v>
      </c>
      <c r="R230" s="6">
        <v>20200</v>
      </c>
      <c r="S230" s="6">
        <v>6500</v>
      </c>
      <c r="T230" s="7" t="s">
        <v>49</v>
      </c>
      <c r="U230" s="2">
        <v>1</v>
      </c>
      <c r="V230" s="2" t="str">
        <f>IF(Tabela1[[#This Row],[qtde_batalhas]]&lt;=10,"Baixo",IF(Tabela1[[#This Row],[qtde_batalhas]]&lt;=25,"Médio","Alto"))</f>
        <v>Baixo</v>
      </c>
      <c r="W230" s="2" t="s">
        <v>49</v>
      </c>
      <c r="X230" s="6">
        <v>98500</v>
      </c>
      <c r="Y230" s="2" t="str">
        <f t="shared" si="24"/>
        <v>Aprovado</v>
      </c>
      <c r="Z230" s="1" t="str">
        <f t="shared" si="25"/>
        <v>Aprovado</v>
      </c>
      <c r="AA230" s="26">
        <f t="shared" si="26"/>
        <v>106380</v>
      </c>
    </row>
    <row r="231" spans="1:27">
      <c r="A231" s="16">
        <f ca="1">YEAR(TODAY())-Tabela1[[#This Row],[idade]]</f>
        <v>1999</v>
      </c>
      <c r="B231" s="1">
        <f t="shared" ca="1" si="32"/>
        <v>27</v>
      </c>
      <c r="C231" s="1" t="str">
        <f>PROPER(Tabela1[[#This Row],[nome]])</f>
        <v>Robert Tarth</v>
      </c>
      <c r="D231" s="1" t="str">
        <f t="shared" si="28"/>
        <v>000.000.001-00</v>
      </c>
      <c r="G231" s="26">
        <f t="shared" si="29"/>
        <v>29700</v>
      </c>
      <c r="H231" s="26">
        <f t="shared" si="30"/>
        <v>12000</v>
      </c>
      <c r="I231" s="1" t="str">
        <f t="shared" si="31"/>
        <v>Não</v>
      </c>
      <c r="K231" s="2" t="s">
        <v>23</v>
      </c>
      <c r="L231" s="2" t="s">
        <v>542</v>
      </c>
      <c r="M231" s="3" t="s">
        <v>543</v>
      </c>
      <c r="N231" s="4">
        <f ca="1">DATEDIF(O231,TODAY(),"Y")</f>
        <v>27</v>
      </c>
      <c r="O231" s="5">
        <v>36288</v>
      </c>
      <c r="P231" s="2" t="s">
        <v>119</v>
      </c>
      <c r="Q231" s="2" t="s">
        <v>91</v>
      </c>
      <c r="R231" s="6">
        <v>29700</v>
      </c>
      <c r="S231" s="6">
        <v>12000</v>
      </c>
      <c r="T231" s="7" t="s">
        <v>49</v>
      </c>
      <c r="U231" s="2">
        <v>37</v>
      </c>
      <c r="V231" s="2" t="str">
        <f>IF(Tabela1[[#This Row],[qtde_batalhas]]&lt;=10,"Baixo",IF(Tabela1[[#This Row],[qtde_batalhas]]&lt;=25,"Médio","Alto"))</f>
        <v>Alto</v>
      </c>
      <c r="W231" s="2" t="s">
        <v>49</v>
      </c>
      <c r="X231" s="6">
        <v>49000</v>
      </c>
      <c r="Y231" s="2" t="str">
        <f t="shared" si="24"/>
        <v>Aprovado</v>
      </c>
      <c r="Z231" s="1" t="str">
        <f t="shared" si="25"/>
        <v>Aprovado</v>
      </c>
      <c r="AA231" s="26">
        <f t="shared" si="26"/>
        <v>52920</v>
      </c>
    </row>
    <row r="232" spans="1:27">
      <c r="A232" s="16">
        <f ca="1">YEAR(TODAY())-Tabela1[[#This Row],[idade]]</f>
        <v>2001</v>
      </c>
      <c r="B232" s="1">
        <f t="shared" ca="1" si="32"/>
        <v>25</v>
      </c>
      <c r="C232" s="1" t="str">
        <f>PROPER(Tabela1[[#This Row],[nome]])</f>
        <v>Robb Greyjoy</v>
      </c>
      <c r="D232" s="1" t="str">
        <f t="shared" si="28"/>
        <v>000.000.227-00</v>
      </c>
      <c r="G232" s="26">
        <f t="shared" si="29"/>
        <v>25400</v>
      </c>
      <c r="H232" s="26">
        <f t="shared" si="30"/>
        <v>4000</v>
      </c>
      <c r="I232" s="1" t="str">
        <f t="shared" si="31"/>
        <v>Não</v>
      </c>
      <c r="K232" s="2" t="s">
        <v>23</v>
      </c>
      <c r="L232" s="2" t="s">
        <v>544</v>
      </c>
      <c r="M232" s="3" t="s">
        <v>545</v>
      </c>
      <c r="N232" s="4">
        <f ca="1">DATEDIF(O232,TODAY(),"Y")</f>
        <v>25</v>
      </c>
      <c r="O232" s="5">
        <v>37056</v>
      </c>
      <c r="P232" s="2" t="s">
        <v>111</v>
      </c>
      <c r="Q232" s="2" t="s">
        <v>91</v>
      </c>
      <c r="R232" s="6">
        <v>25400</v>
      </c>
      <c r="S232" s="6">
        <v>4000</v>
      </c>
      <c r="T232" s="7" t="s">
        <v>49</v>
      </c>
      <c r="U232" s="2">
        <v>4</v>
      </c>
      <c r="V232" s="2" t="str">
        <f>IF(Tabela1[[#This Row],[qtde_batalhas]]&lt;=10,"Baixo",IF(Tabela1[[#This Row],[qtde_batalhas]]&lt;=25,"Médio","Alto"))</f>
        <v>Baixo</v>
      </c>
      <c r="W232" s="2" t="s">
        <v>49</v>
      </c>
      <c r="X232" s="6">
        <v>8500</v>
      </c>
      <c r="Y232" s="2" t="str">
        <f t="shared" si="24"/>
        <v>Aprovado</v>
      </c>
      <c r="Z232" s="1" t="str">
        <f t="shared" si="25"/>
        <v>Aprovado</v>
      </c>
      <c r="AA232" s="26">
        <f t="shared" si="26"/>
        <v>9180</v>
      </c>
    </row>
    <row r="233" spans="1:27">
      <c r="A233" s="16">
        <f ca="1">YEAR(TODAY())-Tabela1[[#This Row],[idade]]</f>
        <v>1956</v>
      </c>
      <c r="B233" s="1">
        <f t="shared" ca="1" si="32"/>
        <v>70</v>
      </c>
      <c r="C233" s="1" t="str">
        <f>PROPER(Tabela1[[#This Row],[nome]])</f>
        <v>Yara  Marbrand</v>
      </c>
      <c r="D233" s="1" t="str">
        <f t="shared" si="28"/>
        <v>000.000.266-00</v>
      </c>
      <c r="G233" s="26">
        <f t="shared" si="29"/>
        <v>9100</v>
      </c>
      <c r="H233" s="26">
        <f t="shared" si="30"/>
        <v>40500</v>
      </c>
      <c r="I233" s="1" t="str">
        <f t="shared" si="31"/>
        <v>Não</v>
      </c>
      <c r="K233" s="2" t="s">
        <v>23</v>
      </c>
      <c r="L233" s="2" t="s">
        <v>843</v>
      </c>
      <c r="M233" s="3" t="s">
        <v>547</v>
      </c>
      <c r="N233" s="4">
        <f ca="1">DATEDIF(O233,TODAY(),"Y")</f>
        <v>70</v>
      </c>
      <c r="O233" s="5">
        <v>20533</v>
      </c>
      <c r="P233" s="2" t="s">
        <v>194</v>
      </c>
      <c r="Q233" s="2" t="s">
        <v>408</v>
      </c>
      <c r="R233" s="6">
        <v>9100</v>
      </c>
      <c r="S233" s="6">
        <v>40500</v>
      </c>
      <c r="T233" s="7" t="s">
        <v>49</v>
      </c>
      <c r="U233" s="2">
        <v>35</v>
      </c>
      <c r="V233" s="2" t="str">
        <f>IF(Tabela1[[#This Row],[qtde_batalhas]]&lt;=10,"Baixo",IF(Tabela1[[#This Row],[qtde_batalhas]]&lt;=25,"Médio","Alto"))</f>
        <v>Alto</v>
      </c>
      <c r="W233" s="2" t="s">
        <v>49</v>
      </c>
      <c r="X233" s="6">
        <v>53000</v>
      </c>
      <c r="Y233" s="2" t="str">
        <f t="shared" si="24"/>
        <v>Aprovado</v>
      </c>
      <c r="Z233" s="1" t="str">
        <f t="shared" si="25"/>
        <v>Aprovado</v>
      </c>
      <c r="AA233" s="26">
        <f t="shared" si="26"/>
        <v>57240.000000000007</v>
      </c>
    </row>
    <row r="234" spans="1:27">
      <c r="A234" s="16">
        <f ca="1">YEAR(TODAY())-Tabela1[[#This Row],[idade]]</f>
        <v>1969</v>
      </c>
      <c r="B234" s="1">
        <f t="shared" ca="1" si="32"/>
        <v>57</v>
      </c>
      <c r="C234" s="1" t="str">
        <f>PROPER(Tabela1[[#This Row],[nome]])</f>
        <v>Cersei  Marbrand</v>
      </c>
      <c r="D234" s="1" t="str">
        <f t="shared" si="28"/>
        <v>000.000.158-00</v>
      </c>
      <c r="G234" s="26">
        <f t="shared" si="29"/>
        <v>9500</v>
      </c>
      <c r="H234" s="26">
        <f t="shared" si="30"/>
        <v>58000</v>
      </c>
      <c r="I234" s="1" t="str">
        <f t="shared" si="31"/>
        <v>Não</v>
      </c>
      <c r="K234" s="2" t="s">
        <v>29</v>
      </c>
      <c r="L234" s="2" t="s">
        <v>844</v>
      </c>
      <c r="M234" s="3" t="s">
        <v>549</v>
      </c>
      <c r="N234" s="4">
        <f ca="1">DATEDIF(O234,TODAY(),"Y")</f>
        <v>57</v>
      </c>
      <c r="O234" s="5">
        <v>25324</v>
      </c>
      <c r="P234" s="2" t="s">
        <v>103</v>
      </c>
      <c r="Q234" s="2" t="s">
        <v>91</v>
      </c>
      <c r="R234" s="6">
        <v>9500</v>
      </c>
      <c r="S234" s="6">
        <v>58000</v>
      </c>
      <c r="T234" s="7" t="s">
        <v>140</v>
      </c>
      <c r="U234" s="2">
        <v>23</v>
      </c>
      <c r="V234" s="2" t="str">
        <f>IF(Tabela1[[#This Row],[qtde_batalhas]]&lt;=10,"Baixo",IF(Tabela1[[#This Row],[qtde_batalhas]]&lt;=25,"Médio","Alto"))</f>
        <v>Médio</v>
      </c>
      <c r="W234" s="2" t="s">
        <v>140</v>
      </c>
      <c r="X234" s="6">
        <v>81500</v>
      </c>
      <c r="Y234" s="2" t="str">
        <f t="shared" si="24"/>
        <v>Aprovado</v>
      </c>
      <c r="Z234" s="1" t="str">
        <f t="shared" si="25"/>
        <v>Aprovado</v>
      </c>
      <c r="AA234" s="26">
        <f t="shared" si="26"/>
        <v>0</v>
      </c>
    </row>
    <row r="235" spans="1:27">
      <c r="A235" s="16">
        <f ca="1">YEAR(TODAY())-Tabela1[[#This Row],[idade]]</f>
        <v>1968</v>
      </c>
      <c r="B235" s="1">
        <f t="shared" ca="1" si="32"/>
        <v>58</v>
      </c>
      <c r="C235" s="1" t="str">
        <f>PROPER(Tabela1[[#This Row],[nome]])</f>
        <v>Melisandre Baratheon</v>
      </c>
      <c r="D235" s="1" t="str">
        <f t="shared" si="28"/>
        <v>000.000.020-00</v>
      </c>
      <c r="G235" s="26">
        <f t="shared" si="29"/>
        <v>4500</v>
      </c>
      <c r="H235" s="26">
        <f t="shared" si="30"/>
        <v>20000</v>
      </c>
      <c r="I235" s="1" t="str">
        <f t="shared" si="31"/>
        <v>Sim</v>
      </c>
      <c r="K235" s="2" t="s">
        <v>29</v>
      </c>
      <c r="L235" s="2" t="s">
        <v>550</v>
      </c>
      <c r="M235" s="3" t="s">
        <v>551</v>
      </c>
      <c r="N235" s="4">
        <f ca="1">DATEDIF(O235,TODAY(),"Y")</f>
        <v>58</v>
      </c>
      <c r="O235" s="5">
        <v>25054</v>
      </c>
      <c r="P235" s="2" t="s">
        <v>174</v>
      </c>
      <c r="Q235" s="2" t="s">
        <v>38</v>
      </c>
      <c r="R235" s="6">
        <v>4500</v>
      </c>
      <c r="S235" s="6">
        <v>20000</v>
      </c>
      <c r="T235" s="7" t="s">
        <v>28</v>
      </c>
      <c r="U235" s="2">
        <v>9</v>
      </c>
      <c r="V235" s="2" t="str">
        <f>IF(Tabela1[[#This Row],[qtde_batalhas]]&lt;=10,"Baixo",IF(Tabela1[[#This Row],[qtde_batalhas]]&lt;=25,"Médio","Alto"))</f>
        <v>Baixo</v>
      </c>
      <c r="W235" s="2" t="s">
        <v>28</v>
      </c>
      <c r="X235" s="6">
        <v>49000</v>
      </c>
      <c r="Y235" s="2" t="str">
        <f t="shared" si="24"/>
        <v>Aprovado</v>
      </c>
      <c r="Z235" s="1" t="str">
        <f t="shared" si="25"/>
        <v>Aprovado</v>
      </c>
      <c r="AA235" s="26">
        <f t="shared" si="26"/>
        <v>0</v>
      </c>
    </row>
    <row r="236" spans="1:27">
      <c r="A236" s="16">
        <f ca="1">YEAR(TODAY())-Tabela1[[#This Row],[idade]]</f>
        <v>1969</v>
      </c>
      <c r="B236" s="1">
        <f t="shared" ca="1" si="32"/>
        <v>57</v>
      </c>
      <c r="C236" s="1" t="str">
        <f>PROPER(Tabela1[[#This Row],[nome]])</f>
        <v>Yara Tallhart</v>
      </c>
      <c r="D236" s="1" t="str">
        <f t="shared" si="28"/>
        <v>-</v>
      </c>
      <c r="G236" s="26">
        <f t="shared" si="29"/>
        <v>3400</v>
      </c>
      <c r="H236" s="26">
        <f t="shared" si="30"/>
        <v>0</v>
      </c>
      <c r="I236" s="1" t="str">
        <f t="shared" si="31"/>
        <v>Não</v>
      </c>
      <c r="K236" s="2" t="s">
        <v>29</v>
      </c>
      <c r="L236" s="2" t="s">
        <v>552</v>
      </c>
      <c r="M236" s="3">
        <v>6400</v>
      </c>
      <c r="N236" s="4">
        <f ca="1">DATEDIF(O236,TODAY(),"Y")</f>
        <v>57</v>
      </c>
      <c r="O236" s="5">
        <v>25206</v>
      </c>
      <c r="P236" s="2" t="s">
        <v>87</v>
      </c>
      <c r="Q236" s="2" t="s">
        <v>818</v>
      </c>
      <c r="R236" s="6">
        <v>3400</v>
      </c>
      <c r="S236" s="6">
        <v>0</v>
      </c>
      <c r="T236" s="7" t="s">
        <v>49</v>
      </c>
      <c r="U236" s="2">
        <v>20</v>
      </c>
      <c r="V236" s="2" t="str">
        <f>IF(Tabela1[[#This Row],[qtde_batalhas]]&lt;=10,"Baixo",IF(Tabela1[[#This Row],[qtde_batalhas]]&lt;=25,"Médio","Alto"))</f>
        <v>Médio</v>
      </c>
      <c r="W236" s="2" t="s">
        <v>49</v>
      </c>
      <c r="X236" s="6">
        <v>19500</v>
      </c>
      <c r="Y236" s="2" t="str">
        <f t="shared" si="24"/>
        <v>Aprovado</v>
      </c>
      <c r="Z236" s="1" t="str">
        <f t="shared" si="25"/>
        <v>Aprovado</v>
      </c>
      <c r="AA236" s="26">
        <f t="shared" si="26"/>
        <v>0</v>
      </c>
    </row>
    <row r="237" spans="1:27">
      <c r="A237" s="16">
        <f ca="1">YEAR(TODAY())-Tabela1[[#This Row],[idade]]</f>
        <v>1961</v>
      </c>
      <c r="B237" s="1">
        <f t="shared" ca="1" si="32"/>
        <v>65</v>
      </c>
      <c r="C237" s="1" t="str">
        <f>PROPER(Tabela1[[#This Row],[nome]])</f>
        <v>Gilly Mormont</v>
      </c>
      <c r="D237" s="1" t="str">
        <f t="shared" si="28"/>
        <v>000.000.220-00</v>
      </c>
      <c r="G237" s="26">
        <f t="shared" si="29"/>
        <v>18000</v>
      </c>
      <c r="H237" s="26">
        <f t="shared" si="30"/>
        <v>0</v>
      </c>
      <c r="I237" s="1" t="str">
        <f t="shared" si="31"/>
        <v>Não</v>
      </c>
      <c r="K237" s="2" t="s">
        <v>23</v>
      </c>
      <c r="L237" s="2" t="s">
        <v>553</v>
      </c>
      <c r="M237" s="3" t="s">
        <v>554</v>
      </c>
      <c r="N237" s="4">
        <f ca="1">DATEDIF(O237,TODAY(),"Y")</f>
        <v>65</v>
      </c>
      <c r="O237" s="5">
        <v>22366</v>
      </c>
      <c r="P237" s="2" t="s">
        <v>122</v>
      </c>
      <c r="Q237" s="2" t="s">
        <v>98</v>
      </c>
      <c r="R237" s="6">
        <v>18000</v>
      </c>
      <c r="S237" s="6">
        <v>0</v>
      </c>
      <c r="T237" s="7" t="s">
        <v>49</v>
      </c>
      <c r="U237" s="2">
        <v>27</v>
      </c>
      <c r="V237" s="2" t="str">
        <f>IF(Tabela1[[#This Row],[qtde_batalhas]]&lt;=10,"Baixo",IF(Tabela1[[#This Row],[qtde_batalhas]]&lt;=25,"Médio","Alto"))</f>
        <v>Alto</v>
      </c>
      <c r="W237" s="2" t="s">
        <v>49</v>
      </c>
      <c r="X237" s="6">
        <v>38500</v>
      </c>
      <c r="Y237" s="2" t="str">
        <f t="shared" si="24"/>
        <v>Aprovado</v>
      </c>
      <c r="Z237" s="1" t="str">
        <f t="shared" si="25"/>
        <v>Aprovado</v>
      </c>
      <c r="AA237" s="26">
        <f t="shared" si="26"/>
        <v>41580</v>
      </c>
    </row>
    <row r="238" spans="1:27">
      <c r="A238" s="16">
        <f ca="1">YEAR(TODAY())-Tabela1[[#This Row],[idade]]</f>
        <v>1987</v>
      </c>
      <c r="B238" s="1">
        <f t="shared" ca="1" si="32"/>
        <v>39</v>
      </c>
      <c r="C238" s="1" t="str">
        <f>PROPER(Tabela1[[#This Row],[nome]])</f>
        <v>Brienne Dondarrion</v>
      </c>
      <c r="D238" s="1" t="str">
        <f t="shared" si="28"/>
        <v>000.000.256-00</v>
      </c>
      <c r="G238" s="26">
        <f t="shared" si="29"/>
        <v>9300</v>
      </c>
      <c r="H238" s="26">
        <f t="shared" si="30"/>
        <v>36500</v>
      </c>
      <c r="I238" s="1" t="str">
        <f t="shared" si="31"/>
        <v>Não</v>
      </c>
      <c r="K238" s="2" t="s">
        <v>23</v>
      </c>
      <c r="L238" s="2" t="s">
        <v>555</v>
      </c>
      <c r="M238" s="3" t="s">
        <v>556</v>
      </c>
      <c r="N238" s="4">
        <f ca="1">DATEDIF(O238,TODAY(),"Y")</f>
        <v>39</v>
      </c>
      <c r="O238" s="5">
        <v>31814</v>
      </c>
      <c r="P238" s="2" t="s">
        <v>103</v>
      </c>
      <c r="Q238" s="2" t="s">
        <v>91</v>
      </c>
      <c r="R238" s="6">
        <v>9300</v>
      </c>
      <c r="S238" s="6">
        <v>36500</v>
      </c>
      <c r="T238" s="7" t="s">
        <v>49</v>
      </c>
      <c r="V238" s="2" t="str">
        <f>IF(Tabela1[[#This Row],[qtde_batalhas]]&lt;=10,"Baixo",IF(Tabela1[[#This Row],[qtde_batalhas]]&lt;=25,"Médio","Alto"))</f>
        <v>Baixo</v>
      </c>
      <c r="W238" s="2" t="s">
        <v>49</v>
      </c>
      <c r="X238" s="6">
        <v>3000</v>
      </c>
      <c r="Y238" s="2" t="str">
        <f t="shared" si="24"/>
        <v>Aprovado</v>
      </c>
      <c r="Z238" s="1" t="str">
        <f t="shared" si="25"/>
        <v>Aprovado</v>
      </c>
      <c r="AA238" s="26">
        <f t="shared" si="26"/>
        <v>3240</v>
      </c>
    </row>
    <row r="239" spans="1:27">
      <c r="A239" s="16">
        <f ca="1">YEAR(TODAY())-Tabela1[[#This Row],[idade]]</f>
        <v>1964</v>
      </c>
      <c r="B239" s="1">
        <f t="shared" ca="1" si="32"/>
        <v>63</v>
      </c>
      <c r="C239" s="1" t="str">
        <f>PROPER(Tabela1[[#This Row],[nome]])</f>
        <v>Missandei Glover</v>
      </c>
      <c r="D239" s="1" t="str">
        <f t="shared" si="28"/>
        <v>-</v>
      </c>
      <c r="G239" s="26">
        <f t="shared" si="29"/>
        <v>17000</v>
      </c>
      <c r="H239" s="26">
        <f t="shared" si="30"/>
        <v>64000</v>
      </c>
      <c r="I239" s="1" t="str">
        <f t="shared" si="31"/>
        <v>Sim</v>
      </c>
      <c r="K239" s="2" t="s">
        <v>23</v>
      </c>
      <c r="L239" s="2" t="s">
        <v>557</v>
      </c>
      <c r="M239" s="3">
        <v>30500</v>
      </c>
      <c r="N239" s="4">
        <f ca="1">DATEDIF(O239,TODAY(),"Y")</f>
        <v>62</v>
      </c>
      <c r="O239" s="5">
        <v>23278</v>
      </c>
      <c r="P239" s="2" t="s">
        <v>90</v>
      </c>
      <c r="Q239" s="2" t="s">
        <v>91</v>
      </c>
      <c r="R239" s="6">
        <v>17000</v>
      </c>
      <c r="S239" s="6">
        <v>64000</v>
      </c>
      <c r="T239" s="7" t="s">
        <v>28</v>
      </c>
      <c r="U239" s="2">
        <v>21</v>
      </c>
      <c r="V239" s="2" t="str">
        <f>IF(Tabela1[[#This Row],[qtde_batalhas]]&lt;=10,"Baixo",IF(Tabela1[[#This Row],[qtde_batalhas]]&lt;=25,"Médio","Alto"))</f>
        <v>Médio</v>
      </c>
      <c r="W239" s="2" t="s">
        <v>28</v>
      </c>
      <c r="X239" s="6">
        <v>19000</v>
      </c>
      <c r="Y239" s="2" t="str">
        <f t="shared" si="24"/>
        <v>Aprovado</v>
      </c>
      <c r="Z239" s="1" t="str">
        <f t="shared" si="25"/>
        <v>Negado</v>
      </c>
      <c r="AA239" s="26">
        <f t="shared" si="26"/>
        <v>0</v>
      </c>
    </row>
    <row r="240" spans="1:27">
      <c r="A240" s="16">
        <f ca="1">YEAR(TODAY())-Tabela1[[#This Row],[idade]]</f>
        <v>1957</v>
      </c>
      <c r="B240" s="1">
        <f t="shared" ca="1" si="32"/>
        <v>69</v>
      </c>
      <c r="C240" s="1" t="str">
        <f>PROPER(Tabela1[[#This Row],[nome]])</f>
        <v>Bronn Manderly</v>
      </c>
      <c r="D240" s="1" t="str">
        <f t="shared" si="28"/>
        <v>000.000.074-00</v>
      </c>
      <c r="G240" s="26">
        <f t="shared" si="29"/>
        <v>16000</v>
      </c>
      <c r="H240" s="26">
        <f t="shared" si="30"/>
        <v>48000</v>
      </c>
      <c r="I240" s="1" t="str">
        <f t="shared" si="31"/>
        <v>Não</v>
      </c>
      <c r="K240" s="2" t="s">
        <v>29</v>
      </c>
      <c r="L240" s="2" t="s">
        <v>558</v>
      </c>
      <c r="M240" s="3" t="s">
        <v>559</v>
      </c>
      <c r="N240" s="4">
        <f ca="1">DATEDIF(O240,TODAY(),"Y")</f>
        <v>69</v>
      </c>
      <c r="O240" s="5">
        <v>20785</v>
      </c>
      <c r="P240" s="2" t="s">
        <v>90</v>
      </c>
      <c r="Q240" s="2" t="s">
        <v>91</v>
      </c>
      <c r="R240" s="6">
        <v>16000</v>
      </c>
      <c r="S240" s="6">
        <v>48000</v>
      </c>
      <c r="T240" s="7" t="s">
        <v>49</v>
      </c>
      <c r="U240" s="2">
        <v>29</v>
      </c>
      <c r="V240" s="2" t="str">
        <f>IF(Tabela1[[#This Row],[qtde_batalhas]]&lt;=10,"Baixo",IF(Tabela1[[#This Row],[qtde_batalhas]]&lt;=25,"Médio","Alto"))</f>
        <v>Alto</v>
      </c>
      <c r="W240" s="2" t="s">
        <v>49</v>
      </c>
      <c r="X240" s="6">
        <v>74500</v>
      </c>
      <c r="Y240" s="2" t="str">
        <f t="shared" si="24"/>
        <v>Aprovado</v>
      </c>
      <c r="Z240" s="1" t="str">
        <f t="shared" si="25"/>
        <v>Aprovado</v>
      </c>
      <c r="AA240" s="26">
        <f t="shared" si="26"/>
        <v>0</v>
      </c>
    </row>
    <row r="241" spans="1:27">
      <c r="A241" s="16">
        <f ca="1">YEAR(TODAY())-Tabela1[[#This Row],[idade]]</f>
        <v>1971</v>
      </c>
      <c r="B241" s="1">
        <f t="shared" ca="1" si="32"/>
        <v>55</v>
      </c>
      <c r="C241" s="1" t="str">
        <f>PROPER(Tabela1[[#This Row],[nome]])</f>
        <v>Aegon Florent</v>
      </c>
      <c r="D241" s="1" t="str">
        <f t="shared" si="28"/>
        <v>-</v>
      </c>
      <c r="G241" s="26">
        <f t="shared" si="29"/>
        <v>6800</v>
      </c>
      <c r="H241" s="26">
        <f t="shared" si="30"/>
        <v>12000</v>
      </c>
      <c r="I241" s="1" t="str">
        <f t="shared" si="31"/>
        <v>Não</v>
      </c>
      <c r="K241" s="2" t="s">
        <v>29</v>
      </c>
      <c r="L241" s="2" t="s">
        <v>560</v>
      </c>
      <c r="M241" s="3">
        <v>27100</v>
      </c>
      <c r="N241" s="4">
        <f ca="1">DATEDIF(O241,TODAY(),"Y")</f>
        <v>55</v>
      </c>
      <c r="O241" s="5">
        <v>25895</v>
      </c>
      <c r="P241" s="2" t="s">
        <v>70</v>
      </c>
      <c r="Q241" s="2" t="s">
        <v>71</v>
      </c>
      <c r="R241" s="6">
        <v>6800</v>
      </c>
      <c r="S241" s="6">
        <v>12000</v>
      </c>
      <c r="T241" s="7" t="s">
        <v>49</v>
      </c>
      <c r="U241" s="2">
        <v>6</v>
      </c>
      <c r="V241" s="2" t="str">
        <f>IF(Tabela1[[#This Row],[qtde_batalhas]]&lt;=10,"Baixo",IF(Tabela1[[#This Row],[qtde_batalhas]]&lt;=25,"Médio","Alto"))</f>
        <v>Baixo</v>
      </c>
      <c r="W241" s="2" t="s">
        <v>49</v>
      </c>
      <c r="X241" s="6">
        <v>11000</v>
      </c>
      <c r="Y241" s="2" t="str">
        <f t="shared" si="24"/>
        <v>Aprovado</v>
      </c>
      <c r="Z241" s="1" t="str">
        <f t="shared" si="25"/>
        <v>Aprovado</v>
      </c>
      <c r="AA241" s="26">
        <f t="shared" si="26"/>
        <v>0</v>
      </c>
    </row>
    <row r="242" spans="1:27">
      <c r="A242" s="16">
        <f ca="1">YEAR(TODAY())-Tabela1[[#This Row],[idade]]</f>
        <v>2001</v>
      </c>
      <c r="B242" s="1">
        <f t="shared" ca="1" si="32"/>
        <v>25</v>
      </c>
      <c r="C242" s="1" t="str">
        <f>PROPER(Tabela1[[#This Row],[nome]])</f>
        <v>Ilhasario  Ilhasyne</v>
      </c>
      <c r="D242" s="1" t="str">
        <f t="shared" si="28"/>
        <v>000.000.144-00</v>
      </c>
      <c r="G242" s="26">
        <f t="shared" si="29"/>
        <v>28200</v>
      </c>
      <c r="H242" s="26">
        <f t="shared" si="30"/>
        <v>0</v>
      </c>
      <c r="I242" s="1" t="str">
        <f t="shared" si="31"/>
        <v>Não</v>
      </c>
      <c r="K242" s="2" t="s">
        <v>23</v>
      </c>
      <c r="L242" s="2" t="s">
        <v>845</v>
      </c>
      <c r="M242" s="3" t="s">
        <v>562</v>
      </c>
      <c r="N242" s="4">
        <f ca="1">DATEDIF(O242,TODAY(),"Y")</f>
        <v>25</v>
      </c>
      <c r="O242" s="5">
        <v>37026</v>
      </c>
      <c r="P242" s="2" t="s">
        <v>254</v>
      </c>
      <c r="Q242" s="2" t="s">
        <v>32</v>
      </c>
      <c r="R242" s="6">
        <v>28200</v>
      </c>
      <c r="S242" s="6">
        <v>0</v>
      </c>
      <c r="T242" s="7" t="s">
        <v>49</v>
      </c>
      <c r="U242" s="2">
        <v>29</v>
      </c>
      <c r="V242" s="2" t="str">
        <f>IF(Tabela1[[#This Row],[qtde_batalhas]]&lt;=10,"Baixo",IF(Tabela1[[#This Row],[qtde_batalhas]]&lt;=25,"Médio","Alto"))</f>
        <v>Alto</v>
      </c>
      <c r="W242" s="2" t="s">
        <v>49</v>
      </c>
      <c r="X242" s="6">
        <v>92500</v>
      </c>
      <c r="Y242" s="2" t="str">
        <f t="shared" si="24"/>
        <v>Aprovado</v>
      </c>
      <c r="Z242" s="1" t="str">
        <f t="shared" si="25"/>
        <v>Aprovado</v>
      </c>
      <c r="AA242" s="26">
        <f t="shared" si="26"/>
        <v>99900</v>
      </c>
    </row>
    <row r="243" spans="1:27">
      <c r="A243" s="16">
        <f ca="1">YEAR(TODAY())-Tabela1[[#This Row],[idade]]</f>
        <v>1994</v>
      </c>
      <c r="B243" s="1">
        <f t="shared" ca="1" si="32"/>
        <v>32</v>
      </c>
      <c r="C243" s="1" t="str">
        <f>PROPER(Tabela1[[#This Row],[nome]])</f>
        <v>Roose Cerwyn</v>
      </c>
      <c r="D243" s="1" t="str">
        <f t="shared" si="28"/>
        <v>-</v>
      </c>
      <c r="G243" s="26">
        <f t="shared" si="29"/>
        <v>20500</v>
      </c>
      <c r="H243" s="26">
        <f t="shared" si="30"/>
        <v>0</v>
      </c>
      <c r="I243" s="1" t="str">
        <f t="shared" si="31"/>
        <v>Não</v>
      </c>
      <c r="K243" s="2" t="s">
        <v>29</v>
      </c>
      <c r="L243" s="2" t="s">
        <v>316</v>
      </c>
      <c r="M243" s="3">
        <v>34900</v>
      </c>
      <c r="N243" s="4">
        <f ca="1">DATEDIF(O243,TODAY(),"Y")</f>
        <v>32</v>
      </c>
      <c r="O243" s="5">
        <v>34387</v>
      </c>
      <c r="P243" s="2" t="s">
        <v>90</v>
      </c>
      <c r="Q243" s="2" t="s">
        <v>91</v>
      </c>
      <c r="R243" s="6">
        <v>20500</v>
      </c>
      <c r="S243" s="6">
        <v>0</v>
      </c>
      <c r="T243" s="7" t="s">
        <v>49</v>
      </c>
      <c r="U243" s="2">
        <v>41</v>
      </c>
      <c r="V243" s="2" t="str">
        <f>IF(Tabela1[[#This Row],[qtde_batalhas]]&lt;=10,"Baixo",IF(Tabela1[[#This Row],[qtde_batalhas]]&lt;=25,"Médio","Alto"))</f>
        <v>Alto</v>
      </c>
      <c r="W243" s="2" t="s">
        <v>49</v>
      </c>
      <c r="X243" s="6">
        <v>54500</v>
      </c>
      <c r="Y243" s="2" t="str">
        <f t="shared" si="24"/>
        <v>Aprovado</v>
      </c>
      <c r="Z243" s="1" t="str">
        <f t="shared" si="25"/>
        <v>Aprovado</v>
      </c>
      <c r="AA243" s="26">
        <f t="shared" si="26"/>
        <v>0</v>
      </c>
    </row>
    <row r="244" spans="1:27">
      <c r="A244" s="16">
        <f ca="1">YEAR(TODAY())-Tabela1[[#This Row],[idade]]</f>
        <v>1973</v>
      </c>
      <c r="B244" s="1">
        <f t="shared" ca="1" si="32"/>
        <v>53</v>
      </c>
      <c r="C244" s="1" t="str">
        <f>PROPER(Tabela1[[#This Row],[nome]])</f>
        <v>Roose Dondarrion</v>
      </c>
      <c r="D244" s="1" t="str">
        <f t="shared" si="28"/>
        <v>000.000.126-00</v>
      </c>
      <c r="G244" s="26">
        <f t="shared" si="29"/>
        <v>21300</v>
      </c>
      <c r="H244" s="26">
        <f t="shared" si="30"/>
        <v>79500</v>
      </c>
      <c r="I244" s="1" t="str">
        <f t="shared" si="31"/>
        <v>Não</v>
      </c>
      <c r="K244" s="2" t="s">
        <v>23</v>
      </c>
      <c r="L244" s="2" t="s">
        <v>564</v>
      </c>
      <c r="M244" s="3" t="s">
        <v>565</v>
      </c>
      <c r="N244" s="4">
        <f ca="1">DATEDIF(O244,TODAY(),"Y")</f>
        <v>53</v>
      </c>
      <c r="O244" s="5">
        <v>26620</v>
      </c>
      <c r="P244" s="2" t="s">
        <v>26</v>
      </c>
      <c r="Q244" s="2" t="s">
        <v>27</v>
      </c>
      <c r="R244" s="6">
        <v>21300</v>
      </c>
      <c r="S244" s="6">
        <v>79500</v>
      </c>
      <c r="T244" s="7" t="s">
        <v>49</v>
      </c>
      <c r="U244" s="2">
        <v>18</v>
      </c>
      <c r="V244" s="2" t="str">
        <f>IF(Tabela1[[#This Row],[qtde_batalhas]]&lt;=10,"Baixo",IF(Tabela1[[#This Row],[qtde_batalhas]]&lt;=25,"Médio","Alto"))</f>
        <v>Médio</v>
      </c>
      <c r="W244" s="2" t="s">
        <v>49</v>
      </c>
      <c r="X244" s="6">
        <v>19000</v>
      </c>
      <c r="Y244" s="2" t="str">
        <f t="shared" si="24"/>
        <v>Aprovado</v>
      </c>
      <c r="Z244" s="1" t="str">
        <f t="shared" si="25"/>
        <v>Aprovado</v>
      </c>
      <c r="AA244" s="26">
        <f t="shared" si="26"/>
        <v>20520</v>
      </c>
    </row>
    <row r="245" spans="1:27">
      <c r="A245" s="16">
        <f ca="1">YEAR(TODAY())-Tabela1[[#This Row],[idade]]</f>
        <v>1957</v>
      </c>
      <c r="B245" s="1">
        <f t="shared" ca="1" si="32"/>
        <v>69</v>
      </c>
      <c r="C245" s="1" t="str">
        <f>PROPER(Tabela1[[#This Row],[nome]])</f>
        <v>Stannis Greyjoy</v>
      </c>
      <c r="D245" s="1" t="str">
        <f t="shared" si="28"/>
        <v>000.000.236-00</v>
      </c>
      <c r="G245" s="26">
        <f t="shared" si="29"/>
        <v>13800</v>
      </c>
      <c r="H245" s="26">
        <f t="shared" si="30"/>
        <v>62000</v>
      </c>
      <c r="I245" s="1" t="str">
        <f t="shared" si="31"/>
        <v>Não</v>
      </c>
      <c r="K245" s="2" t="s">
        <v>23</v>
      </c>
      <c r="L245" s="2" t="s">
        <v>566</v>
      </c>
      <c r="M245" s="3" t="s">
        <v>567</v>
      </c>
      <c r="N245" s="4">
        <f ca="1">DATEDIF(O245,TODAY(),"Y")</f>
        <v>69</v>
      </c>
      <c r="O245" s="5">
        <v>20943</v>
      </c>
      <c r="P245" s="2" t="s">
        <v>837</v>
      </c>
      <c r="Q245" s="2" t="s">
        <v>838</v>
      </c>
      <c r="R245" s="6">
        <v>13800</v>
      </c>
      <c r="S245" s="6">
        <v>62000</v>
      </c>
      <c r="T245" s="7" t="s">
        <v>49</v>
      </c>
      <c r="U245" s="2">
        <v>31</v>
      </c>
      <c r="V245" s="2" t="str">
        <f>IF(Tabela1[[#This Row],[qtde_batalhas]]&lt;=10,"Baixo",IF(Tabela1[[#This Row],[qtde_batalhas]]&lt;=25,"Médio","Alto"))</f>
        <v>Alto</v>
      </c>
      <c r="W245" s="2" t="s">
        <v>49</v>
      </c>
      <c r="X245" s="6">
        <v>60500</v>
      </c>
      <c r="Y245" s="2" t="str">
        <f t="shared" si="24"/>
        <v>Aprovado</v>
      </c>
      <c r="Z245" s="1" t="str">
        <f t="shared" si="25"/>
        <v>Aprovado</v>
      </c>
      <c r="AA245" s="26">
        <f t="shared" si="26"/>
        <v>65340.000000000007</v>
      </c>
    </row>
    <row r="246" spans="1:27">
      <c r="A246" s="16">
        <f ca="1">YEAR(TODAY())-Tabela1[[#This Row],[idade]]</f>
        <v>1999</v>
      </c>
      <c r="B246" s="1">
        <f t="shared" ca="1" si="32"/>
        <v>27</v>
      </c>
      <c r="C246" s="1" t="str">
        <f>PROPER(Tabela1[[#This Row],[nome]])</f>
        <v>Thoros Greyjoy</v>
      </c>
      <c r="D246" s="1" t="str">
        <f t="shared" si="28"/>
        <v>000.000.043-00</v>
      </c>
      <c r="G246" s="26">
        <f t="shared" si="29"/>
        <v>10700</v>
      </c>
      <c r="H246" s="26">
        <f t="shared" si="30"/>
        <v>60000</v>
      </c>
      <c r="I246" s="1" t="str">
        <f t="shared" si="31"/>
        <v>Não</v>
      </c>
      <c r="K246" s="2" t="s">
        <v>23</v>
      </c>
      <c r="L246" s="2" t="s">
        <v>568</v>
      </c>
      <c r="M246" s="3" t="s">
        <v>569</v>
      </c>
      <c r="N246" s="4">
        <f ca="1">DATEDIF(O246,TODAY(),"Y")</f>
        <v>27</v>
      </c>
      <c r="O246" s="5">
        <v>36316</v>
      </c>
      <c r="P246" s="2" t="s">
        <v>97</v>
      </c>
      <c r="Q246" s="2" t="s">
        <v>98</v>
      </c>
      <c r="R246" s="6">
        <v>10700</v>
      </c>
      <c r="S246" s="6">
        <v>60000</v>
      </c>
      <c r="T246" s="7" t="s">
        <v>49</v>
      </c>
      <c r="U246" s="2">
        <v>44</v>
      </c>
      <c r="V246" s="2" t="str">
        <f>IF(Tabela1[[#This Row],[qtde_batalhas]]&lt;=10,"Baixo",IF(Tabela1[[#This Row],[qtde_batalhas]]&lt;=25,"Médio","Alto"))</f>
        <v>Alto</v>
      </c>
      <c r="W246" s="2" t="s">
        <v>49</v>
      </c>
      <c r="X246" s="6">
        <v>48000</v>
      </c>
      <c r="Y246" s="2" t="str">
        <f t="shared" si="24"/>
        <v>Aprovado</v>
      </c>
      <c r="Z246" s="1" t="str">
        <f t="shared" si="25"/>
        <v>Aprovado</v>
      </c>
      <c r="AA246" s="26">
        <f t="shared" si="26"/>
        <v>51840</v>
      </c>
    </row>
    <row r="247" spans="1:27">
      <c r="A247" s="16">
        <f ca="1">YEAR(TODAY())-Tabela1[[#This Row],[idade]]</f>
        <v>1952</v>
      </c>
      <c r="B247" s="1">
        <f t="shared" ca="1" si="32"/>
        <v>74</v>
      </c>
      <c r="C247" s="1" t="str">
        <f>PROPER(Tabela1[[#This Row],[nome]])</f>
        <v>Thoros Crakehall</v>
      </c>
      <c r="D247" s="1" t="str">
        <f t="shared" si="28"/>
        <v>-</v>
      </c>
      <c r="G247" s="26">
        <f t="shared" si="29"/>
        <v>20700</v>
      </c>
      <c r="H247" s="26">
        <f t="shared" si="30"/>
        <v>17500</v>
      </c>
      <c r="I247" s="1" t="str">
        <f t="shared" si="31"/>
        <v>Não</v>
      </c>
      <c r="K247" s="2" t="s">
        <v>23</v>
      </c>
      <c r="L247" s="2" t="s">
        <v>571</v>
      </c>
      <c r="M247" s="3">
        <v>19300</v>
      </c>
      <c r="N247" s="4">
        <f ca="1">DATEDIF(O247,TODAY(),"Y")</f>
        <v>74</v>
      </c>
      <c r="O247" s="5">
        <v>19131</v>
      </c>
      <c r="P247" s="2" t="s">
        <v>174</v>
      </c>
      <c r="Q247" s="2" t="s">
        <v>814</v>
      </c>
      <c r="R247" s="6">
        <v>20700</v>
      </c>
      <c r="S247" s="6">
        <v>17500</v>
      </c>
      <c r="T247" s="7" t="s">
        <v>49</v>
      </c>
      <c r="U247" s="2">
        <v>35</v>
      </c>
      <c r="V247" s="2" t="str">
        <f>IF(Tabela1[[#This Row],[qtde_batalhas]]&lt;=10,"Baixo",IF(Tabela1[[#This Row],[qtde_batalhas]]&lt;=25,"Médio","Alto"))</f>
        <v>Alto</v>
      </c>
      <c r="W247" s="2" t="s">
        <v>49</v>
      </c>
      <c r="X247" s="6">
        <v>65000</v>
      </c>
      <c r="Y247" s="2" t="str">
        <f t="shared" si="24"/>
        <v>Aprovado</v>
      </c>
      <c r="Z247" s="1" t="str">
        <f t="shared" si="25"/>
        <v>Aprovado</v>
      </c>
      <c r="AA247" s="26">
        <f t="shared" si="26"/>
        <v>70200</v>
      </c>
    </row>
    <row r="248" spans="1:27">
      <c r="A248" s="16">
        <f ca="1">YEAR(TODAY())-Tabela1[[#This Row],[idade]]</f>
        <v>2007</v>
      </c>
      <c r="B248" s="1">
        <f t="shared" ca="1" si="32"/>
        <v>19</v>
      </c>
      <c r="C248" s="1" t="str">
        <f>PROPER(Tabela1[[#This Row],[nome]])</f>
        <v>Viserys  Umber</v>
      </c>
      <c r="D248" s="1" t="str">
        <f t="shared" si="28"/>
        <v>000.000.155-00</v>
      </c>
      <c r="G248" s="26">
        <f t="shared" si="29"/>
        <v>18000</v>
      </c>
      <c r="H248" s="26">
        <f t="shared" si="30"/>
        <v>49500</v>
      </c>
      <c r="I248" s="1" t="str">
        <f t="shared" si="31"/>
        <v>Não</v>
      </c>
      <c r="K248" s="2" t="s">
        <v>23</v>
      </c>
      <c r="L248" s="2" t="s">
        <v>846</v>
      </c>
      <c r="M248" s="3" t="s">
        <v>573</v>
      </c>
      <c r="N248" s="4">
        <f ca="1">DATEDIF(O248,TODAY(),"Y")</f>
        <v>19</v>
      </c>
      <c r="O248" s="5">
        <v>39230</v>
      </c>
      <c r="P248" s="2" t="s">
        <v>122</v>
      </c>
      <c r="Q248" s="2" t="s">
        <v>98</v>
      </c>
      <c r="R248" s="6">
        <v>18000</v>
      </c>
      <c r="S248" s="6">
        <v>49500</v>
      </c>
      <c r="T248" s="7" t="s">
        <v>49</v>
      </c>
      <c r="U248" s="2">
        <v>25</v>
      </c>
      <c r="V248" s="2" t="str">
        <f>IF(Tabela1[[#This Row],[qtde_batalhas]]&lt;=10,"Baixo",IF(Tabela1[[#This Row],[qtde_batalhas]]&lt;=25,"Médio","Alto"))</f>
        <v>Médio</v>
      </c>
      <c r="W248" s="2" t="s">
        <v>49</v>
      </c>
      <c r="X248" s="6">
        <v>46500</v>
      </c>
      <c r="Y248" s="2" t="str">
        <f t="shared" si="24"/>
        <v>Aprovado</v>
      </c>
      <c r="Z248" s="1" t="str">
        <f t="shared" si="25"/>
        <v>Aprovado</v>
      </c>
      <c r="AA248" s="26">
        <f t="shared" si="26"/>
        <v>50220</v>
      </c>
    </row>
    <row r="249" spans="1:27">
      <c r="A249" s="16">
        <f ca="1">YEAR(TODAY())-Tabela1[[#This Row],[idade]]</f>
        <v>2000</v>
      </c>
      <c r="B249" s="1">
        <f t="shared" ca="1" si="32"/>
        <v>26</v>
      </c>
      <c r="C249" s="1" t="str">
        <f>PROPER(Tabela1[[#This Row],[nome]])</f>
        <v>Grey Worm Hornwood</v>
      </c>
      <c r="D249" s="1" t="str">
        <f t="shared" si="28"/>
        <v>000.000.322-00</v>
      </c>
      <c r="G249" s="26">
        <f t="shared" si="29"/>
        <v>24000</v>
      </c>
      <c r="H249" s="26">
        <f t="shared" si="30"/>
        <v>52000</v>
      </c>
      <c r="I249" s="1" t="str">
        <f t="shared" si="31"/>
        <v>Não</v>
      </c>
      <c r="K249" s="2" t="s">
        <v>29</v>
      </c>
      <c r="L249" s="2" t="s">
        <v>526</v>
      </c>
      <c r="M249" s="3" t="s">
        <v>527</v>
      </c>
      <c r="N249" s="4">
        <f ca="1">DATEDIF(O249,TODAY(),"Y")</f>
        <v>26</v>
      </c>
      <c r="O249" s="5">
        <v>36540</v>
      </c>
      <c r="P249" s="2" t="s">
        <v>37</v>
      </c>
      <c r="Q249" s="2" t="s">
        <v>38</v>
      </c>
      <c r="R249" s="6">
        <v>24000</v>
      </c>
      <c r="S249" s="6">
        <v>52000</v>
      </c>
      <c r="T249" s="7" t="s">
        <v>49</v>
      </c>
      <c r="U249" s="2">
        <v>30</v>
      </c>
      <c r="V249" s="2" t="str">
        <f>IF(Tabela1[[#This Row],[qtde_batalhas]]&lt;=10,"Baixo",IF(Tabela1[[#This Row],[qtde_batalhas]]&lt;=25,"Médio","Alto"))</f>
        <v>Alto</v>
      </c>
      <c r="W249" s="2" t="s">
        <v>49</v>
      </c>
      <c r="X249" s="6">
        <v>11500</v>
      </c>
      <c r="Y249" s="2" t="str">
        <f t="shared" si="24"/>
        <v>Aprovado</v>
      </c>
      <c r="Z249" s="1" t="str">
        <f t="shared" si="25"/>
        <v>Aprovado</v>
      </c>
      <c r="AA249" s="26">
        <f t="shared" si="26"/>
        <v>0</v>
      </c>
    </row>
    <row r="250" spans="1:27">
      <c r="A250" s="16">
        <f ca="1">YEAR(TODAY())-Tabela1[[#This Row],[idade]]</f>
        <v>1979</v>
      </c>
      <c r="B250" s="1">
        <f t="shared" ca="1" si="32"/>
        <v>47</v>
      </c>
      <c r="C250" s="1" t="str">
        <f>PROPER(Tabela1[[#This Row],[nome]])</f>
        <v>Cersei Greyjoy</v>
      </c>
      <c r="D250" s="1" t="str">
        <f t="shared" si="28"/>
        <v>000.000.265-00</v>
      </c>
      <c r="G250" s="26">
        <f t="shared" si="29"/>
        <v>21300</v>
      </c>
      <c r="H250" s="26">
        <f t="shared" si="30"/>
        <v>62000</v>
      </c>
      <c r="I250" s="1" t="str">
        <f t="shared" si="31"/>
        <v>Sim</v>
      </c>
      <c r="K250" s="2" t="s">
        <v>23</v>
      </c>
      <c r="L250" s="2" t="s">
        <v>575</v>
      </c>
      <c r="M250" s="3" t="s">
        <v>576</v>
      </c>
      <c r="N250" s="4">
        <f ca="1">DATEDIF(O250,TODAY(),"Y")</f>
        <v>47</v>
      </c>
      <c r="O250" s="5">
        <v>28841</v>
      </c>
      <c r="P250" s="2" t="s">
        <v>133</v>
      </c>
      <c r="Q250" s="2" t="s">
        <v>133</v>
      </c>
      <c r="R250" s="6">
        <v>21300</v>
      </c>
      <c r="S250" s="6">
        <v>62000</v>
      </c>
      <c r="T250" s="7" t="s">
        <v>28</v>
      </c>
      <c r="U250" s="2">
        <v>37</v>
      </c>
      <c r="V250" s="2" t="str">
        <f>IF(Tabela1[[#This Row],[qtde_batalhas]]&lt;=10,"Baixo",IF(Tabela1[[#This Row],[qtde_batalhas]]&lt;=25,"Médio","Alto"))</f>
        <v>Alto</v>
      </c>
      <c r="W250" s="2" t="s">
        <v>28</v>
      </c>
      <c r="X250" s="6">
        <v>92500</v>
      </c>
      <c r="Y250" s="2" t="str">
        <f t="shared" si="24"/>
        <v>Negado</v>
      </c>
      <c r="Z250" s="1" t="str">
        <f t="shared" si="25"/>
        <v>Negado</v>
      </c>
      <c r="AA250" s="26">
        <f t="shared" si="26"/>
        <v>0</v>
      </c>
    </row>
    <row r="251" spans="1:27">
      <c r="A251" s="16">
        <f ca="1">YEAR(TODAY())-Tabela1[[#This Row],[idade]]</f>
        <v>1992</v>
      </c>
      <c r="B251" s="1">
        <f t="shared" ca="1" si="32"/>
        <v>34</v>
      </c>
      <c r="C251" s="1" t="str">
        <f>PROPER(Tabela1[[#This Row],[nome]])</f>
        <v>Tormund Tyrell</v>
      </c>
      <c r="D251" s="1" t="str">
        <f t="shared" si="28"/>
        <v>000.000.378-00</v>
      </c>
      <c r="G251" s="26">
        <f t="shared" si="29"/>
        <v>28900</v>
      </c>
      <c r="H251" s="26">
        <f t="shared" si="30"/>
        <v>37000</v>
      </c>
      <c r="I251" s="1" t="str">
        <f t="shared" si="31"/>
        <v>Não</v>
      </c>
      <c r="K251" s="2" t="s">
        <v>23</v>
      </c>
      <c r="L251" s="2" t="s">
        <v>578</v>
      </c>
      <c r="M251" s="3" t="s">
        <v>579</v>
      </c>
      <c r="N251" s="4">
        <f ca="1">DATEDIF(O251,TODAY(),"Y")</f>
        <v>34</v>
      </c>
      <c r="O251" s="5">
        <v>33746</v>
      </c>
      <c r="P251" s="2" t="s">
        <v>133</v>
      </c>
      <c r="Q251" s="2" t="s">
        <v>133</v>
      </c>
      <c r="R251" s="6">
        <v>28900</v>
      </c>
      <c r="S251" s="6">
        <v>37000</v>
      </c>
      <c r="T251" s="7" t="s">
        <v>49</v>
      </c>
      <c r="U251" s="2">
        <v>21</v>
      </c>
      <c r="V251" s="2" t="str">
        <f>IF(Tabela1[[#This Row],[qtde_batalhas]]&lt;=10,"Baixo",IF(Tabela1[[#This Row],[qtde_batalhas]]&lt;=25,"Médio","Alto"))</f>
        <v>Médio</v>
      </c>
      <c r="W251" s="2" t="s">
        <v>49</v>
      </c>
      <c r="X251" s="6">
        <v>97500</v>
      </c>
      <c r="Y251" s="2" t="str">
        <f t="shared" si="24"/>
        <v>Aprovado</v>
      </c>
      <c r="Z251" s="1" t="str">
        <f t="shared" si="25"/>
        <v>Aprovado</v>
      </c>
      <c r="AA251" s="26">
        <f t="shared" si="26"/>
        <v>105300</v>
      </c>
    </row>
    <row r="252" spans="1:27">
      <c r="A252" s="16">
        <f ca="1">YEAR(TODAY())-Tabela1[[#This Row],[idade]]</f>
        <v>1996</v>
      </c>
      <c r="B252" s="1">
        <f t="shared" ca="1" si="32"/>
        <v>30</v>
      </c>
      <c r="C252" s="1" t="str">
        <f>PROPER(Tabela1[[#This Row],[nome]])</f>
        <v>Bronn Stark</v>
      </c>
      <c r="D252" s="1" t="str">
        <f t="shared" si="28"/>
        <v>000.000.313-00</v>
      </c>
      <c r="G252" s="26">
        <f t="shared" si="29"/>
        <v>13800</v>
      </c>
      <c r="H252" s="26">
        <f t="shared" si="30"/>
        <v>42000</v>
      </c>
      <c r="I252" s="1" t="str">
        <f t="shared" si="31"/>
        <v>-</v>
      </c>
      <c r="K252" s="2" t="s">
        <v>23</v>
      </c>
      <c r="L252" s="2" t="s">
        <v>580</v>
      </c>
      <c r="M252" s="3" t="s">
        <v>581</v>
      </c>
      <c r="N252" s="4">
        <f ca="1">DATEDIF(O252,TODAY(),"Y")</f>
        <v>30</v>
      </c>
      <c r="O252" s="5">
        <v>35180</v>
      </c>
      <c r="P252" s="2" t="s">
        <v>103</v>
      </c>
      <c r="Q252" s="2" t="s">
        <v>91</v>
      </c>
      <c r="R252" s="6">
        <v>13800</v>
      </c>
      <c r="S252" s="6">
        <v>42000</v>
      </c>
      <c r="U252" s="2">
        <v>29</v>
      </c>
      <c r="V252" s="2" t="str">
        <f>IF(Tabela1[[#This Row],[qtde_batalhas]]&lt;=10,"Baixo",IF(Tabela1[[#This Row],[qtde_batalhas]]&lt;=25,"Médio","Alto"))</f>
        <v>Alto</v>
      </c>
      <c r="X252" s="6">
        <v>7000</v>
      </c>
      <c r="Y252" s="2" t="str">
        <f t="shared" si="24"/>
        <v>Aprovado</v>
      </c>
      <c r="Z252" s="1" t="str">
        <f t="shared" si="25"/>
        <v>Aprovado</v>
      </c>
      <c r="AA252" s="26">
        <f t="shared" si="26"/>
        <v>7560.0000000000009</v>
      </c>
    </row>
    <row r="253" spans="1:27">
      <c r="A253" s="16">
        <f ca="1">YEAR(TODAY())-Tabela1[[#This Row],[idade]]</f>
        <v>1959</v>
      </c>
      <c r="B253" s="1">
        <f t="shared" ca="1" si="32"/>
        <v>67</v>
      </c>
      <c r="C253" s="1" t="str">
        <f>PROPER(Tabela1[[#This Row],[nome]])</f>
        <v>Tyrion Blackwood</v>
      </c>
      <c r="D253" s="1" t="str">
        <f t="shared" si="28"/>
        <v>000.000.100-00</v>
      </c>
      <c r="G253" s="26">
        <f t="shared" si="29"/>
        <v>15200</v>
      </c>
      <c r="H253" s="26">
        <f t="shared" si="30"/>
        <v>67500</v>
      </c>
      <c r="I253" s="1" t="str">
        <f t="shared" si="31"/>
        <v>Não</v>
      </c>
      <c r="K253" s="2" t="s">
        <v>29</v>
      </c>
      <c r="L253" s="2" t="s">
        <v>582</v>
      </c>
      <c r="M253" s="3" t="s">
        <v>583</v>
      </c>
      <c r="N253" s="4">
        <f ca="1">DATEDIF(O253,TODAY(),"Y")</f>
        <v>67</v>
      </c>
      <c r="O253" s="5">
        <v>21674</v>
      </c>
      <c r="P253" s="2" t="s">
        <v>194</v>
      </c>
      <c r="Q253" s="2" t="s">
        <v>408</v>
      </c>
      <c r="R253" s="6">
        <v>15200</v>
      </c>
      <c r="S253" s="6">
        <v>67500</v>
      </c>
      <c r="T253" s="7" t="s">
        <v>49</v>
      </c>
      <c r="U253" s="2">
        <v>12</v>
      </c>
      <c r="V253" s="2" t="str">
        <f>IF(Tabela1[[#This Row],[qtde_batalhas]]&lt;=10,"Baixo",IF(Tabela1[[#This Row],[qtde_batalhas]]&lt;=25,"Médio","Alto"))</f>
        <v>Médio</v>
      </c>
      <c r="W253" s="2" t="s">
        <v>49</v>
      </c>
      <c r="X253" s="6">
        <v>97500</v>
      </c>
      <c r="Y253" s="2" t="str">
        <f t="shared" si="24"/>
        <v>Aprovado</v>
      </c>
      <c r="Z253" s="1" t="str">
        <f t="shared" si="25"/>
        <v>Aprovado</v>
      </c>
      <c r="AA253" s="26">
        <f t="shared" si="26"/>
        <v>0</v>
      </c>
    </row>
    <row r="254" spans="1:27">
      <c r="A254" s="16">
        <f ca="1">YEAR(TODAY())-Tabela1[[#This Row],[idade]]</f>
        <v>1967</v>
      </c>
      <c r="B254" s="1">
        <f t="shared" ca="1" si="32"/>
        <v>59</v>
      </c>
      <c r="C254" s="1" t="str">
        <f>PROPER(Tabela1[[#This Row],[nome]])</f>
        <v>Brienne Westerling</v>
      </c>
      <c r="D254" s="1" t="str">
        <f t="shared" si="28"/>
        <v>000.000.379-00</v>
      </c>
      <c r="E254" t="str">
        <f>IF(P275="Lannisporto","Oeste",
IF(P275="Ninho da Águia","Vale",
IF(P275="Ponta Tempestade","Terras da Tempestade",
IF(P275="Pedra do Dragão","Terras da Coroa",
IF(P275="Pyke","Ilhas de Ferro",
IF(P275="Meereen","Essos",
IF(P275="Braavos","Essos",
IF(P275="Correrrio","Terras Fluviais",
IF(P275="Castelo Negro","Norte",
IF(P275="Vilavelha","Campina",
IF(P275="Ilha dos Ursos","Norte",
IF(P275="Fosso Cailin","Norte",
IF(P275="Harrenhal","Terras Fluviais",
IF(P275="Winterfell","Norte",
IF(P275="Jardim de Cima","Campina",
IF(P275="Dorne","Dorne",
IF(P275="Monte Chifre","Campina",
IF(P275="Atalaia da Água Cinzenta","Oeste",
IF(P275="Porto Real","Terras da Coroa",
IF(P275="Solar do Entardecer","Terras da Tempestade",
""))))))))))))))))))))</f>
        <v>Terras da Tempestade</v>
      </c>
      <c r="G254" s="26">
        <f t="shared" si="29"/>
        <v>6600</v>
      </c>
      <c r="H254" s="26">
        <f t="shared" si="30"/>
        <v>50000</v>
      </c>
      <c r="I254" s="1" t="str">
        <f t="shared" si="31"/>
        <v>Sim</v>
      </c>
      <c r="K254" s="2" t="s">
        <v>23</v>
      </c>
      <c r="L254" s="2" t="s">
        <v>584</v>
      </c>
      <c r="M254" s="3" t="s">
        <v>585</v>
      </c>
      <c r="N254" s="4">
        <f ca="1">DATEDIF(O254,TODAY(),"Y")</f>
        <v>59</v>
      </c>
      <c r="O254" s="5">
        <v>24578</v>
      </c>
      <c r="P254" s="19" t="s">
        <v>194</v>
      </c>
      <c r="Q254" s="20" t="str">
        <f>IF(P254="Lannisporto","Oeste",
IF(P254="Ninho da Águia","Vale",
IF(P254="Ponta Tempestade","Terras da Tempestade",
IF(P254="Pedra do Dragão","Terras da Coroa",
IF(P254="Pyke","Ilhas de Ferro",
IF(P254="Meereen","Essos",
IF(P254="Braavos","Essos",
IF(P254="Correrrio","Terras Fluviais",
IF(P254="Castelo Negro","Norte",
IF(P254="Vilavelha","Campina",
IF(P254="Ilha dos Ursos","Norte",
IF(P254="Fosso Cailin","Norte",
IF(P254="Harrenhal","Terras Fluviais",
IF(P254="Winterfell","Norte",
IF(P254="Jardim de Cima","Campina",
IF(P254="Dorne","Dorne",
IF(P254="Monte Chifre","Campina",
IF(P254="Atalaia da Água Cinzenta","Oeste",
IF(P254="Porto Real","Terras da Coroa",
IF(P254="Solar do Entardecer","Terras da Tempestade",
""))))))))))))))))))))</f>
        <v>Oeste</v>
      </c>
      <c r="R254" s="6">
        <v>6600</v>
      </c>
      <c r="S254" s="6">
        <v>50000</v>
      </c>
      <c r="T254" s="7" t="s">
        <v>28</v>
      </c>
      <c r="U254" s="2">
        <v>9</v>
      </c>
      <c r="V254" s="2" t="str">
        <f>IF(Tabela1[[#This Row],[qtde_batalhas]]&lt;=10,"Baixo",IF(Tabela1[[#This Row],[qtde_batalhas]]&lt;=25,"Médio","Alto"))</f>
        <v>Baixo</v>
      </c>
      <c r="W254" s="2" t="s">
        <v>28</v>
      </c>
      <c r="X254" s="6">
        <v>25000</v>
      </c>
      <c r="Y254" s="2" t="str">
        <f t="shared" si="24"/>
        <v>Aprovado</v>
      </c>
      <c r="Z254" s="1" t="str">
        <f t="shared" si="25"/>
        <v>Aprovado</v>
      </c>
      <c r="AA254" s="26">
        <f t="shared" si="26"/>
        <v>27000</v>
      </c>
    </row>
    <row r="255" spans="1:27">
      <c r="A255" s="16">
        <f ca="1">YEAR(TODAY())-Tabela1[[#This Row],[idade]]</f>
        <v>2001</v>
      </c>
      <c r="B255" s="1">
        <f t="shared" ca="1" si="32"/>
        <v>25</v>
      </c>
      <c r="C255" s="1" t="str">
        <f>PROPER(Tabela1[[#This Row],[nome]])</f>
        <v>Beric Manderly</v>
      </c>
      <c r="D255" s="1" t="str">
        <f t="shared" si="28"/>
        <v>-</v>
      </c>
      <c r="G255" s="26">
        <f t="shared" si="29"/>
        <v>24500</v>
      </c>
      <c r="H255" s="26" t="str">
        <f t="shared" si="30"/>
        <v>-</v>
      </c>
      <c r="I255" s="1" t="str">
        <f t="shared" si="31"/>
        <v>Não</v>
      </c>
      <c r="K255" s="2" t="s">
        <v>29</v>
      </c>
      <c r="L255" s="2" t="s">
        <v>586</v>
      </c>
      <c r="M255" s="3">
        <v>24300</v>
      </c>
      <c r="N255" s="4">
        <f ca="1">DATEDIF(O255,TODAY(),"Y")</f>
        <v>25</v>
      </c>
      <c r="O255" s="5">
        <v>37131</v>
      </c>
      <c r="P255" s="2" t="s">
        <v>52</v>
      </c>
      <c r="Q255" s="2" t="s">
        <v>57</v>
      </c>
      <c r="R255" s="6">
        <v>24500</v>
      </c>
      <c r="S255" s="6" t="s">
        <v>40</v>
      </c>
      <c r="T255" s="7">
        <v>0</v>
      </c>
      <c r="U255" s="2">
        <v>0</v>
      </c>
      <c r="V255" s="2" t="str">
        <f>IF(Tabela1[[#This Row],[qtde_batalhas]]&lt;=10,"Baixo",IF(Tabela1[[#This Row],[qtde_batalhas]]&lt;=25,"Médio","Alto"))</f>
        <v>Baixo</v>
      </c>
      <c r="W255" s="2">
        <v>0</v>
      </c>
      <c r="X255" s="6">
        <v>55000</v>
      </c>
      <c r="Y255" s="2" t="str">
        <f t="shared" si="24"/>
        <v>Aprovado</v>
      </c>
      <c r="Z255" s="1" t="str">
        <f t="shared" si="25"/>
        <v>Aprovado</v>
      </c>
      <c r="AA255" s="26">
        <f t="shared" si="26"/>
        <v>0</v>
      </c>
    </row>
    <row r="256" spans="1:27">
      <c r="A256" s="16">
        <f ca="1">YEAR(TODAY())-Tabela1[[#This Row],[idade]]</f>
        <v>1990</v>
      </c>
      <c r="B256" s="1">
        <f t="shared" ca="1" si="32"/>
        <v>36</v>
      </c>
      <c r="C256" s="1" t="str">
        <f>PROPER(Tabela1[[#This Row],[nome]])</f>
        <v>Jojen Hornwood</v>
      </c>
      <c r="D256" s="1" t="str">
        <f t="shared" si="28"/>
        <v>000.000.128-00</v>
      </c>
      <c r="G256" s="26">
        <f t="shared" si="29"/>
        <v>28600</v>
      </c>
      <c r="H256" s="26" t="str">
        <f t="shared" si="30"/>
        <v>-</v>
      </c>
      <c r="I256" s="1" t="str">
        <f t="shared" si="31"/>
        <v>Não</v>
      </c>
      <c r="K256" s="2" t="s">
        <v>23</v>
      </c>
      <c r="L256" s="2" t="s">
        <v>587</v>
      </c>
      <c r="M256" s="3" t="s">
        <v>588</v>
      </c>
      <c r="N256" s="4">
        <f ca="1">DATEDIF(O256,TODAY(),"Y")</f>
        <v>36</v>
      </c>
      <c r="O256" s="5">
        <v>32796</v>
      </c>
      <c r="P256" s="2" t="s">
        <v>37</v>
      </c>
      <c r="Q256" s="2" t="s">
        <v>38</v>
      </c>
      <c r="R256" s="6">
        <v>28600</v>
      </c>
      <c r="T256" s="7" t="s">
        <v>49</v>
      </c>
      <c r="U256" s="2">
        <v>19</v>
      </c>
      <c r="V256" s="2" t="str">
        <f>IF(Tabela1[[#This Row],[qtde_batalhas]]&lt;=10,"Baixo",IF(Tabela1[[#This Row],[qtde_batalhas]]&lt;=25,"Médio","Alto"))</f>
        <v>Médio</v>
      </c>
      <c r="W256" s="2" t="s">
        <v>49</v>
      </c>
      <c r="X256" s="6">
        <v>90000</v>
      </c>
      <c r="Y256" s="2" t="str">
        <f t="shared" si="24"/>
        <v>Aprovado</v>
      </c>
      <c r="Z256" s="1" t="str">
        <f t="shared" si="25"/>
        <v>Aprovado</v>
      </c>
      <c r="AA256" s="26">
        <f t="shared" si="26"/>
        <v>97200</v>
      </c>
    </row>
    <row r="257" spans="1:27">
      <c r="A257" s="16">
        <f ca="1">YEAR(TODAY())-Tabela1[[#This Row],[idade]]</f>
        <v>1990</v>
      </c>
      <c r="B257" s="1">
        <f t="shared" ca="1" si="32"/>
        <v>36</v>
      </c>
      <c r="C257" s="1" t="str">
        <f>PROPER(Tabela1[[#This Row],[nome]])</f>
        <v>Theon Baelish</v>
      </c>
      <c r="D257" s="1" t="str">
        <f t="shared" si="28"/>
        <v>000.000.380-00</v>
      </c>
      <c r="G257" s="26">
        <f t="shared" si="29"/>
        <v>27600</v>
      </c>
      <c r="H257" s="26">
        <f t="shared" si="30"/>
        <v>37000</v>
      </c>
      <c r="I257" s="1" t="str">
        <f t="shared" si="31"/>
        <v>Não</v>
      </c>
      <c r="K257" s="2" t="s">
        <v>29</v>
      </c>
      <c r="L257" s="2" t="s">
        <v>589</v>
      </c>
      <c r="M257" s="3" t="s">
        <v>590</v>
      </c>
      <c r="N257" s="4">
        <f ca="1">DATEDIF(O257,TODAY(),"Y")</f>
        <v>36</v>
      </c>
      <c r="O257" s="5">
        <v>32914</v>
      </c>
      <c r="P257" s="2" t="s">
        <v>194</v>
      </c>
      <c r="Q257" s="2" t="s">
        <v>408</v>
      </c>
      <c r="R257" s="6">
        <v>27600</v>
      </c>
      <c r="S257" s="6">
        <v>37000</v>
      </c>
      <c r="T257" s="7" t="s">
        <v>49</v>
      </c>
      <c r="U257" s="2">
        <v>15</v>
      </c>
      <c r="V257" s="2" t="str">
        <f>IF(Tabela1[[#This Row],[qtde_batalhas]]&lt;=10,"Baixo",IF(Tabela1[[#This Row],[qtde_batalhas]]&lt;=25,"Médio","Alto"))</f>
        <v>Médio</v>
      </c>
      <c r="W257" s="2" t="s">
        <v>49</v>
      </c>
      <c r="X257" s="6">
        <v>41500</v>
      </c>
      <c r="Y257" s="2" t="str">
        <f t="shared" si="24"/>
        <v>Aprovado</v>
      </c>
      <c r="Z257" s="1" t="str">
        <f t="shared" si="25"/>
        <v>Aprovado</v>
      </c>
      <c r="AA257" s="26">
        <f t="shared" si="26"/>
        <v>0</v>
      </c>
    </row>
    <row r="258" spans="1:27">
      <c r="A258" s="16">
        <f ca="1">YEAR(TODAY())-Tabela1[[#This Row],[idade]]</f>
        <v>1981</v>
      </c>
      <c r="B258" s="1">
        <f t="shared" ca="1" si="32"/>
        <v>45</v>
      </c>
      <c r="C258" s="1" t="str">
        <f>PROPER(Tabela1[[#This Row],[nome]])</f>
        <v>Aegon Hornwood</v>
      </c>
      <c r="D258" s="1" t="str">
        <f t="shared" si="28"/>
        <v>-</v>
      </c>
      <c r="G258" s="26">
        <f t="shared" si="29"/>
        <v>5100</v>
      </c>
      <c r="H258" s="26">
        <f t="shared" si="30"/>
        <v>25000</v>
      </c>
      <c r="I258" s="1" t="str">
        <f t="shared" si="31"/>
        <v>Não</v>
      </c>
      <c r="K258" s="2" t="s">
        <v>29</v>
      </c>
      <c r="L258" s="2" t="s">
        <v>591</v>
      </c>
      <c r="M258" s="3">
        <v>17100</v>
      </c>
      <c r="N258" s="4">
        <f ca="1">DATEDIF(O258,TODAY(),"Y")</f>
        <v>45</v>
      </c>
      <c r="O258" s="5">
        <v>29506</v>
      </c>
      <c r="P258" s="2" t="s">
        <v>254</v>
      </c>
      <c r="Q258" s="2" t="s">
        <v>32</v>
      </c>
      <c r="R258" s="6">
        <v>5100</v>
      </c>
      <c r="S258" s="6">
        <v>25000</v>
      </c>
      <c r="T258" s="7" t="s">
        <v>49</v>
      </c>
      <c r="U258" s="2">
        <v>29</v>
      </c>
      <c r="V258" s="2" t="str">
        <f>IF(Tabela1[[#This Row],[qtde_batalhas]]&lt;=10,"Baixo",IF(Tabela1[[#This Row],[qtde_batalhas]]&lt;=25,"Médio","Alto"))</f>
        <v>Alto</v>
      </c>
      <c r="W258" s="2" t="s">
        <v>49</v>
      </c>
      <c r="X258" s="6">
        <v>88000</v>
      </c>
      <c r="Y258" s="2" t="str">
        <f t="shared" si="24"/>
        <v>Aprovado</v>
      </c>
      <c r="Z258" s="1" t="str">
        <f t="shared" si="25"/>
        <v>Aprovado</v>
      </c>
      <c r="AA258" s="26">
        <f t="shared" si="26"/>
        <v>0</v>
      </c>
    </row>
    <row r="259" spans="1:27">
      <c r="A259" s="16">
        <f ca="1">YEAR(TODAY())-Tabela1[[#This Row],[idade]]</f>
        <v>1970</v>
      </c>
      <c r="B259" s="1">
        <f t="shared" ca="1" si="32"/>
        <v>56</v>
      </c>
      <c r="C259" s="1" t="str">
        <f>PROPER(Tabela1[[#This Row],[nome]])</f>
        <v>Ellaria Redwyne</v>
      </c>
      <c r="D259" s="1" t="str">
        <f t="shared" si="28"/>
        <v>000.000.093-00</v>
      </c>
      <c r="G259" s="26">
        <f t="shared" si="29"/>
        <v>22600</v>
      </c>
      <c r="H259" s="26">
        <f t="shared" si="30"/>
        <v>63000</v>
      </c>
      <c r="I259" s="1" t="str">
        <f t="shared" si="31"/>
        <v>Não</v>
      </c>
      <c r="K259" s="2" t="s">
        <v>23</v>
      </c>
      <c r="L259" s="2" t="s">
        <v>592</v>
      </c>
      <c r="M259" s="3" t="s">
        <v>593</v>
      </c>
      <c r="N259" s="4">
        <f ca="1">DATEDIF(O259,TODAY(),"Y")</f>
        <v>56</v>
      </c>
      <c r="O259" s="5">
        <v>25551</v>
      </c>
      <c r="P259" s="2" t="s">
        <v>133</v>
      </c>
      <c r="Q259" s="2" t="s">
        <v>133</v>
      </c>
      <c r="R259" s="6">
        <v>22600</v>
      </c>
      <c r="S259" s="6">
        <v>63000</v>
      </c>
      <c r="T259" s="7" t="s">
        <v>49</v>
      </c>
      <c r="U259" s="2">
        <v>33</v>
      </c>
      <c r="V259" s="2" t="str">
        <f>IF(Tabela1[[#This Row],[qtde_batalhas]]&lt;=10,"Baixo",IF(Tabela1[[#This Row],[qtde_batalhas]]&lt;=25,"Médio","Alto"))</f>
        <v>Alto</v>
      </c>
      <c r="W259" s="2" t="s">
        <v>49</v>
      </c>
      <c r="X259" s="6">
        <v>53000</v>
      </c>
      <c r="Y259" s="2" t="str">
        <f t="shared" ref="Y259:Y322" si="33">IF(AND(V259="Alto",T259="Sim"),"Negado","Aprovado")</f>
        <v>Aprovado</v>
      </c>
      <c r="Z259" s="1" t="str">
        <f t="shared" ref="Z259:Z322" si="34">IF(AND(ISNUMBER(S259),S259&gt;50000,T259="Sim"),"Negado","Aprovado")</f>
        <v>Aprovado</v>
      </c>
      <c r="AA259" s="26">
        <f t="shared" ref="AA259:AA322" si="35">IF(OR(Y259="Negado",Z259="Negado"),0,IF(K259="Ativo",X259*1.08,0))</f>
        <v>57240.000000000007</v>
      </c>
    </row>
    <row r="260" spans="1:27">
      <c r="A260" s="16">
        <f ca="1">YEAR(TODAY())-Tabela1[[#This Row],[idade]]</f>
        <v>1979</v>
      </c>
      <c r="B260" s="1">
        <f t="shared" ca="1" si="32"/>
        <v>47</v>
      </c>
      <c r="C260" s="1" t="str">
        <f>PROPER(Tabela1[[#This Row],[nome]])</f>
        <v>Missandei Redwyne</v>
      </c>
      <c r="D260" s="1" t="str">
        <f t="shared" ref="D260:D323" si="36">IF(LEN(SUBSTITUTE(SUBSTITUTE(SUBSTITUTE(M260,".",""),"-","")," ",""))=11,M260,"-")</f>
        <v>000.000.111-00</v>
      </c>
      <c r="G260" s="26">
        <f t="shared" ref="G260:G323" si="37">IF(R260="","-",IF(ISNUMBER(R260),R260,IF(UPPER(TRIM(R260))="SEM RENDA","-","-")))</f>
        <v>5000</v>
      </c>
      <c r="H260" s="26">
        <f t="shared" ref="H260:H323" si="38">IF(S260="","-",IF(ISNUMBER(S260),S260,IF(UPPER(TRIM(S260))="SEM RENDA","-","-")))</f>
        <v>75500</v>
      </c>
      <c r="I260" s="1" t="str">
        <f t="shared" ref="I260:I323" si="39">IF(TRIM(W260)="","-",
IF(OR(UPPER(TRIM(W260))="SIM",TRIM(W260)="1"),"Sim",
IF(OR(UPPER(TRIM(W260))="NÃO",UPPER(TRIM(W260))="NAO",TRIM(W260)="0"),"Não",
"-")))</f>
        <v>Sim</v>
      </c>
      <c r="K260" s="2" t="s">
        <v>23</v>
      </c>
      <c r="L260" s="2" t="s">
        <v>594</v>
      </c>
      <c r="M260" s="3" t="s">
        <v>595</v>
      </c>
      <c r="N260" s="4">
        <f ca="1">DATEDIF(O260,TODAY(),"Y")</f>
        <v>47</v>
      </c>
      <c r="O260" s="5">
        <v>29007</v>
      </c>
      <c r="P260" s="2" t="s">
        <v>70</v>
      </c>
      <c r="Q260" s="2" t="s">
        <v>71</v>
      </c>
      <c r="R260" s="6">
        <v>5000</v>
      </c>
      <c r="S260" s="6">
        <v>75500</v>
      </c>
      <c r="T260" s="7" t="s">
        <v>28</v>
      </c>
      <c r="U260" s="2">
        <v>2</v>
      </c>
      <c r="V260" s="2" t="str">
        <f>IF(Tabela1[[#This Row],[qtde_batalhas]]&lt;=10,"Baixo",IF(Tabela1[[#This Row],[qtde_batalhas]]&lt;=25,"Médio","Alto"))</f>
        <v>Baixo</v>
      </c>
      <c r="W260" s="2" t="s">
        <v>28</v>
      </c>
      <c r="X260" s="6">
        <v>89500</v>
      </c>
      <c r="Y260" s="2" t="str">
        <f t="shared" si="33"/>
        <v>Aprovado</v>
      </c>
      <c r="Z260" s="1" t="str">
        <f t="shared" si="34"/>
        <v>Negado</v>
      </c>
      <c r="AA260" s="26">
        <f t="shared" si="35"/>
        <v>0</v>
      </c>
    </row>
    <row r="261" spans="1:27">
      <c r="A261" s="16">
        <f ca="1">YEAR(TODAY())-Tabela1[[#This Row],[idade]]</f>
        <v>1982</v>
      </c>
      <c r="B261" s="1">
        <f t="shared" ca="1" si="32"/>
        <v>44</v>
      </c>
      <c r="C261" s="1" t="str">
        <f>PROPER(Tabela1[[#This Row],[nome]])</f>
        <v>Jorah Hightower</v>
      </c>
      <c r="D261" s="1" t="str">
        <f t="shared" si="36"/>
        <v>000.000.007-00</v>
      </c>
      <c r="G261" s="26">
        <f t="shared" si="37"/>
        <v>21700</v>
      </c>
      <c r="H261" s="26">
        <f t="shared" si="38"/>
        <v>34500</v>
      </c>
      <c r="I261" s="1" t="str">
        <f t="shared" si="39"/>
        <v>Não</v>
      </c>
      <c r="K261" s="2" t="s">
        <v>23</v>
      </c>
      <c r="L261" s="2" t="s">
        <v>112</v>
      </c>
      <c r="M261" s="3" t="s">
        <v>596</v>
      </c>
      <c r="N261" s="4">
        <f ca="1">DATEDIF(O261,TODAY(),"Y")</f>
        <v>44</v>
      </c>
      <c r="O261" s="5">
        <v>30069</v>
      </c>
      <c r="P261" s="2" t="s">
        <v>87</v>
      </c>
      <c r="Q261" s="2" t="s">
        <v>88</v>
      </c>
      <c r="R261" s="6">
        <v>21700</v>
      </c>
      <c r="S261" s="6">
        <v>34500</v>
      </c>
      <c r="T261" s="7" t="s">
        <v>49</v>
      </c>
      <c r="U261" s="2">
        <v>29</v>
      </c>
      <c r="V261" s="2" t="str">
        <f>IF(Tabela1[[#This Row],[qtde_batalhas]]&lt;=10,"Baixo",IF(Tabela1[[#This Row],[qtde_batalhas]]&lt;=25,"Médio","Alto"))</f>
        <v>Alto</v>
      </c>
      <c r="W261" s="2" t="s">
        <v>49</v>
      </c>
      <c r="X261" s="6">
        <v>10500</v>
      </c>
      <c r="Y261" s="2" t="str">
        <f t="shared" si="33"/>
        <v>Aprovado</v>
      </c>
      <c r="Z261" s="1" t="str">
        <f t="shared" si="34"/>
        <v>Aprovado</v>
      </c>
      <c r="AA261" s="26">
        <f t="shared" si="35"/>
        <v>11340</v>
      </c>
    </row>
    <row r="262" spans="1:27">
      <c r="A262" s="16">
        <f ca="1">YEAR(TODAY())-Tabela1[[#This Row],[idade]]</f>
        <v>1999</v>
      </c>
      <c r="B262" s="1">
        <f t="shared" ca="1" si="32"/>
        <v>27</v>
      </c>
      <c r="C262" s="1" t="str">
        <f>PROPER(Tabela1[[#This Row],[nome]])</f>
        <v>Eddard Payne</v>
      </c>
      <c r="D262" s="1" t="str">
        <f t="shared" si="36"/>
        <v>-</v>
      </c>
      <c r="G262" s="26">
        <f t="shared" si="37"/>
        <v>9200</v>
      </c>
      <c r="H262" s="26">
        <f t="shared" si="38"/>
        <v>68500</v>
      </c>
      <c r="I262" s="1" t="str">
        <f t="shared" si="39"/>
        <v>Não</v>
      </c>
      <c r="K262" s="2" t="s">
        <v>23</v>
      </c>
      <c r="L262" s="2" t="s">
        <v>597</v>
      </c>
      <c r="M262" s="3">
        <v>15900</v>
      </c>
      <c r="N262" s="4">
        <f ca="1">DATEDIF(O262,TODAY(),"Y")</f>
        <v>27</v>
      </c>
      <c r="O262" s="5">
        <v>36411</v>
      </c>
      <c r="P262" s="2" t="s">
        <v>87</v>
      </c>
      <c r="Q262" s="2" t="s">
        <v>88</v>
      </c>
      <c r="R262" s="6">
        <v>9200</v>
      </c>
      <c r="S262" s="6">
        <v>68500</v>
      </c>
      <c r="T262" s="7" t="s">
        <v>49</v>
      </c>
      <c r="U262" s="2">
        <v>27</v>
      </c>
      <c r="V262" s="2" t="str">
        <f>IF(Tabela1[[#This Row],[qtde_batalhas]]&lt;=10,"Baixo",IF(Tabela1[[#This Row],[qtde_batalhas]]&lt;=25,"Médio","Alto"))</f>
        <v>Alto</v>
      </c>
      <c r="W262" s="2" t="s">
        <v>49</v>
      </c>
      <c r="X262" s="6">
        <v>7000</v>
      </c>
      <c r="Y262" s="2" t="str">
        <f t="shared" si="33"/>
        <v>Aprovado</v>
      </c>
      <c r="Z262" s="1" t="str">
        <f t="shared" si="34"/>
        <v>Aprovado</v>
      </c>
      <c r="AA262" s="26">
        <f t="shared" si="35"/>
        <v>7560.0000000000009</v>
      </c>
    </row>
    <row r="263" spans="1:27">
      <c r="A263" s="16">
        <f ca="1">YEAR(TODAY())-Tabela1[[#This Row],[idade]]</f>
        <v>1977</v>
      </c>
      <c r="B263" s="1">
        <f t="shared" ca="1" si="32"/>
        <v>49</v>
      </c>
      <c r="C263" s="1" t="str">
        <f>PROPER(Tabela1[[#This Row],[nome]])</f>
        <v>Cersei Glover</v>
      </c>
      <c r="D263" s="1" t="str">
        <f t="shared" si="36"/>
        <v>000.000.324-00</v>
      </c>
      <c r="G263" s="26">
        <f t="shared" si="37"/>
        <v>21900</v>
      </c>
      <c r="H263" s="26">
        <f t="shared" si="38"/>
        <v>69000</v>
      </c>
      <c r="I263" s="1" t="str">
        <f t="shared" si="39"/>
        <v>Não</v>
      </c>
      <c r="K263" s="2" t="s">
        <v>29</v>
      </c>
      <c r="L263" s="2" t="s">
        <v>599</v>
      </c>
      <c r="M263" s="3" t="s">
        <v>600</v>
      </c>
      <c r="N263" s="4">
        <f ca="1">DATEDIF(O263,TODAY(),"Y")</f>
        <v>49</v>
      </c>
      <c r="O263" s="5">
        <v>28286</v>
      </c>
      <c r="P263" s="2" t="s">
        <v>61</v>
      </c>
      <c r="Q263" s="2" t="s">
        <v>62</v>
      </c>
      <c r="R263" s="6">
        <v>21900</v>
      </c>
      <c r="S263" s="6">
        <v>69000</v>
      </c>
      <c r="T263" s="7" t="s">
        <v>49</v>
      </c>
      <c r="U263" s="2">
        <v>4</v>
      </c>
      <c r="V263" s="2" t="str">
        <f>IF(Tabela1[[#This Row],[qtde_batalhas]]&lt;=10,"Baixo",IF(Tabela1[[#This Row],[qtde_batalhas]]&lt;=25,"Médio","Alto"))</f>
        <v>Baixo</v>
      </c>
      <c r="W263" s="2" t="s">
        <v>49</v>
      </c>
      <c r="X263" s="6">
        <v>80500</v>
      </c>
      <c r="Y263" s="2" t="str">
        <f t="shared" si="33"/>
        <v>Aprovado</v>
      </c>
      <c r="Z263" s="1" t="str">
        <f t="shared" si="34"/>
        <v>Aprovado</v>
      </c>
      <c r="AA263" s="26">
        <f t="shared" si="35"/>
        <v>0</v>
      </c>
    </row>
    <row r="264" spans="1:27">
      <c r="A264" s="16">
        <f ca="1">YEAR(TODAY())-Tabela1[[#This Row],[idade]]</f>
        <v>1955</v>
      </c>
      <c r="B264" s="1">
        <f t="shared" ca="1" si="32"/>
        <v>71</v>
      </c>
      <c r="C264" s="1" t="str">
        <f>PROPER(Tabela1[[#This Row],[nome]])</f>
        <v>Theon Karstark</v>
      </c>
      <c r="D264" s="1" t="str">
        <f t="shared" si="36"/>
        <v>000.000.296-00</v>
      </c>
      <c r="G264" s="26">
        <f t="shared" si="37"/>
        <v>29200</v>
      </c>
      <c r="H264" s="26">
        <f t="shared" si="38"/>
        <v>73500</v>
      </c>
      <c r="I264" s="1" t="str">
        <f t="shared" si="39"/>
        <v>Não</v>
      </c>
      <c r="K264" s="2" t="s">
        <v>23</v>
      </c>
      <c r="L264" s="2" t="s">
        <v>602</v>
      </c>
      <c r="M264" s="3" t="s">
        <v>603</v>
      </c>
      <c r="N264" s="4">
        <f ca="1">DATEDIF(O264,TODAY(),"Y")</f>
        <v>71</v>
      </c>
      <c r="O264" s="5">
        <v>20187</v>
      </c>
      <c r="P264" s="2" t="s">
        <v>76</v>
      </c>
      <c r="Q264" s="2" t="s">
        <v>71</v>
      </c>
      <c r="R264" s="6">
        <v>29200</v>
      </c>
      <c r="S264" s="6">
        <v>73500</v>
      </c>
      <c r="T264" s="7" t="s">
        <v>49</v>
      </c>
      <c r="U264" s="2">
        <v>2</v>
      </c>
      <c r="V264" s="2" t="str">
        <f>IF(Tabela1[[#This Row],[qtde_batalhas]]&lt;=10,"Baixo",IF(Tabela1[[#This Row],[qtde_batalhas]]&lt;=25,"Médio","Alto"))</f>
        <v>Baixo</v>
      </c>
      <c r="W264" s="2" t="s">
        <v>49</v>
      </c>
      <c r="X264" s="6">
        <v>33000</v>
      </c>
      <c r="Y264" s="2" t="str">
        <f t="shared" si="33"/>
        <v>Aprovado</v>
      </c>
      <c r="Z264" s="1" t="str">
        <f t="shared" si="34"/>
        <v>Aprovado</v>
      </c>
      <c r="AA264" s="26">
        <f t="shared" si="35"/>
        <v>35640</v>
      </c>
    </row>
    <row r="265" spans="1:27">
      <c r="A265" s="16">
        <f ca="1">YEAR(TODAY())-Tabela1[[#This Row],[idade]]</f>
        <v>1961</v>
      </c>
      <c r="B265" s="1">
        <f t="shared" ca="1" si="32"/>
        <v>65</v>
      </c>
      <c r="C265" s="1" t="str">
        <f>PROPER(Tabela1[[#This Row],[nome]])</f>
        <v>Jon Cerwyn</v>
      </c>
      <c r="D265" s="1" t="str">
        <f t="shared" si="36"/>
        <v>000.000.112-00</v>
      </c>
      <c r="G265" s="26">
        <f t="shared" si="37"/>
        <v>6100</v>
      </c>
      <c r="H265" s="26">
        <f t="shared" si="38"/>
        <v>40000</v>
      </c>
      <c r="I265" s="1" t="str">
        <f t="shared" si="39"/>
        <v>Não</v>
      </c>
      <c r="K265" s="2" t="s">
        <v>23</v>
      </c>
      <c r="L265" s="2" t="s">
        <v>604</v>
      </c>
      <c r="M265" s="3" t="s">
        <v>605</v>
      </c>
      <c r="N265" s="4">
        <f ca="1">DATEDIF(O265,TODAY(),"Y")</f>
        <v>65</v>
      </c>
      <c r="O265" s="5">
        <v>22314</v>
      </c>
      <c r="P265" s="2" t="s">
        <v>31</v>
      </c>
      <c r="Q265" s="2" t="s">
        <v>810</v>
      </c>
      <c r="R265" s="6">
        <v>6100</v>
      </c>
      <c r="S265" s="6">
        <v>40000</v>
      </c>
      <c r="T265" s="7" t="s">
        <v>49</v>
      </c>
      <c r="U265" s="2">
        <v>13</v>
      </c>
      <c r="V265" s="2" t="str">
        <f>IF(Tabela1[[#This Row],[qtde_batalhas]]&lt;=10,"Baixo",IF(Tabela1[[#This Row],[qtde_batalhas]]&lt;=25,"Médio","Alto"))</f>
        <v>Médio</v>
      </c>
      <c r="W265" s="2" t="s">
        <v>49</v>
      </c>
      <c r="X265" s="6">
        <v>22500</v>
      </c>
      <c r="Y265" s="2" t="str">
        <f t="shared" si="33"/>
        <v>Aprovado</v>
      </c>
      <c r="Z265" s="1" t="str">
        <f t="shared" si="34"/>
        <v>Aprovado</v>
      </c>
      <c r="AA265" s="26">
        <f t="shared" si="35"/>
        <v>24300</v>
      </c>
    </row>
    <row r="266" spans="1:27">
      <c r="A266" s="16">
        <f ca="1">YEAR(TODAY())-Tabela1[[#This Row],[idade]]</f>
        <v>1961</v>
      </c>
      <c r="B266" s="1">
        <f t="shared" ca="1" si="32"/>
        <v>65</v>
      </c>
      <c r="C266" s="1" t="str">
        <f>PROPER(Tabela1[[#This Row],[nome]])</f>
        <v>Jon Bolton</v>
      </c>
      <c r="D266" s="1" t="str">
        <f t="shared" si="36"/>
        <v>000.000.130-00</v>
      </c>
      <c r="G266" s="26">
        <f t="shared" si="37"/>
        <v>27300</v>
      </c>
      <c r="H266" s="26">
        <f t="shared" si="38"/>
        <v>48500</v>
      </c>
      <c r="I266" s="1" t="str">
        <f t="shared" si="39"/>
        <v>Não</v>
      </c>
      <c r="K266" s="2" t="s">
        <v>23</v>
      </c>
      <c r="L266" s="2" t="s">
        <v>607</v>
      </c>
      <c r="M266" s="3" t="s">
        <v>608</v>
      </c>
      <c r="N266" s="4">
        <f ca="1">DATEDIF(O266,TODAY(),"Y")</f>
        <v>65</v>
      </c>
      <c r="O266" s="5">
        <v>22297</v>
      </c>
      <c r="P266" s="2" t="s">
        <v>52</v>
      </c>
      <c r="Q266" s="2" t="s">
        <v>57</v>
      </c>
      <c r="R266" s="6">
        <v>27300</v>
      </c>
      <c r="S266" s="6">
        <v>48500</v>
      </c>
      <c r="T266" s="7" t="s">
        <v>49</v>
      </c>
      <c r="U266" s="2">
        <v>29</v>
      </c>
      <c r="V266" s="2" t="str">
        <f>IF(Tabela1[[#This Row],[qtde_batalhas]]&lt;=10,"Baixo",IF(Tabela1[[#This Row],[qtde_batalhas]]&lt;=25,"Médio","Alto"))</f>
        <v>Alto</v>
      </c>
      <c r="W266" s="2" t="s">
        <v>49</v>
      </c>
      <c r="X266" s="6">
        <v>94000</v>
      </c>
      <c r="Y266" s="2" t="str">
        <f t="shared" si="33"/>
        <v>Aprovado</v>
      </c>
      <c r="Z266" s="1" t="str">
        <f t="shared" si="34"/>
        <v>Aprovado</v>
      </c>
      <c r="AA266" s="26">
        <f t="shared" si="35"/>
        <v>101520</v>
      </c>
    </row>
    <row r="267" spans="1:27">
      <c r="A267" s="16">
        <f ca="1">YEAR(TODAY())-Tabela1[[#This Row],[idade]]</f>
        <v>1969</v>
      </c>
      <c r="B267" s="1">
        <f t="shared" ca="1" si="32"/>
        <v>57</v>
      </c>
      <c r="C267" s="1" t="str">
        <f>PROPER(Tabela1[[#This Row],[nome]])</f>
        <v>Robert Stark</v>
      </c>
      <c r="D267" s="1" t="str">
        <f t="shared" si="36"/>
        <v>000.000.315-00</v>
      </c>
      <c r="G267" s="26">
        <f t="shared" si="37"/>
        <v>20600</v>
      </c>
      <c r="H267" s="26">
        <f t="shared" si="38"/>
        <v>52500</v>
      </c>
      <c r="I267" s="1" t="str">
        <f t="shared" si="39"/>
        <v>-</v>
      </c>
      <c r="K267" s="2" t="s">
        <v>23</v>
      </c>
      <c r="L267" s="2" t="s">
        <v>609</v>
      </c>
      <c r="M267" s="3" t="s">
        <v>610</v>
      </c>
      <c r="N267" s="4">
        <f ca="1">DATEDIF(O267,TODAY(),"Y")</f>
        <v>57</v>
      </c>
      <c r="O267" s="5">
        <v>25350</v>
      </c>
      <c r="P267" s="2" t="s">
        <v>118</v>
      </c>
      <c r="Q267" s="2" t="s">
        <v>88</v>
      </c>
      <c r="R267" s="6">
        <v>20600</v>
      </c>
      <c r="S267" s="6">
        <v>52500</v>
      </c>
      <c r="U267" s="2">
        <v>16</v>
      </c>
      <c r="V267" s="2" t="str">
        <f>IF(Tabela1[[#This Row],[qtde_batalhas]]&lt;=10,"Baixo",IF(Tabela1[[#This Row],[qtde_batalhas]]&lt;=25,"Médio","Alto"))</f>
        <v>Médio</v>
      </c>
      <c r="X267" s="6">
        <v>97000</v>
      </c>
      <c r="Y267" s="2" t="str">
        <f t="shared" si="33"/>
        <v>Aprovado</v>
      </c>
      <c r="Z267" s="1" t="str">
        <f t="shared" si="34"/>
        <v>Aprovado</v>
      </c>
      <c r="AA267" s="26">
        <f t="shared" si="35"/>
        <v>104760</v>
      </c>
    </row>
    <row r="268" spans="1:27">
      <c r="A268" s="16">
        <f ca="1">YEAR(TODAY())-Tabela1[[#This Row],[idade]]</f>
        <v>2002</v>
      </c>
      <c r="B268" s="1">
        <f t="shared" ca="1" si="32"/>
        <v>24</v>
      </c>
      <c r="C268" s="1" t="str">
        <f>PROPER(Tabela1[[#This Row],[nome]])</f>
        <v>Tyrion Lannister</v>
      </c>
      <c r="D268" s="1" t="str">
        <f t="shared" si="36"/>
        <v>-</v>
      </c>
      <c r="G268" s="26">
        <f t="shared" si="37"/>
        <v>16900</v>
      </c>
      <c r="H268" s="26">
        <f t="shared" si="38"/>
        <v>42500</v>
      </c>
      <c r="I268" s="1" t="str">
        <f t="shared" si="39"/>
        <v>Sim</v>
      </c>
      <c r="K268" s="2" t="s">
        <v>23</v>
      </c>
      <c r="L268" s="2" t="s">
        <v>611</v>
      </c>
      <c r="M268" s="3">
        <v>2800</v>
      </c>
      <c r="N268" s="4">
        <f ca="1">DATEDIF(O268,TODAY(),"Y")</f>
        <v>24</v>
      </c>
      <c r="O268" s="5">
        <v>37470</v>
      </c>
      <c r="P268" s="2" t="s">
        <v>254</v>
      </c>
      <c r="Q268" s="2" t="s">
        <v>795</v>
      </c>
      <c r="R268" s="6">
        <v>16900</v>
      </c>
      <c r="S268" s="6">
        <v>42500</v>
      </c>
      <c r="T268" s="7" t="s">
        <v>28</v>
      </c>
      <c r="U268" s="2">
        <v>26</v>
      </c>
      <c r="V268" s="2" t="str">
        <f>IF(Tabela1[[#This Row],[qtde_batalhas]]&lt;=10,"Baixo",IF(Tabela1[[#This Row],[qtde_batalhas]]&lt;=25,"Médio","Alto"))</f>
        <v>Alto</v>
      </c>
      <c r="W268" s="2" t="s">
        <v>28</v>
      </c>
      <c r="X268" s="6">
        <v>12500</v>
      </c>
      <c r="Y268" s="2" t="str">
        <f t="shared" si="33"/>
        <v>Negado</v>
      </c>
      <c r="Z268" s="1" t="str">
        <f t="shared" si="34"/>
        <v>Aprovado</v>
      </c>
      <c r="AA268" s="26">
        <f t="shared" si="35"/>
        <v>0</v>
      </c>
    </row>
    <row r="269" spans="1:27">
      <c r="A269" s="16">
        <f ca="1">YEAR(TODAY())-Tabela1[[#This Row],[idade]]</f>
        <v>1971</v>
      </c>
      <c r="B269" s="1">
        <f t="shared" ca="1" si="32"/>
        <v>55</v>
      </c>
      <c r="C269" s="1" t="str">
        <f>PROPER(Tabela1[[#This Row],[nome]])</f>
        <v>Eddard Greyjoy</v>
      </c>
      <c r="D269" s="1" t="str">
        <f t="shared" si="36"/>
        <v>000.000.238-00</v>
      </c>
      <c r="G269" s="26" t="str">
        <f t="shared" si="37"/>
        <v>-</v>
      </c>
      <c r="H269" s="26">
        <f t="shared" si="38"/>
        <v>5000</v>
      </c>
      <c r="I269" s="1" t="str">
        <f t="shared" si="39"/>
        <v>Não</v>
      </c>
      <c r="K269" s="2" t="s">
        <v>29</v>
      </c>
      <c r="L269" s="2" t="s">
        <v>613</v>
      </c>
      <c r="M269" s="3" t="s">
        <v>614</v>
      </c>
      <c r="N269" s="4">
        <f ca="1">DATEDIF(O269,TODAY(),"Y")</f>
        <v>55</v>
      </c>
      <c r="O269" s="5">
        <v>25848</v>
      </c>
      <c r="P269" s="2" t="s">
        <v>70</v>
      </c>
      <c r="Q269" s="2" t="s">
        <v>71</v>
      </c>
      <c r="S269" s="6">
        <v>5000</v>
      </c>
      <c r="T269" s="7" t="s">
        <v>49</v>
      </c>
      <c r="U269" s="2">
        <v>8</v>
      </c>
      <c r="V269" s="2" t="str">
        <f>IF(Tabela1[[#This Row],[qtde_batalhas]]&lt;=10,"Baixo",IF(Tabela1[[#This Row],[qtde_batalhas]]&lt;=25,"Médio","Alto"))</f>
        <v>Baixo</v>
      </c>
      <c r="W269" s="2" t="s">
        <v>49</v>
      </c>
      <c r="X269" s="6">
        <v>11000</v>
      </c>
      <c r="Y269" s="2" t="str">
        <f t="shared" si="33"/>
        <v>Aprovado</v>
      </c>
      <c r="Z269" s="1" t="str">
        <f t="shared" si="34"/>
        <v>Aprovado</v>
      </c>
      <c r="AA269" s="26">
        <f t="shared" si="35"/>
        <v>0</v>
      </c>
    </row>
    <row r="270" spans="1:27">
      <c r="A270" s="16">
        <f ca="1">YEAR(TODAY())-Tabela1[[#This Row],[idade]]</f>
        <v>1959</v>
      </c>
      <c r="B270" s="1">
        <f t="shared" ca="1" si="32"/>
        <v>67</v>
      </c>
      <c r="C270" s="1" t="str">
        <f>PROPER(Tabela1[[#This Row],[nome]])</f>
        <v>Thoros Greyjoy</v>
      </c>
      <c r="D270" s="1" t="str">
        <f t="shared" si="36"/>
        <v>000.000.374-00</v>
      </c>
      <c r="G270" s="26">
        <f t="shared" si="37"/>
        <v>6400</v>
      </c>
      <c r="H270" s="26">
        <f t="shared" si="38"/>
        <v>1000</v>
      </c>
      <c r="I270" s="1" t="str">
        <f t="shared" si="39"/>
        <v>Não</v>
      </c>
      <c r="K270" s="2" t="s">
        <v>23</v>
      </c>
      <c r="L270" s="2" t="s">
        <v>568</v>
      </c>
      <c r="M270" s="3" t="s">
        <v>615</v>
      </c>
      <c r="N270" s="4">
        <f ca="1">DATEDIF(O270,TODAY(),"Y")</f>
        <v>67</v>
      </c>
      <c r="O270" s="5">
        <v>21573</v>
      </c>
      <c r="P270" s="2" t="s">
        <v>194</v>
      </c>
      <c r="Q270" s="2" t="s">
        <v>408</v>
      </c>
      <c r="R270" s="6">
        <v>6400</v>
      </c>
      <c r="S270" s="6">
        <v>1000</v>
      </c>
      <c r="T270" s="7" t="s">
        <v>49</v>
      </c>
      <c r="U270" s="2">
        <v>27</v>
      </c>
      <c r="V270" s="2" t="str">
        <f>IF(Tabela1[[#This Row],[qtde_batalhas]]&lt;=10,"Baixo",IF(Tabela1[[#This Row],[qtde_batalhas]]&lt;=25,"Médio","Alto"))</f>
        <v>Alto</v>
      </c>
      <c r="W270" s="2" t="s">
        <v>49</v>
      </c>
      <c r="X270" s="6">
        <v>50000</v>
      </c>
      <c r="Y270" s="2" t="str">
        <f t="shared" si="33"/>
        <v>Aprovado</v>
      </c>
      <c r="Z270" s="1" t="str">
        <f t="shared" si="34"/>
        <v>Aprovado</v>
      </c>
      <c r="AA270" s="26">
        <f t="shared" si="35"/>
        <v>54000</v>
      </c>
    </row>
    <row r="271" spans="1:27">
      <c r="A271" s="16">
        <f ca="1">YEAR(TODAY())-Tabela1[[#This Row],[idade]]</f>
        <v>1982</v>
      </c>
      <c r="B271" s="1">
        <f t="shared" ca="1" si="32"/>
        <v>45</v>
      </c>
      <c r="C271" s="1" t="str">
        <f>PROPER(Tabela1[[#This Row],[nome]])</f>
        <v>Gilly Marbrand</v>
      </c>
      <c r="D271" s="1" t="str">
        <f t="shared" si="36"/>
        <v>-</v>
      </c>
      <c r="G271" s="26">
        <f t="shared" si="37"/>
        <v>11300</v>
      </c>
      <c r="H271" s="26">
        <f t="shared" si="38"/>
        <v>55000</v>
      </c>
      <c r="I271" s="1" t="str">
        <f t="shared" si="39"/>
        <v>Não</v>
      </c>
      <c r="K271" s="2" t="s">
        <v>23</v>
      </c>
      <c r="L271" s="2" t="s">
        <v>616</v>
      </c>
      <c r="M271" s="3">
        <v>15600</v>
      </c>
      <c r="N271" s="4">
        <f ca="1">DATEDIF(O271,TODAY(),"Y")</f>
        <v>44</v>
      </c>
      <c r="O271" s="5">
        <v>29843</v>
      </c>
      <c r="P271" s="2" t="s">
        <v>37</v>
      </c>
      <c r="Q271" s="2" t="s">
        <v>38</v>
      </c>
      <c r="R271" s="6">
        <v>11300</v>
      </c>
      <c r="S271" s="6">
        <v>55000</v>
      </c>
      <c r="T271" s="7" t="s">
        <v>49</v>
      </c>
      <c r="U271" s="2">
        <v>38</v>
      </c>
      <c r="V271" s="2" t="str">
        <f>IF(Tabela1[[#This Row],[qtde_batalhas]]&lt;=10,"Baixo",IF(Tabela1[[#This Row],[qtde_batalhas]]&lt;=25,"Médio","Alto"))</f>
        <v>Alto</v>
      </c>
      <c r="W271" s="2" t="s">
        <v>49</v>
      </c>
      <c r="X271" s="6">
        <v>68500</v>
      </c>
      <c r="Y271" s="2" t="str">
        <f t="shared" si="33"/>
        <v>Aprovado</v>
      </c>
      <c r="Z271" s="1" t="str">
        <f t="shared" si="34"/>
        <v>Aprovado</v>
      </c>
      <c r="AA271" s="26">
        <f t="shared" si="35"/>
        <v>73980</v>
      </c>
    </row>
    <row r="272" spans="1:27">
      <c r="A272" s="16">
        <f ca="1">YEAR(TODAY())-Tabela1[[#This Row],[idade]]</f>
        <v>1993</v>
      </c>
      <c r="B272" s="1">
        <f t="shared" ca="1" si="32"/>
        <v>33</v>
      </c>
      <c r="C272" s="1" t="str">
        <f>PROPER(Tabela1[[#This Row],[nome]])</f>
        <v>Catelyn Lannister</v>
      </c>
      <c r="D272" s="1" t="str">
        <f t="shared" si="36"/>
        <v>000.000.110-00</v>
      </c>
      <c r="G272" s="26">
        <f t="shared" si="37"/>
        <v>29300</v>
      </c>
      <c r="H272" s="26">
        <f t="shared" si="38"/>
        <v>69000</v>
      </c>
      <c r="I272" s="1" t="str">
        <f t="shared" si="39"/>
        <v>Sim</v>
      </c>
      <c r="K272" s="2" t="s">
        <v>23</v>
      </c>
      <c r="L272" s="2" t="s">
        <v>617</v>
      </c>
      <c r="M272" s="3" t="s">
        <v>618</v>
      </c>
      <c r="N272" s="4">
        <f ca="1">DATEDIF(O272,TODAY(),"Y")</f>
        <v>33</v>
      </c>
      <c r="O272" s="5">
        <v>34070</v>
      </c>
      <c r="P272" s="2" t="s">
        <v>254</v>
      </c>
      <c r="Q272" s="2" t="s">
        <v>795</v>
      </c>
      <c r="R272" s="6">
        <v>29300</v>
      </c>
      <c r="S272" s="6">
        <v>69000</v>
      </c>
      <c r="T272" s="7" t="s">
        <v>28</v>
      </c>
      <c r="U272" s="2">
        <v>0</v>
      </c>
      <c r="V272" s="2" t="str">
        <f>IF(Tabela1[[#This Row],[qtde_batalhas]]&lt;=10,"Baixo",IF(Tabela1[[#This Row],[qtde_batalhas]]&lt;=25,"Médio","Alto"))</f>
        <v>Baixo</v>
      </c>
      <c r="W272" s="2" t="s">
        <v>28</v>
      </c>
      <c r="X272" s="6">
        <v>4500</v>
      </c>
      <c r="Y272" s="2" t="str">
        <f t="shared" si="33"/>
        <v>Aprovado</v>
      </c>
      <c r="Z272" s="1" t="str">
        <f t="shared" si="34"/>
        <v>Negado</v>
      </c>
      <c r="AA272" s="26">
        <f t="shared" si="35"/>
        <v>0</v>
      </c>
    </row>
    <row r="273" spans="1:27">
      <c r="A273" s="16">
        <f ca="1">YEAR(TODAY())-Tabela1[[#This Row],[idade]]</f>
        <v>2002</v>
      </c>
      <c r="B273" s="1">
        <f t="shared" ca="1" si="32"/>
        <v>24</v>
      </c>
      <c r="C273" s="1" t="str">
        <f>PROPER(Tabela1[[#This Row],[nome]])</f>
        <v>Gendry Cerwyn</v>
      </c>
      <c r="D273" s="1" t="str">
        <f t="shared" si="36"/>
        <v>000.000.153-00</v>
      </c>
      <c r="G273" s="26">
        <f t="shared" si="37"/>
        <v>14200</v>
      </c>
      <c r="H273" s="26">
        <f t="shared" si="38"/>
        <v>71000</v>
      </c>
      <c r="I273" s="1" t="str">
        <f t="shared" si="39"/>
        <v>Não</v>
      </c>
      <c r="K273" s="2" t="s">
        <v>23</v>
      </c>
      <c r="L273" s="2" t="s">
        <v>619</v>
      </c>
      <c r="M273" s="3" t="s">
        <v>620</v>
      </c>
      <c r="N273" s="4">
        <f ca="1">DATEDIF(O273,TODAY(),"Y")</f>
        <v>24</v>
      </c>
      <c r="O273" s="5">
        <v>37394</v>
      </c>
      <c r="P273" s="2" t="s">
        <v>847</v>
      </c>
      <c r="Q273" s="2" t="s">
        <v>848</v>
      </c>
      <c r="R273" s="6">
        <v>14200</v>
      </c>
      <c r="S273" s="6">
        <v>71000</v>
      </c>
      <c r="T273" s="7" t="s">
        <v>49</v>
      </c>
      <c r="U273" s="2">
        <v>10</v>
      </c>
      <c r="V273" s="2" t="str">
        <f>IF(Tabela1[[#This Row],[qtde_batalhas]]&lt;=10,"Baixo",IF(Tabela1[[#This Row],[qtde_batalhas]]&lt;=25,"Médio","Alto"))</f>
        <v>Baixo</v>
      </c>
      <c r="W273" s="2" t="s">
        <v>49</v>
      </c>
      <c r="X273" s="6">
        <v>91500</v>
      </c>
      <c r="Y273" s="2" t="str">
        <f t="shared" si="33"/>
        <v>Aprovado</v>
      </c>
      <c r="Z273" s="1" t="str">
        <f t="shared" si="34"/>
        <v>Aprovado</v>
      </c>
      <c r="AA273" s="26">
        <f t="shared" si="35"/>
        <v>98820</v>
      </c>
    </row>
    <row r="274" spans="1:27">
      <c r="A274" s="16">
        <f ca="1">YEAR(TODAY())-Tabela1[[#This Row],[idade]]</f>
        <v>2006</v>
      </c>
      <c r="B274" s="1">
        <f t="shared" ca="1" si="32"/>
        <v>20</v>
      </c>
      <c r="C274" s="1" t="str">
        <f>PROPER(Tabela1[[#This Row],[nome]])</f>
        <v>Jon Ilhasyne</v>
      </c>
      <c r="D274" s="1" t="str">
        <f t="shared" si="36"/>
        <v>-</v>
      </c>
      <c r="G274" s="26">
        <f t="shared" si="37"/>
        <v>9300</v>
      </c>
      <c r="H274" s="26">
        <f t="shared" si="38"/>
        <v>35000</v>
      </c>
      <c r="I274" s="1" t="str">
        <f t="shared" si="39"/>
        <v>Não</v>
      </c>
      <c r="K274" s="2" t="s">
        <v>23</v>
      </c>
      <c r="L274" s="2" t="s">
        <v>849</v>
      </c>
      <c r="M274" s="3">
        <v>31900</v>
      </c>
      <c r="N274" s="4">
        <f ca="1">DATEDIF(O274,TODAY(),"Y")</f>
        <v>20</v>
      </c>
      <c r="O274" s="5">
        <v>38678</v>
      </c>
      <c r="P274" s="2" t="s">
        <v>76</v>
      </c>
      <c r="Q274" s="2" t="s">
        <v>71</v>
      </c>
      <c r="R274" s="6">
        <v>9300</v>
      </c>
      <c r="S274" s="6">
        <v>35000</v>
      </c>
      <c r="T274" s="7" t="s">
        <v>49</v>
      </c>
      <c r="U274" s="2">
        <v>5</v>
      </c>
      <c r="V274" s="2" t="str">
        <f>IF(Tabela1[[#This Row],[qtde_batalhas]]&lt;=10,"Baixo",IF(Tabela1[[#This Row],[qtde_batalhas]]&lt;=25,"Médio","Alto"))</f>
        <v>Baixo</v>
      </c>
      <c r="W274" s="2" t="s">
        <v>49</v>
      </c>
      <c r="X274" s="6">
        <v>10500</v>
      </c>
      <c r="Y274" s="2" t="str">
        <f t="shared" si="33"/>
        <v>Aprovado</v>
      </c>
      <c r="Z274" s="1" t="str">
        <f t="shared" si="34"/>
        <v>Aprovado</v>
      </c>
      <c r="AA274" s="26">
        <f t="shared" si="35"/>
        <v>11340</v>
      </c>
    </row>
    <row r="275" spans="1:27">
      <c r="A275" s="16">
        <f ca="1">YEAR(TODAY())-Tabela1[[#This Row],[idade]]</f>
        <v>2006</v>
      </c>
      <c r="B275" s="1">
        <f t="shared" ca="1" si="32"/>
        <v>20</v>
      </c>
      <c r="C275" s="1" t="str">
        <f>PROPER(Tabela1[[#This Row],[nome]])</f>
        <v>Renly Blackwood</v>
      </c>
      <c r="D275" s="1" t="str">
        <f t="shared" si="36"/>
        <v>000.000.106-00</v>
      </c>
      <c r="G275" s="26">
        <f t="shared" si="37"/>
        <v>12900</v>
      </c>
      <c r="H275" s="26">
        <f t="shared" si="38"/>
        <v>26500</v>
      </c>
      <c r="I275" s="1" t="str">
        <f t="shared" si="39"/>
        <v>Não</v>
      </c>
      <c r="K275" s="2" t="s">
        <v>29</v>
      </c>
      <c r="L275" s="2" t="s">
        <v>623</v>
      </c>
      <c r="M275" s="3" t="s">
        <v>624</v>
      </c>
      <c r="N275" s="4">
        <f ca="1">DATEDIF(O275,TODAY(),"Y")</f>
        <v>20</v>
      </c>
      <c r="O275" s="5">
        <v>38704</v>
      </c>
      <c r="P275" s="2" t="s">
        <v>254</v>
      </c>
      <c r="Q275" s="2" t="s">
        <v>32</v>
      </c>
      <c r="R275" s="6">
        <v>12900</v>
      </c>
      <c r="S275" s="6">
        <v>26500</v>
      </c>
      <c r="T275" s="7" t="s">
        <v>49</v>
      </c>
      <c r="U275" s="2">
        <v>13</v>
      </c>
      <c r="V275" s="2" t="str">
        <f>IF(Tabela1[[#This Row],[qtde_batalhas]]&lt;=10,"Baixo",IF(Tabela1[[#This Row],[qtde_batalhas]]&lt;=25,"Médio","Alto"))</f>
        <v>Médio</v>
      </c>
      <c r="W275" s="2" t="s">
        <v>49</v>
      </c>
      <c r="X275" s="6">
        <v>2000</v>
      </c>
      <c r="Y275" s="2" t="str">
        <f t="shared" si="33"/>
        <v>Aprovado</v>
      </c>
      <c r="Z275" s="1" t="str">
        <f t="shared" si="34"/>
        <v>Aprovado</v>
      </c>
      <c r="AA275" s="26">
        <f t="shared" si="35"/>
        <v>0</v>
      </c>
    </row>
    <row r="276" spans="1:27">
      <c r="A276" s="16">
        <f ca="1">YEAR(TODAY())-Tabela1[[#This Row],[idade]]</f>
        <v>1999</v>
      </c>
      <c r="B276" s="1">
        <f t="shared" ca="1" si="32"/>
        <v>27</v>
      </c>
      <c r="C276" s="1" t="str">
        <f>PROPER(Tabela1[[#This Row],[nome]])</f>
        <v>Ilhasvos  Baratheon</v>
      </c>
      <c r="D276" s="1" t="str">
        <f t="shared" si="36"/>
        <v>000.000.055-00</v>
      </c>
      <c r="G276" s="26">
        <f t="shared" si="37"/>
        <v>22500</v>
      </c>
      <c r="H276" s="26">
        <f t="shared" si="38"/>
        <v>55500</v>
      </c>
      <c r="I276" s="1" t="str">
        <f t="shared" si="39"/>
        <v>Não</v>
      </c>
      <c r="K276" s="2" t="s">
        <v>23</v>
      </c>
      <c r="L276" s="2" t="s">
        <v>850</v>
      </c>
      <c r="M276" s="3" t="s">
        <v>626</v>
      </c>
      <c r="N276" s="4">
        <f ca="1">DATEDIF(O276,TODAY(),"Y")</f>
        <v>27</v>
      </c>
      <c r="O276" s="5">
        <v>36337</v>
      </c>
      <c r="P276" s="2" t="s">
        <v>119</v>
      </c>
      <c r="Q276" s="2" t="s">
        <v>91</v>
      </c>
      <c r="R276" s="6">
        <v>22500</v>
      </c>
      <c r="S276" s="6">
        <v>55500</v>
      </c>
      <c r="T276" s="7" t="s">
        <v>49</v>
      </c>
      <c r="U276" s="2">
        <v>32</v>
      </c>
      <c r="V276" s="2" t="str">
        <f>IF(Tabela1[[#This Row],[qtde_batalhas]]&lt;=10,"Baixo",IF(Tabela1[[#This Row],[qtde_batalhas]]&lt;=25,"Médio","Alto"))</f>
        <v>Alto</v>
      </c>
      <c r="W276" s="2" t="s">
        <v>49</v>
      </c>
      <c r="X276" s="6">
        <v>91500</v>
      </c>
      <c r="Y276" s="2" t="str">
        <f t="shared" si="33"/>
        <v>Aprovado</v>
      </c>
      <c r="Z276" s="1" t="str">
        <f t="shared" si="34"/>
        <v>Aprovado</v>
      </c>
      <c r="AA276" s="26">
        <f t="shared" si="35"/>
        <v>98820</v>
      </c>
    </row>
    <row r="277" spans="1:27">
      <c r="A277" s="16">
        <f ca="1">YEAR(TODAY())-Tabela1[[#This Row],[idade]]</f>
        <v>1958</v>
      </c>
      <c r="B277" s="1">
        <f t="shared" ca="1" si="32"/>
        <v>69</v>
      </c>
      <c r="C277" s="1" t="str">
        <f>PROPER(Tabela1[[#This Row],[nome]])</f>
        <v>Bronn Crakehall</v>
      </c>
      <c r="D277" s="1" t="str">
        <f t="shared" si="36"/>
        <v>-</v>
      </c>
      <c r="G277" s="26">
        <f t="shared" si="37"/>
        <v>3600</v>
      </c>
      <c r="H277" s="26">
        <f t="shared" si="38"/>
        <v>64500</v>
      </c>
      <c r="I277" s="1" t="str">
        <f t="shared" si="39"/>
        <v>Sim</v>
      </c>
      <c r="K277" s="2" t="s">
        <v>23</v>
      </c>
      <c r="L277" s="2" t="s">
        <v>627</v>
      </c>
      <c r="M277" s="3">
        <v>29500</v>
      </c>
      <c r="N277" s="4">
        <f ca="1">DATEDIF(O277,TODAY(),"Y")</f>
        <v>68</v>
      </c>
      <c r="O277" s="5">
        <v>21079</v>
      </c>
      <c r="P277" s="2" t="s">
        <v>194</v>
      </c>
      <c r="Q277" s="2" t="s">
        <v>408</v>
      </c>
      <c r="R277" s="6">
        <v>3600</v>
      </c>
      <c r="S277" s="6">
        <v>64500</v>
      </c>
      <c r="T277" s="7" t="s">
        <v>28</v>
      </c>
      <c r="U277" s="2">
        <v>32</v>
      </c>
      <c r="V277" s="2" t="str">
        <f>IF(Tabela1[[#This Row],[qtde_batalhas]]&lt;=10,"Baixo",IF(Tabela1[[#This Row],[qtde_batalhas]]&lt;=25,"Médio","Alto"))</f>
        <v>Alto</v>
      </c>
      <c r="W277" s="2" t="s">
        <v>28</v>
      </c>
      <c r="X277" s="6">
        <v>35500</v>
      </c>
      <c r="Y277" s="2" t="str">
        <f t="shared" si="33"/>
        <v>Negado</v>
      </c>
      <c r="Z277" s="1" t="str">
        <f t="shared" si="34"/>
        <v>Negado</v>
      </c>
      <c r="AA277" s="26">
        <f t="shared" si="35"/>
        <v>0</v>
      </c>
    </row>
    <row r="278" spans="1:27">
      <c r="A278" s="16">
        <f ca="1">YEAR(TODAY())-Tabela1[[#This Row],[idade]]</f>
        <v>1973</v>
      </c>
      <c r="B278" s="1">
        <f t="shared" ca="1" si="32"/>
        <v>54</v>
      </c>
      <c r="C278" s="1" t="str">
        <f>PROPER(Tabela1[[#This Row],[nome]])</f>
        <v>Jorah Marbrand</v>
      </c>
      <c r="D278" s="1" t="str">
        <f t="shared" si="36"/>
        <v>000.000.339-00</v>
      </c>
      <c r="G278" s="26">
        <f t="shared" si="37"/>
        <v>15500</v>
      </c>
      <c r="H278" s="26" t="str">
        <f t="shared" si="38"/>
        <v>-</v>
      </c>
      <c r="I278" s="1" t="str">
        <f t="shared" si="39"/>
        <v>Não</v>
      </c>
      <c r="K278" s="2" t="s">
        <v>23</v>
      </c>
      <c r="L278" s="2" t="s">
        <v>477</v>
      </c>
      <c r="M278" s="3" t="s">
        <v>629</v>
      </c>
      <c r="N278" s="4">
        <f ca="1">DATEDIF(O278,TODAY(),"Y")</f>
        <v>53</v>
      </c>
      <c r="O278" s="5">
        <v>26558</v>
      </c>
      <c r="P278" s="2" t="s">
        <v>37</v>
      </c>
      <c r="Q278" s="2" t="s">
        <v>38</v>
      </c>
      <c r="R278" s="6">
        <v>15500</v>
      </c>
      <c r="T278" s="7" t="s">
        <v>49</v>
      </c>
      <c r="U278" s="2">
        <v>16</v>
      </c>
      <c r="V278" s="2" t="str">
        <f>IF(Tabela1[[#This Row],[qtde_batalhas]]&lt;=10,"Baixo",IF(Tabela1[[#This Row],[qtde_batalhas]]&lt;=25,"Médio","Alto"))</f>
        <v>Médio</v>
      </c>
      <c r="W278" s="2" t="s">
        <v>49</v>
      </c>
      <c r="X278" s="6">
        <v>41000</v>
      </c>
      <c r="Y278" s="2" t="str">
        <f t="shared" si="33"/>
        <v>Aprovado</v>
      </c>
      <c r="Z278" s="1" t="str">
        <f t="shared" si="34"/>
        <v>Aprovado</v>
      </c>
      <c r="AA278" s="26">
        <f t="shared" si="35"/>
        <v>44280</v>
      </c>
    </row>
    <row r="279" spans="1:27">
      <c r="A279" s="16">
        <f ca="1">YEAR(TODAY())-Tabela1[[#This Row],[idade]]</f>
        <v>2026</v>
      </c>
      <c r="B279" s="1">
        <f t="shared" ca="1" si="32"/>
        <v>126</v>
      </c>
      <c r="C279" s="1" t="str">
        <f>PROPER(Tabela1[[#This Row],[nome]])</f>
        <v>Cersei Umber</v>
      </c>
      <c r="D279" s="1" t="str">
        <f t="shared" si="36"/>
        <v>000.000.058-00</v>
      </c>
      <c r="G279" s="26">
        <f t="shared" si="37"/>
        <v>1900</v>
      </c>
      <c r="H279" s="26">
        <f t="shared" si="38"/>
        <v>3500</v>
      </c>
      <c r="I279" s="1" t="str">
        <f t="shared" si="39"/>
        <v>Não</v>
      </c>
      <c r="K279" s="2" t="s">
        <v>23</v>
      </c>
      <c r="L279" s="2" t="s">
        <v>630</v>
      </c>
      <c r="M279" s="3" t="s">
        <v>631</v>
      </c>
      <c r="P279" s="2" t="s">
        <v>122</v>
      </c>
      <c r="Q279" s="2" t="s">
        <v>98</v>
      </c>
      <c r="R279" s="6">
        <v>1900</v>
      </c>
      <c r="S279" s="6">
        <v>3500</v>
      </c>
      <c r="T279" s="7" t="s">
        <v>49</v>
      </c>
      <c r="U279" s="2">
        <v>19</v>
      </c>
      <c r="V279" s="2" t="str">
        <f>IF(Tabela1[[#This Row],[qtde_batalhas]]&lt;=10,"Baixo",IF(Tabela1[[#This Row],[qtde_batalhas]]&lt;=25,"Médio","Alto"))</f>
        <v>Médio</v>
      </c>
      <c r="W279" s="2" t="s">
        <v>49</v>
      </c>
      <c r="X279" s="6">
        <v>62000</v>
      </c>
      <c r="Y279" s="2" t="str">
        <f t="shared" si="33"/>
        <v>Aprovado</v>
      </c>
      <c r="Z279" s="1" t="str">
        <f t="shared" si="34"/>
        <v>Aprovado</v>
      </c>
      <c r="AA279" s="26">
        <f t="shared" si="35"/>
        <v>66960</v>
      </c>
    </row>
    <row r="280" spans="1:27">
      <c r="A280" s="16">
        <f ca="1">YEAR(TODAY())-Tabela1[[#This Row],[idade]]</f>
        <v>1965</v>
      </c>
      <c r="B280" s="1">
        <f t="shared" ca="1" si="32"/>
        <v>61</v>
      </c>
      <c r="C280" s="1" t="str">
        <f>PROPER(Tabela1[[#This Row],[nome]])</f>
        <v>Petyr Yronwood</v>
      </c>
      <c r="D280" s="1" t="str">
        <f t="shared" si="36"/>
        <v>000.000.095-00</v>
      </c>
      <c r="G280" s="26">
        <f t="shared" si="37"/>
        <v>7000</v>
      </c>
      <c r="H280" s="26">
        <f t="shared" si="38"/>
        <v>1500</v>
      </c>
      <c r="I280" s="1" t="str">
        <f t="shared" si="39"/>
        <v>Sim</v>
      </c>
      <c r="K280" s="2" t="s">
        <v>23</v>
      </c>
      <c r="L280" s="2" t="s">
        <v>632</v>
      </c>
      <c r="M280" s="3" t="s">
        <v>633</v>
      </c>
      <c r="N280" s="4">
        <f ca="1">DATEDIF(O280,TODAY(),"Y")</f>
        <v>61</v>
      </c>
      <c r="O280" s="5">
        <v>23964</v>
      </c>
      <c r="P280" s="2" t="s">
        <v>103</v>
      </c>
      <c r="Q280" s="2" t="s">
        <v>91</v>
      </c>
      <c r="R280" s="6">
        <v>7000</v>
      </c>
      <c r="S280" s="6">
        <v>1500</v>
      </c>
      <c r="T280" s="7" t="s">
        <v>28</v>
      </c>
      <c r="U280" s="2">
        <v>32</v>
      </c>
      <c r="V280" s="2" t="str">
        <f>IF(Tabela1[[#This Row],[qtde_batalhas]]&lt;=10,"Baixo",IF(Tabela1[[#This Row],[qtde_batalhas]]&lt;=25,"Médio","Alto"))</f>
        <v>Alto</v>
      </c>
      <c r="W280" s="2" t="s">
        <v>28</v>
      </c>
      <c r="X280" s="6">
        <v>53000</v>
      </c>
      <c r="Y280" s="2" t="str">
        <f t="shared" si="33"/>
        <v>Negado</v>
      </c>
      <c r="Z280" s="1" t="str">
        <f t="shared" si="34"/>
        <v>Aprovado</v>
      </c>
      <c r="AA280" s="26">
        <f t="shared" si="35"/>
        <v>0</v>
      </c>
    </row>
    <row r="281" spans="1:27">
      <c r="A281" s="16">
        <f ca="1">YEAR(TODAY())-Tabela1[[#This Row],[idade]]</f>
        <v>2001</v>
      </c>
      <c r="B281" s="1">
        <f t="shared" ca="1" si="32"/>
        <v>25</v>
      </c>
      <c r="C281" s="1" t="str">
        <f>PROPER(Tabela1[[#This Row],[nome]])</f>
        <v>Robert Westerling</v>
      </c>
      <c r="D281" s="1" t="str">
        <f t="shared" si="36"/>
        <v>000.000.105-00</v>
      </c>
      <c r="G281" s="26">
        <f t="shared" si="37"/>
        <v>27300</v>
      </c>
      <c r="H281" s="26">
        <f t="shared" si="38"/>
        <v>1500</v>
      </c>
      <c r="I281" s="1" t="str">
        <f t="shared" si="39"/>
        <v>Sim</v>
      </c>
      <c r="K281" s="2" t="s">
        <v>23</v>
      </c>
      <c r="L281" s="2" t="s">
        <v>634</v>
      </c>
      <c r="M281" s="3" t="s">
        <v>635</v>
      </c>
      <c r="N281" s="4">
        <f ca="1">DATEDIF(O281,TODAY(),"Y")</f>
        <v>25</v>
      </c>
      <c r="O281" s="5">
        <v>37118</v>
      </c>
      <c r="P281" s="2" t="s">
        <v>122</v>
      </c>
      <c r="Q281" s="2" t="s">
        <v>98</v>
      </c>
      <c r="R281" s="6">
        <v>27300</v>
      </c>
      <c r="S281" s="6">
        <v>1500</v>
      </c>
      <c r="T281" s="7">
        <v>1</v>
      </c>
      <c r="U281" s="2">
        <v>33</v>
      </c>
      <c r="V281" s="2" t="str">
        <f>IF(Tabela1[[#This Row],[qtde_batalhas]]&lt;=10,"Baixo",IF(Tabela1[[#This Row],[qtde_batalhas]]&lt;=25,"Médio","Alto"))</f>
        <v>Alto</v>
      </c>
      <c r="W281" s="2">
        <v>1</v>
      </c>
      <c r="X281" s="6">
        <v>14000</v>
      </c>
      <c r="Y281" s="2" t="str">
        <f t="shared" si="33"/>
        <v>Aprovado</v>
      </c>
      <c r="Z281" s="1" t="str">
        <f t="shared" si="34"/>
        <v>Aprovado</v>
      </c>
      <c r="AA281" s="26">
        <f t="shared" si="35"/>
        <v>15120.000000000002</v>
      </c>
    </row>
    <row r="282" spans="1:27">
      <c r="A282" s="16">
        <f ca="1">YEAR(TODAY())-Tabela1[[#This Row],[idade]]</f>
        <v>1974</v>
      </c>
      <c r="B282" s="1">
        <f t="shared" ca="1" si="32"/>
        <v>52</v>
      </c>
      <c r="C282" s="1" t="str">
        <f>PROPER(Tabela1[[#This Row],[nome]])</f>
        <v>Jon Tarth</v>
      </c>
      <c r="D282" s="1" t="str">
        <f t="shared" si="36"/>
        <v>000.000.208-00</v>
      </c>
      <c r="G282" s="26">
        <f t="shared" si="37"/>
        <v>24900</v>
      </c>
      <c r="H282" s="26">
        <f t="shared" si="38"/>
        <v>0</v>
      </c>
      <c r="I282" s="1" t="str">
        <f t="shared" si="39"/>
        <v>Não</v>
      </c>
      <c r="K282" s="2" t="s">
        <v>23</v>
      </c>
      <c r="L282" s="2" t="s">
        <v>637</v>
      </c>
      <c r="M282" s="3" t="s">
        <v>638</v>
      </c>
      <c r="N282" s="4">
        <f ca="1">DATEDIF(O282,TODAY(),"Y")</f>
        <v>52</v>
      </c>
      <c r="O282" s="5">
        <v>27088</v>
      </c>
      <c r="P282" s="2" t="s">
        <v>31</v>
      </c>
      <c r="Q282" s="2" t="s">
        <v>810</v>
      </c>
      <c r="R282" s="6">
        <v>24900</v>
      </c>
      <c r="S282" s="6">
        <v>0</v>
      </c>
      <c r="T282" s="7" t="s">
        <v>49</v>
      </c>
      <c r="U282" s="2">
        <v>24</v>
      </c>
      <c r="V282" s="2" t="str">
        <f>IF(Tabela1[[#This Row],[qtde_batalhas]]&lt;=10,"Baixo",IF(Tabela1[[#This Row],[qtde_batalhas]]&lt;=25,"Médio","Alto"))</f>
        <v>Médio</v>
      </c>
      <c r="W282" s="2" t="s">
        <v>49</v>
      </c>
      <c r="X282" s="6">
        <v>16000</v>
      </c>
      <c r="Y282" s="2" t="str">
        <f t="shared" si="33"/>
        <v>Aprovado</v>
      </c>
      <c r="Z282" s="1" t="str">
        <f t="shared" si="34"/>
        <v>Aprovado</v>
      </c>
      <c r="AA282" s="26">
        <f t="shared" si="35"/>
        <v>17280</v>
      </c>
    </row>
    <row r="283" spans="1:27">
      <c r="A283" s="16">
        <f ca="1">YEAR(TODAY())-Tabela1[[#This Row],[idade]]</f>
        <v>1993</v>
      </c>
      <c r="B283" s="1">
        <f t="shared" ca="1" si="32"/>
        <v>33</v>
      </c>
      <c r="C283" s="1" t="str">
        <f>PROPER(Tabela1[[#This Row],[nome]])</f>
        <v>Jaime Seaworth</v>
      </c>
      <c r="D283" s="1" t="str">
        <f t="shared" si="36"/>
        <v>000.000.263-00</v>
      </c>
      <c r="G283" s="26">
        <f t="shared" si="37"/>
        <v>23400</v>
      </c>
      <c r="H283" s="26">
        <f t="shared" si="38"/>
        <v>59000</v>
      </c>
      <c r="I283" s="1" t="str">
        <f t="shared" si="39"/>
        <v>Sim</v>
      </c>
      <c r="K283" s="2" t="s">
        <v>29</v>
      </c>
      <c r="L283" s="2" t="s">
        <v>639</v>
      </c>
      <c r="M283" s="3" t="s">
        <v>640</v>
      </c>
      <c r="N283" s="4">
        <f ca="1">DATEDIF(O283,TODAY(),"Y")</f>
        <v>33</v>
      </c>
      <c r="O283" s="5">
        <v>33989</v>
      </c>
      <c r="P283" s="2" t="s">
        <v>174</v>
      </c>
      <c r="Q283" s="2" t="s">
        <v>38</v>
      </c>
      <c r="R283" s="6">
        <v>23400</v>
      </c>
      <c r="S283" s="6">
        <v>59000</v>
      </c>
      <c r="T283" s="7" t="s">
        <v>28</v>
      </c>
      <c r="U283" s="2">
        <v>35</v>
      </c>
      <c r="V283" s="2" t="str">
        <f>IF(Tabela1[[#This Row],[qtde_batalhas]]&lt;=10,"Baixo",IF(Tabela1[[#This Row],[qtde_batalhas]]&lt;=25,"Médio","Alto"))</f>
        <v>Alto</v>
      </c>
      <c r="W283" s="2" t="s">
        <v>28</v>
      </c>
      <c r="X283" s="6">
        <v>39000</v>
      </c>
      <c r="Y283" s="2" t="str">
        <f t="shared" si="33"/>
        <v>Negado</v>
      </c>
      <c r="Z283" s="1" t="str">
        <f t="shared" si="34"/>
        <v>Negado</v>
      </c>
      <c r="AA283" s="26">
        <f t="shared" si="35"/>
        <v>0</v>
      </c>
    </row>
    <row r="284" spans="1:27">
      <c r="A284" s="16">
        <f ca="1">YEAR(TODAY())-Tabela1[[#This Row],[idade]]</f>
        <v>1978</v>
      </c>
      <c r="B284" s="1">
        <f t="shared" ca="1" si="32"/>
        <v>48</v>
      </c>
      <c r="C284" s="1" t="str">
        <f>PROPER(Tabela1[[#This Row],[nome]])</f>
        <v>Jorah  Tyrell</v>
      </c>
      <c r="D284" s="1" t="str">
        <f t="shared" si="36"/>
        <v>000.000.229-00</v>
      </c>
      <c r="G284" s="26">
        <f t="shared" si="37"/>
        <v>12400</v>
      </c>
      <c r="H284" s="26">
        <f t="shared" si="38"/>
        <v>0</v>
      </c>
      <c r="I284" s="1" t="str">
        <f t="shared" si="39"/>
        <v>Não</v>
      </c>
      <c r="K284" s="2" t="s">
        <v>29</v>
      </c>
      <c r="L284" s="2" t="s">
        <v>851</v>
      </c>
      <c r="M284" s="3" t="s">
        <v>642</v>
      </c>
      <c r="N284" s="4">
        <f ca="1">DATEDIF(O284,TODAY(),"Y")</f>
        <v>48</v>
      </c>
      <c r="O284" s="5">
        <v>28737</v>
      </c>
      <c r="P284" s="2" t="s">
        <v>174</v>
      </c>
      <c r="Q284" s="2" t="s">
        <v>38</v>
      </c>
      <c r="R284" s="6">
        <v>12400</v>
      </c>
      <c r="S284" s="6">
        <v>0</v>
      </c>
      <c r="T284" s="7" t="s">
        <v>49</v>
      </c>
      <c r="U284" s="2">
        <v>25</v>
      </c>
      <c r="V284" s="2" t="str">
        <f>IF(Tabela1[[#This Row],[qtde_batalhas]]&lt;=10,"Baixo",IF(Tabela1[[#This Row],[qtde_batalhas]]&lt;=25,"Médio","Alto"))</f>
        <v>Médio</v>
      </c>
      <c r="W284" s="2" t="s">
        <v>49</v>
      </c>
      <c r="X284" s="6">
        <v>65500</v>
      </c>
      <c r="Y284" s="2" t="str">
        <f t="shared" si="33"/>
        <v>Aprovado</v>
      </c>
      <c r="Z284" s="1" t="str">
        <f t="shared" si="34"/>
        <v>Aprovado</v>
      </c>
      <c r="AA284" s="26">
        <f t="shared" si="35"/>
        <v>0</v>
      </c>
    </row>
    <row r="285" spans="1:27">
      <c r="A285" s="16">
        <f ca="1">YEAR(TODAY())-Tabela1[[#This Row],[idade]]</f>
        <v>1971</v>
      </c>
      <c r="B285" s="1">
        <f t="shared" ca="1" si="32"/>
        <v>55</v>
      </c>
      <c r="C285" s="1" t="str">
        <f>PROPER(Tabela1[[#This Row],[nome]])</f>
        <v>Eddard Stark</v>
      </c>
      <c r="D285" s="1" t="str">
        <f t="shared" si="36"/>
        <v>000.000.015-00</v>
      </c>
      <c r="G285" s="26">
        <f t="shared" si="37"/>
        <v>29700</v>
      </c>
      <c r="H285" s="26">
        <f t="shared" si="38"/>
        <v>78000</v>
      </c>
      <c r="I285" s="1" t="str">
        <f t="shared" si="39"/>
        <v>Sim</v>
      </c>
      <c r="K285" s="2" t="s">
        <v>29</v>
      </c>
      <c r="L285" s="2" t="s">
        <v>643</v>
      </c>
      <c r="M285" s="3" t="s">
        <v>644</v>
      </c>
      <c r="N285" s="4">
        <f ca="1">DATEDIF(O285,TODAY(),"Y")</f>
        <v>55</v>
      </c>
      <c r="O285" s="5">
        <v>26142</v>
      </c>
      <c r="P285" s="2" t="s">
        <v>26</v>
      </c>
      <c r="Q285" s="2" t="s">
        <v>27</v>
      </c>
      <c r="R285" s="6">
        <v>29700</v>
      </c>
      <c r="S285" s="6">
        <v>78000</v>
      </c>
      <c r="T285" s="7" t="s">
        <v>28</v>
      </c>
      <c r="U285" s="2">
        <v>14</v>
      </c>
      <c r="V285" s="2" t="str">
        <f>IF(Tabela1[[#This Row],[qtde_batalhas]]&lt;=10,"Baixo",IF(Tabela1[[#This Row],[qtde_batalhas]]&lt;=25,"Médio","Alto"))</f>
        <v>Médio</v>
      </c>
      <c r="W285" s="2" t="s">
        <v>28</v>
      </c>
      <c r="X285" s="6">
        <v>27000</v>
      </c>
      <c r="Y285" s="2" t="str">
        <f t="shared" si="33"/>
        <v>Aprovado</v>
      </c>
      <c r="Z285" s="1" t="str">
        <f t="shared" si="34"/>
        <v>Negado</v>
      </c>
      <c r="AA285" s="26">
        <f t="shared" si="35"/>
        <v>0</v>
      </c>
    </row>
    <row r="286" spans="1:27">
      <c r="A286" s="16">
        <f ca="1">YEAR(TODAY())-Tabela1[[#This Row],[idade]]</f>
        <v>2026</v>
      </c>
      <c r="B286" s="1">
        <f t="shared" ca="1" si="32"/>
        <v>126</v>
      </c>
      <c r="C286" s="1" t="str">
        <f>PROPER(Tabela1[[#This Row],[nome]])</f>
        <v>Lyanna Tarly</v>
      </c>
      <c r="D286" s="1" t="str">
        <f t="shared" si="36"/>
        <v>000.000.232-00</v>
      </c>
      <c r="G286" s="26">
        <f t="shared" si="37"/>
        <v>14500</v>
      </c>
      <c r="H286" s="26">
        <f t="shared" si="38"/>
        <v>39500</v>
      </c>
      <c r="I286" s="1" t="str">
        <f t="shared" si="39"/>
        <v>Não</v>
      </c>
      <c r="K286" s="2" t="s">
        <v>23</v>
      </c>
      <c r="L286" s="2" t="s">
        <v>646</v>
      </c>
      <c r="M286" s="3" t="s">
        <v>647</v>
      </c>
      <c r="P286" s="2" t="s">
        <v>76</v>
      </c>
      <c r="Q286" s="2" t="s">
        <v>71</v>
      </c>
      <c r="R286" s="6">
        <v>14500</v>
      </c>
      <c r="S286" s="6">
        <v>39500</v>
      </c>
      <c r="T286" s="7" t="s">
        <v>49</v>
      </c>
      <c r="U286" s="2">
        <v>18</v>
      </c>
      <c r="V286" s="2" t="str">
        <f>IF(Tabela1[[#This Row],[qtde_batalhas]]&lt;=10,"Baixo",IF(Tabela1[[#This Row],[qtde_batalhas]]&lt;=25,"Médio","Alto"))</f>
        <v>Médio</v>
      </c>
      <c r="W286" s="2" t="s">
        <v>49</v>
      </c>
      <c r="X286" s="6">
        <v>32000</v>
      </c>
      <c r="Y286" s="2" t="str">
        <f t="shared" si="33"/>
        <v>Aprovado</v>
      </c>
      <c r="Z286" s="1" t="str">
        <f t="shared" si="34"/>
        <v>Aprovado</v>
      </c>
      <c r="AA286" s="26">
        <f t="shared" si="35"/>
        <v>34560</v>
      </c>
    </row>
    <row r="287" spans="1:27">
      <c r="A287" s="16">
        <f ca="1">YEAR(TODAY())-Tabela1[[#This Row],[idade]]</f>
        <v>1974</v>
      </c>
      <c r="B287" s="1">
        <f t="shared" ca="1" si="32"/>
        <v>53</v>
      </c>
      <c r="C287" s="1" t="str">
        <f>PROPER(Tabela1[[#This Row],[nome]])</f>
        <v>Cersei Tarth</v>
      </c>
      <c r="D287" s="1" t="str">
        <f t="shared" si="36"/>
        <v>000.000.147-00</v>
      </c>
      <c r="G287" s="26">
        <f t="shared" si="37"/>
        <v>7300</v>
      </c>
      <c r="H287" s="26">
        <f t="shared" si="38"/>
        <v>74000</v>
      </c>
      <c r="I287" s="1" t="str">
        <f t="shared" si="39"/>
        <v>Não</v>
      </c>
      <c r="K287" s="2" t="s">
        <v>23</v>
      </c>
      <c r="L287" s="2" t="s">
        <v>648</v>
      </c>
      <c r="M287" s="3" t="s">
        <v>649</v>
      </c>
      <c r="N287" s="4">
        <f ca="1">DATEDIF(O287,TODAY(),"Y")</f>
        <v>52</v>
      </c>
      <c r="O287" s="5">
        <v>26921</v>
      </c>
      <c r="P287" s="2" t="s">
        <v>103</v>
      </c>
      <c r="Q287" s="2" t="s">
        <v>91</v>
      </c>
      <c r="R287" s="6">
        <v>7300</v>
      </c>
      <c r="S287" s="6">
        <v>74000</v>
      </c>
      <c r="T287" s="7" t="s">
        <v>49</v>
      </c>
      <c r="U287" s="2">
        <v>40</v>
      </c>
      <c r="V287" s="2" t="str">
        <f>IF(Tabela1[[#This Row],[qtde_batalhas]]&lt;=10,"Baixo",IF(Tabela1[[#This Row],[qtde_batalhas]]&lt;=25,"Médio","Alto"))</f>
        <v>Alto</v>
      </c>
      <c r="W287" s="2" t="s">
        <v>49</v>
      </c>
      <c r="X287" s="6">
        <v>34500</v>
      </c>
      <c r="Y287" s="2" t="str">
        <f t="shared" si="33"/>
        <v>Aprovado</v>
      </c>
      <c r="Z287" s="1" t="str">
        <f t="shared" si="34"/>
        <v>Aprovado</v>
      </c>
      <c r="AA287" s="26">
        <f t="shared" si="35"/>
        <v>37260</v>
      </c>
    </row>
    <row r="288" spans="1:27">
      <c r="A288" s="16">
        <f ca="1">YEAR(TODAY())-Tabela1[[#This Row],[idade]]</f>
        <v>1963</v>
      </c>
      <c r="B288" s="1">
        <f t="shared" ca="1" si="32"/>
        <v>63</v>
      </c>
      <c r="C288" s="1" t="str">
        <f>PROPER(Tabela1[[#This Row],[nome]])</f>
        <v>Catelyn Mallister</v>
      </c>
      <c r="D288" s="1" t="str">
        <f t="shared" si="36"/>
        <v>000.000.062-00</v>
      </c>
      <c r="G288" s="26">
        <f t="shared" si="37"/>
        <v>11200</v>
      </c>
      <c r="H288" s="26" t="str">
        <f t="shared" si="38"/>
        <v>-</v>
      </c>
      <c r="I288" s="1" t="str">
        <f t="shared" si="39"/>
        <v>-</v>
      </c>
      <c r="K288" s="2" t="s">
        <v>23</v>
      </c>
      <c r="L288" s="2" t="s">
        <v>651</v>
      </c>
      <c r="M288" s="3" t="s">
        <v>652</v>
      </c>
      <c r="N288" s="4">
        <f ca="1">DATEDIF(O288,TODAY(),"Y")</f>
        <v>63</v>
      </c>
      <c r="O288" s="5">
        <v>23006</v>
      </c>
      <c r="P288" s="2" t="s">
        <v>852</v>
      </c>
      <c r="Q288" s="2" t="s">
        <v>798</v>
      </c>
      <c r="R288" s="6">
        <v>11200</v>
      </c>
      <c r="U288" s="2">
        <v>41</v>
      </c>
      <c r="V288" s="2" t="str">
        <f>IF(Tabela1[[#This Row],[qtde_batalhas]]&lt;=10,"Baixo",IF(Tabela1[[#This Row],[qtde_batalhas]]&lt;=25,"Médio","Alto"))</f>
        <v>Alto</v>
      </c>
      <c r="X288" s="6">
        <v>83500</v>
      </c>
      <c r="Y288" s="2" t="str">
        <f t="shared" si="33"/>
        <v>Aprovado</v>
      </c>
      <c r="Z288" s="1" t="str">
        <f t="shared" si="34"/>
        <v>Aprovado</v>
      </c>
      <c r="AA288" s="26">
        <f t="shared" si="35"/>
        <v>90180</v>
      </c>
    </row>
    <row r="289" spans="1:27">
      <c r="A289" s="16">
        <f ca="1">YEAR(TODAY())-Tabela1[[#This Row],[idade]]</f>
        <v>1973</v>
      </c>
      <c r="B289" s="1">
        <f t="shared" ca="1" si="32"/>
        <v>53</v>
      </c>
      <c r="C289" s="1" t="str">
        <f>PROPER(Tabela1[[#This Row],[nome]])</f>
        <v>Brienne Mallister</v>
      </c>
      <c r="D289" s="1" t="str">
        <f t="shared" si="36"/>
        <v>000.000.202-00</v>
      </c>
      <c r="E289" t="str">
        <f>IF(P310="Lannisporto","Oeste",
IF(P310="Ninho da Águia","Vale",
IF(P310="Ponta Tempestade","Terras da Tempestade",
IF(P310="Pedra do Dragão","Terras da Coroa",
IF(P310="Pyke","Ilhas de Ferro",
IF(P310="Meereen","Essos",
IF(P310="Braavos","Essos",
IF(P310="Correrrio","Terras Fluviais",
IF(P310="Castelo Negro","Norte",
IF(P310="Vilavelha","Campina",
IF(P310="Ilha dos Ursos","Norte",
IF(P310="Fosso Cailin","Norte",
IF(P310="Harrenhal","Terras Fluviais",
IF(P310="Winterfell","Norte",
IF(P310="Jardim de Cima","Campina",
IF(P310="Dorne","Dorne",
IF(P310="Monte Chifre","Campina",
IF(P310="Atalaia da Água Cinzenta","Oeste",
IF(P310="Porto Real","Terras da Coroa",
IF(P310="Solar do Entardecer","Terras da Tempestade",
""))))))))))))))))))))</f>
        <v>Norte</v>
      </c>
      <c r="G289" s="26">
        <f t="shared" si="37"/>
        <v>9500</v>
      </c>
      <c r="H289" s="26">
        <f t="shared" si="38"/>
        <v>66500</v>
      </c>
      <c r="I289" s="1" t="str">
        <f t="shared" si="39"/>
        <v>Sim</v>
      </c>
      <c r="K289" s="2" t="s">
        <v>23</v>
      </c>
      <c r="L289" s="2" t="s">
        <v>654</v>
      </c>
      <c r="M289" s="3" t="s">
        <v>655</v>
      </c>
      <c r="N289" s="4">
        <f ca="1">DATEDIF(O289,TODAY(),"Y")</f>
        <v>53</v>
      </c>
      <c r="O289" s="5">
        <v>26840</v>
      </c>
      <c r="P289" s="19" t="s">
        <v>103</v>
      </c>
      <c r="Q289" s="20" t="str">
        <f>IF(P289="Lannisporto","Oeste",
IF(P289="Ninho da Águia","Vale",
IF(P289="Ponta Tempestade","Terras da Tempestade",
IF(P289="Pedra do Dragão","Terras da Coroa",
IF(P289="Pyke","Ilhas de Ferro",
IF(P289="Meereen","Essos",
IF(P289="Braavos","Essos",
IF(P289="Correrrio","Terras Fluviais",
IF(P289="Castelo Negro","Norte",
IF(P289="Vilavelha","Campina",
IF(P289="Ilha dos Ursos","Norte",
IF(P289="Fosso Cailin","Norte",
IF(P289="Harrenhal","Terras Fluviais",
IF(P289="Winterfell","Norte",
IF(P289="Jardim de Cima","Campina",
IF(P289="Dorne","Dorne",
IF(P289="Monte Chifre","Campina",
IF(P289="Atalaia da Água Cinzenta","Oeste",
IF(P289="Porto Real","Terras da Coroa",
IF(P289="Solar do Entardecer","Terras da Tempestade",
""))))))))))))))))))))</f>
        <v>Norte</v>
      </c>
      <c r="R289" s="6">
        <v>9500</v>
      </c>
      <c r="S289" s="6">
        <v>66500</v>
      </c>
      <c r="T289" s="7" t="s">
        <v>28</v>
      </c>
      <c r="U289" s="2">
        <v>38</v>
      </c>
      <c r="V289" s="2" t="str">
        <f>IF(Tabela1[[#This Row],[qtde_batalhas]]&lt;=10,"Baixo",IF(Tabela1[[#This Row],[qtde_batalhas]]&lt;=25,"Médio","Alto"))</f>
        <v>Alto</v>
      </c>
      <c r="W289" s="2" t="s">
        <v>28</v>
      </c>
      <c r="X289" s="6">
        <v>42500</v>
      </c>
      <c r="Y289" s="2" t="str">
        <f t="shared" si="33"/>
        <v>Negado</v>
      </c>
      <c r="Z289" s="1" t="str">
        <f t="shared" si="34"/>
        <v>Negado</v>
      </c>
      <c r="AA289" s="26">
        <f t="shared" si="35"/>
        <v>0</v>
      </c>
    </row>
    <row r="290" spans="1:27">
      <c r="A290" s="16">
        <f ca="1">YEAR(TODAY())-Tabela1[[#This Row],[idade]]</f>
        <v>1955</v>
      </c>
      <c r="B290" s="1">
        <f t="shared" ref="B290:B353" ca="1" si="40">INT((TODAY()-O290)/365)</f>
        <v>71</v>
      </c>
      <c r="C290" s="1" t="str">
        <f>PROPER(Tabela1[[#This Row],[nome]])</f>
        <v>Stannis Crakehall</v>
      </c>
      <c r="D290" s="1" t="str">
        <f t="shared" si="36"/>
        <v>000.000.351-00</v>
      </c>
      <c r="G290" s="26">
        <f t="shared" si="37"/>
        <v>14200</v>
      </c>
      <c r="H290" s="26">
        <f t="shared" si="38"/>
        <v>51000</v>
      </c>
      <c r="I290" s="1" t="str">
        <f t="shared" si="39"/>
        <v>Não</v>
      </c>
      <c r="K290" s="2" t="s">
        <v>23</v>
      </c>
      <c r="L290" s="2" t="s">
        <v>657</v>
      </c>
      <c r="M290" s="3" t="s">
        <v>658</v>
      </c>
      <c r="N290" s="4">
        <f ca="1">DATEDIF(O290,TODAY(),"Y")</f>
        <v>71</v>
      </c>
      <c r="O290" s="5">
        <v>20275</v>
      </c>
      <c r="P290" s="2" t="s">
        <v>52</v>
      </c>
      <c r="Q290" s="2" t="s">
        <v>57</v>
      </c>
      <c r="R290" s="6">
        <v>14200</v>
      </c>
      <c r="S290" s="6">
        <v>51000</v>
      </c>
      <c r="T290" s="7" t="s">
        <v>49</v>
      </c>
      <c r="U290" s="2">
        <v>10</v>
      </c>
      <c r="V290" s="2" t="str">
        <f>IF(Tabela1[[#This Row],[qtde_batalhas]]&lt;=10,"Baixo",IF(Tabela1[[#This Row],[qtde_batalhas]]&lt;=25,"Médio","Alto"))</f>
        <v>Baixo</v>
      </c>
      <c r="W290" s="2" t="s">
        <v>49</v>
      </c>
      <c r="X290" s="6">
        <v>90500</v>
      </c>
      <c r="Y290" s="2" t="str">
        <f t="shared" si="33"/>
        <v>Aprovado</v>
      </c>
      <c r="Z290" s="1" t="str">
        <f t="shared" si="34"/>
        <v>Aprovado</v>
      </c>
      <c r="AA290" s="26">
        <f t="shared" si="35"/>
        <v>97740</v>
      </c>
    </row>
    <row r="291" spans="1:27">
      <c r="A291" s="16">
        <f ca="1">YEAR(TODAY())-Tabela1[[#This Row],[idade]]</f>
        <v>1989</v>
      </c>
      <c r="B291" s="1">
        <f t="shared" ca="1" si="40"/>
        <v>37</v>
      </c>
      <c r="C291" s="1" t="str">
        <f>PROPER(Tabela1[[#This Row],[nome]])</f>
        <v>Jorah Marbrand</v>
      </c>
      <c r="D291" s="1" t="str">
        <f t="shared" si="36"/>
        <v>000.000.168-00</v>
      </c>
      <c r="G291" s="26">
        <f t="shared" si="37"/>
        <v>12800</v>
      </c>
      <c r="H291" s="26">
        <f t="shared" si="38"/>
        <v>76500</v>
      </c>
      <c r="I291" s="1" t="str">
        <f t="shared" si="39"/>
        <v>Não</v>
      </c>
      <c r="K291" s="2" t="s">
        <v>23</v>
      </c>
      <c r="L291" s="2" t="s">
        <v>477</v>
      </c>
      <c r="M291" s="3" t="s">
        <v>478</v>
      </c>
      <c r="N291" s="4">
        <f ca="1">DATEDIF(O291,TODAY(),"Y")</f>
        <v>37</v>
      </c>
      <c r="O291" s="5">
        <v>32414</v>
      </c>
      <c r="P291" s="2" t="s">
        <v>837</v>
      </c>
      <c r="Q291" s="2" t="s">
        <v>838</v>
      </c>
      <c r="R291" s="6">
        <v>12800</v>
      </c>
      <c r="S291" s="6">
        <v>76500</v>
      </c>
      <c r="T291" s="7" t="s">
        <v>49</v>
      </c>
      <c r="U291" s="2">
        <v>30</v>
      </c>
      <c r="V291" s="2" t="str">
        <f>IF(Tabela1[[#This Row],[qtde_batalhas]]&lt;=10,"Baixo",IF(Tabela1[[#This Row],[qtde_batalhas]]&lt;=25,"Médio","Alto"))</f>
        <v>Alto</v>
      </c>
      <c r="W291" s="2" t="s">
        <v>49</v>
      </c>
      <c r="X291" s="6">
        <v>95000</v>
      </c>
      <c r="Y291" s="2" t="str">
        <f t="shared" si="33"/>
        <v>Aprovado</v>
      </c>
      <c r="Z291" s="1" t="str">
        <f t="shared" si="34"/>
        <v>Aprovado</v>
      </c>
      <c r="AA291" s="26">
        <f t="shared" si="35"/>
        <v>102600</v>
      </c>
    </row>
    <row r="292" spans="1:27">
      <c r="A292" s="16">
        <f ca="1">YEAR(TODAY())-Tabela1[[#This Row],[idade]]</f>
        <v>2004</v>
      </c>
      <c r="B292" s="1">
        <f t="shared" ca="1" si="40"/>
        <v>22</v>
      </c>
      <c r="C292" s="1" t="str">
        <f>PROPER(Tabela1[[#This Row],[nome]])</f>
        <v>Sansa Dondarrion</v>
      </c>
      <c r="D292" s="1" t="str">
        <f t="shared" si="36"/>
        <v>000.000.101-00</v>
      </c>
      <c r="G292" s="26">
        <f t="shared" si="37"/>
        <v>4100</v>
      </c>
      <c r="H292" s="26">
        <f t="shared" si="38"/>
        <v>2000</v>
      </c>
      <c r="I292" s="1" t="str">
        <f t="shared" si="39"/>
        <v>Não</v>
      </c>
      <c r="K292" s="2" t="s">
        <v>23</v>
      </c>
      <c r="L292" s="2" t="s">
        <v>659</v>
      </c>
      <c r="M292" s="3" t="s">
        <v>660</v>
      </c>
      <c r="N292" s="4">
        <f ca="1">DATEDIF(O292,TODAY(),"Y")</f>
        <v>22</v>
      </c>
      <c r="O292" s="5">
        <v>37936</v>
      </c>
      <c r="P292" s="2" t="s">
        <v>26</v>
      </c>
      <c r="Q292" s="2" t="s">
        <v>27</v>
      </c>
      <c r="R292" s="6">
        <v>4100</v>
      </c>
      <c r="S292" s="6">
        <v>2000</v>
      </c>
      <c r="T292" s="7" t="s">
        <v>49</v>
      </c>
      <c r="U292" s="2">
        <v>8</v>
      </c>
      <c r="V292" s="2" t="str">
        <f>IF(Tabela1[[#This Row],[qtde_batalhas]]&lt;=10,"Baixo",IF(Tabela1[[#This Row],[qtde_batalhas]]&lt;=25,"Médio","Alto"))</f>
        <v>Baixo</v>
      </c>
      <c r="W292" s="2" t="s">
        <v>49</v>
      </c>
      <c r="X292" s="6">
        <v>4000</v>
      </c>
      <c r="Y292" s="2" t="str">
        <f t="shared" si="33"/>
        <v>Aprovado</v>
      </c>
      <c r="Z292" s="1" t="str">
        <f t="shared" si="34"/>
        <v>Aprovado</v>
      </c>
      <c r="AA292" s="26">
        <f t="shared" si="35"/>
        <v>4320</v>
      </c>
    </row>
    <row r="293" spans="1:27">
      <c r="A293" s="16">
        <f ca="1">YEAR(TODAY())-Tabela1[[#This Row],[idade]]</f>
        <v>1989</v>
      </c>
      <c r="B293" s="1">
        <f t="shared" ca="1" si="40"/>
        <v>37</v>
      </c>
      <c r="C293" s="1" t="str">
        <f>PROPER(Tabela1[[#This Row],[nome]])</f>
        <v>Beric  Karstark</v>
      </c>
      <c r="D293" s="1" t="str">
        <f t="shared" si="36"/>
        <v>000.000.172-00</v>
      </c>
      <c r="G293" s="26">
        <f t="shared" si="37"/>
        <v>28900</v>
      </c>
      <c r="H293" s="26">
        <f t="shared" si="38"/>
        <v>71000</v>
      </c>
      <c r="I293" s="1" t="str">
        <f t="shared" si="39"/>
        <v>Não</v>
      </c>
      <c r="K293" s="2" t="s">
        <v>23</v>
      </c>
      <c r="L293" s="2" t="s">
        <v>853</v>
      </c>
      <c r="M293" s="3" t="s">
        <v>662</v>
      </c>
      <c r="N293" s="4">
        <f ca="1">DATEDIF(O293,TODAY(),"Y")</f>
        <v>37</v>
      </c>
      <c r="O293" s="5">
        <v>32680</v>
      </c>
      <c r="P293" s="2" t="s">
        <v>76</v>
      </c>
      <c r="Q293" s="2" t="s">
        <v>71</v>
      </c>
      <c r="R293" s="6">
        <v>28900</v>
      </c>
      <c r="S293" s="6">
        <v>71000</v>
      </c>
      <c r="T293" s="7" t="s">
        <v>49</v>
      </c>
      <c r="U293" s="2">
        <v>28</v>
      </c>
      <c r="V293" s="2" t="str">
        <f>IF(Tabela1[[#This Row],[qtde_batalhas]]&lt;=10,"Baixo",IF(Tabela1[[#This Row],[qtde_batalhas]]&lt;=25,"Médio","Alto"))</f>
        <v>Alto</v>
      </c>
      <c r="W293" s="2" t="s">
        <v>49</v>
      </c>
      <c r="X293" s="6">
        <v>36500</v>
      </c>
      <c r="Y293" s="2" t="str">
        <f t="shared" si="33"/>
        <v>Aprovado</v>
      </c>
      <c r="Z293" s="1" t="str">
        <f t="shared" si="34"/>
        <v>Aprovado</v>
      </c>
      <c r="AA293" s="26">
        <f t="shared" si="35"/>
        <v>39420</v>
      </c>
    </row>
    <row r="294" spans="1:27">
      <c r="A294" s="16">
        <f ca="1">YEAR(TODAY())-Tabela1[[#This Row],[idade]]</f>
        <v>1997</v>
      </c>
      <c r="B294" s="1">
        <f t="shared" ca="1" si="40"/>
        <v>29</v>
      </c>
      <c r="C294" s="1" t="str">
        <f>PROPER(Tabela1[[#This Row],[nome]])</f>
        <v>Bran Umber</v>
      </c>
      <c r="D294" s="1" t="str">
        <f t="shared" si="36"/>
        <v>-</v>
      </c>
      <c r="G294" s="26">
        <f t="shared" si="37"/>
        <v>19500</v>
      </c>
      <c r="H294" s="26">
        <f t="shared" si="38"/>
        <v>57000</v>
      </c>
      <c r="I294" s="1" t="str">
        <f t="shared" si="39"/>
        <v>Não</v>
      </c>
      <c r="K294" s="2" t="s">
        <v>23</v>
      </c>
      <c r="L294" s="2" t="s">
        <v>663</v>
      </c>
      <c r="M294" s="3">
        <v>13200</v>
      </c>
      <c r="N294" s="4">
        <f ca="1">DATEDIF(O294,TODAY(),"Y")</f>
        <v>29</v>
      </c>
      <c r="O294" s="5">
        <v>35334</v>
      </c>
      <c r="P294" s="2" t="s">
        <v>61</v>
      </c>
      <c r="Q294" s="2" t="s">
        <v>81</v>
      </c>
      <c r="R294" s="6">
        <v>19500</v>
      </c>
      <c r="S294" s="6">
        <v>57000</v>
      </c>
      <c r="T294" s="7" t="s">
        <v>49</v>
      </c>
      <c r="U294" s="2">
        <v>12</v>
      </c>
      <c r="V294" s="2" t="str">
        <f>IF(Tabela1[[#This Row],[qtde_batalhas]]&lt;=10,"Baixo",IF(Tabela1[[#This Row],[qtde_batalhas]]&lt;=25,"Médio","Alto"))</f>
        <v>Médio</v>
      </c>
      <c r="W294" s="2" t="s">
        <v>49</v>
      </c>
      <c r="X294" s="6">
        <v>20500</v>
      </c>
      <c r="Y294" s="2" t="str">
        <f t="shared" si="33"/>
        <v>Aprovado</v>
      </c>
      <c r="Z294" s="1" t="str">
        <f t="shared" si="34"/>
        <v>Aprovado</v>
      </c>
      <c r="AA294" s="26">
        <f t="shared" si="35"/>
        <v>22140</v>
      </c>
    </row>
    <row r="295" spans="1:27">
      <c r="A295" s="16">
        <f ca="1">YEAR(TODAY())-Tabela1[[#This Row],[idade]]</f>
        <v>1975</v>
      </c>
      <c r="B295" s="1">
        <f t="shared" ca="1" si="40"/>
        <v>51</v>
      </c>
      <c r="C295" s="1" t="str">
        <f>PROPER(Tabela1[[#This Row],[nome]])</f>
        <v>Thoros Yronwood</v>
      </c>
      <c r="D295" s="1" t="str">
        <f t="shared" si="36"/>
        <v>000.000.104-00</v>
      </c>
      <c r="G295" s="26">
        <f t="shared" si="37"/>
        <v>26000</v>
      </c>
      <c r="H295" s="26">
        <f t="shared" si="38"/>
        <v>47500</v>
      </c>
      <c r="I295" s="1" t="str">
        <f t="shared" si="39"/>
        <v>Não</v>
      </c>
      <c r="K295" s="2" t="s">
        <v>23</v>
      </c>
      <c r="L295" s="2" t="s">
        <v>441</v>
      </c>
      <c r="M295" s="3" t="s">
        <v>664</v>
      </c>
      <c r="N295" s="4">
        <f ca="1">DATEDIF(O295,TODAY(),"Y")</f>
        <v>51</v>
      </c>
      <c r="O295" s="5">
        <v>27421</v>
      </c>
      <c r="P295" s="2" t="s">
        <v>133</v>
      </c>
      <c r="Q295" s="2" t="s">
        <v>133</v>
      </c>
      <c r="R295" s="6">
        <v>26000</v>
      </c>
      <c r="S295" s="6">
        <v>47500</v>
      </c>
      <c r="T295" s="7" t="s">
        <v>49</v>
      </c>
      <c r="U295" s="2">
        <v>45</v>
      </c>
      <c r="V295" s="2" t="str">
        <f>IF(Tabela1[[#This Row],[qtde_batalhas]]&lt;=10,"Baixo",IF(Tabela1[[#This Row],[qtde_batalhas]]&lt;=25,"Médio","Alto"))</f>
        <v>Alto</v>
      </c>
      <c r="W295" s="2" t="s">
        <v>49</v>
      </c>
      <c r="X295" s="6">
        <v>60500</v>
      </c>
      <c r="Y295" s="2" t="str">
        <f t="shared" si="33"/>
        <v>Aprovado</v>
      </c>
      <c r="Z295" s="1" t="str">
        <f t="shared" si="34"/>
        <v>Aprovado</v>
      </c>
      <c r="AA295" s="26">
        <f t="shared" si="35"/>
        <v>65340.000000000007</v>
      </c>
    </row>
    <row r="296" spans="1:27">
      <c r="A296" s="16">
        <f ca="1">YEAR(TODAY())-Tabela1[[#This Row],[idade]]</f>
        <v>1952</v>
      </c>
      <c r="B296" s="1">
        <f t="shared" ca="1" si="40"/>
        <v>74</v>
      </c>
      <c r="C296" s="1" t="str">
        <f>PROPER(Tabela1[[#This Row],[nome]])</f>
        <v>Ilhasvos Umber</v>
      </c>
      <c r="D296" s="1" t="str">
        <f t="shared" si="36"/>
        <v>000.000.353-00</v>
      </c>
      <c r="G296" s="26">
        <f t="shared" si="37"/>
        <v>24000</v>
      </c>
      <c r="H296" s="26">
        <f t="shared" si="38"/>
        <v>35000</v>
      </c>
      <c r="I296" s="1" t="str">
        <f t="shared" si="39"/>
        <v>Não</v>
      </c>
      <c r="K296" s="2" t="s">
        <v>29</v>
      </c>
      <c r="L296" s="2" t="s">
        <v>854</v>
      </c>
      <c r="M296" s="3" t="s">
        <v>666</v>
      </c>
      <c r="N296" s="4">
        <f ca="1">DATEDIF(O296,TODAY(),"Y")</f>
        <v>74</v>
      </c>
      <c r="O296" s="5">
        <v>19047</v>
      </c>
      <c r="P296" s="2" t="s">
        <v>52</v>
      </c>
      <c r="Q296" s="2" t="s">
        <v>57</v>
      </c>
      <c r="R296" s="6">
        <v>24000</v>
      </c>
      <c r="S296" s="6">
        <v>35000</v>
      </c>
      <c r="T296" s="7" t="s">
        <v>49</v>
      </c>
      <c r="U296" s="2">
        <v>6</v>
      </c>
      <c r="V296" s="2" t="str">
        <f>IF(Tabela1[[#This Row],[qtde_batalhas]]&lt;=10,"Baixo",IF(Tabela1[[#This Row],[qtde_batalhas]]&lt;=25,"Médio","Alto"))</f>
        <v>Baixo</v>
      </c>
      <c r="W296" s="2" t="s">
        <v>49</v>
      </c>
      <c r="X296" s="6">
        <v>29500</v>
      </c>
      <c r="Y296" s="2" t="str">
        <f t="shared" si="33"/>
        <v>Aprovado</v>
      </c>
      <c r="Z296" s="1" t="str">
        <f t="shared" si="34"/>
        <v>Aprovado</v>
      </c>
      <c r="AA296" s="26">
        <f t="shared" si="35"/>
        <v>0</v>
      </c>
    </row>
    <row r="297" spans="1:27">
      <c r="A297" s="16">
        <f ca="1">YEAR(TODAY())-Tabela1[[#This Row],[idade]]</f>
        <v>2007</v>
      </c>
      <c r="B297" s="1">
        <f t="shared" ca="1" si="40"/>
        <v>19</v>
      </c>
      <c r="C297" s="1" t="str">
        <f>PROPER(Tabela1[[#This Row],[nome]])</f>
        <v>Aegon Redwyne</v>
      </c>
      <c r="D297" s="1" t="str">
        <f t="shared" si="36"/>
        <v>000.000.347-00</v>
      </c>
      <c r="G297" s="26">
        <f t="shared" si="37"/>
        <v>14900</v>
      </c>
      <c r="H297" s="26">
        <f t="shared" si="38"/>
        <v>17000</v>
      </c>
      <c r="I297" s="1" t="str">
        <f t="shared" si="39"/>
        <v>Não</v>
      </c>
      <c r="K297" s="2" t="s">
        <v>23</v>
      </c>
      <c r="L297" s="2" t="s">
        <v>668</v>
      </c>
      <c r="M297" s="3" t="s">
        <v>669</v>
      </c>
      <c r="N297" s="4">
        <f ca="1">DATEDIF(O297,TODAY(),"Y")</f>
        <v>19</v>
      </c>
      <c r="O297" s="5">
        <v>39016</v>
      </c>
      <c r="P297" s="2" t="s">
        <v>61</v>
      </c>
      <c r="Q297" s="2" t="s">
        <v>81</v>
      </c>
      <c r="R297" s="6">
        <v>14900</v>
      </c>
      <c r="S297" s="6">
        <v>17000</v>
      </c>
      <c r="T297" s="7" t="s">
        <v>49</v>
      </c>
      <c r="U297" s="2">
        <v>20</v>
      </c>
      <c r="V297" s="2" t="str">
        <f>IF(Tabela1[[#This Row],[qtde_batalhas]]&lt;=10,"Baixo",IF(Tabela1[[#This Row],[qtde_batalhas]]&lt;=25,"Médio","Alto"))</f>
        <v>Médio</v>
      </c>
      <c r="W297" s="2" t="s">
        <v>49</v>
      </c>
      <c r="X297" s="6">
        <v>29500</v>
      </c>
      <c r="Y297" s="2" t="str">
        <f t="shared" si="33"/>
        <v>Aprovado</v>
      </c>
      <c r="Z297" s="1" t="str">
        <f t="shared" si="34"/>
        <v>Aprovado</v>
      </c>
      <c r="AA297" s="26">
        <f t="shared" si="35"/>
        <v>31860.000000000004</v>
      </c>
    </row>
    <row r="298" spans="1:27">
      <c r="A298" s="16">
        <f ca="1">YEAR(TODAY())-Tabela1[[#This Row],[idade]]</f>
        <v>1969</v>
      </c>
      <c r="B298" s="1">
        <f t="shared" ca="1" si="40"/>
        <v>57</v>
      </c>
      <c r="C298" s="1" t="str">
        <f>PROPER(Tabela1[[#This Row],[nome]])</f>
        <v>Robert Mallister</v>
      </c>
      <c r="D298" s="1" t="str">
        <f t="shared" si="36"/>
        <v>-</v>
      </c>
      <c r="G298" s="26">
        <f t="shared" si="37"/>
        <v>28600</v>
      </c>
      <c r="H298" s="26">
        <f t="shared" si="38"/>
        <v>73500</v>
      </c>
      <c r="I298" s="1" t="str">
        <f t="shared" si="39"/>
        <v>Não</v>
      </c>
      <c r="K298" s="2" t="s">
        <v>29</v>
      </c>
      <c r="L298" s="2" t="s">
        <v>670</v>
      </c>
      <c r="M298" s="3">
        <v>32700</v>
      </c>
      <c r="N298" s="4">
        <f ca="1">DATEDIF(O298,TODAY(),"Y")</f>
        <v>57</v>
      </c>
      <c r="O298" s="5">
        <v>25369</v>
      </c>
      <c r="P298" s="2" t="s">
        <v>76</v>
      </c>
      <c r="Q298" s="2" t="s">
        <v>71</v>
      </c>
      <c r="R298" s="6">
        <v>28600</v>
      </c>
      <c r="S298" s="6">
        <v>73500</v>
      </c>
      <c r="T298" s="7" t="s">
        <v>49</v>
      </c>
      <c r="U298" s="2">
        <v>29</v>
      </c>
      <c r="V298" s="2" t="str">
        <f>IF(Tabela1[[#This Row],[qtde_batalhas]]&lt;=10,"Baixo",IF(Tabela1[[#This Row],[qtde_batalhas]]&lt;=25,"Médio","Alto"))</f>
        <v>Alto</v>
      </c>
      <c r="W298" s="2" t="s">
        <v>49</v>
      </c>
      <c r="X298" s="6">
        <v>93500</v>
      </c>
      <c r="Y298" s="2" t="str">
        <f t="shared" si="33"/>
        <v>Aprovado</v>
      </c>
      <c r="Z298" s="1" t="str">
        <f t="shared" si="34"/>
        <v>Aprovado</v>
      </c>
      <c r="AA298" s="26">
        <f t="shared" si="35"/>
        <v>0</v>
      </c>
    </row>
    <row r="299" spans="1:27">
      <c r="A299" s="16">
        <f ca="1">YEAR(TODAY())-Tabela1[[#This Row],[idade]]</f>
        <v>1976</v>
      </c>
      <c r="B299" s="1">
        <f t="shared" ca="1" si="40"/>
        <v>50</v>
      </c>
      <c r="C299" s="1" t="str">
        <f>PROPER(Tabela1[[#This Row],[nome]])</f>
        <v>Margaery Dondarrion</v>
      </c>
      <c r="D299" s="1" t="str">
        <f t="shared" si="36"/>
        <v>-</v>
      </c>
      <c r="G299" s="26">
        <f t="shared" si="37"/>
        <v>16200</v>
      </c>
      <c r="H299" s="26">
        <f t="shared" si="38"/>
        <v>25000</v>
      </c>
      <c r="I299" s="1" t="str">
        <f t="shared" si="39"/>
        <v>Não</v>
      </c>
      <c r="K299" s="2" t="s">
        <v>29</v>
      </c>
      <c r="L299" s="2" t="s">
        <v>855</v>
      </c>
      <c r="M299" s="3">
        <v>19200</v>
      </c>
      <c r="N299" s="4">
        <f ca="1">DATEDIF(O299,TODAY(),"Y")</f>
        <v>50</v>
      </c>
      <c r="O299" s="5">
        <v>27833</v>
      </c>
      <c r="P299" s="2" t="s">
        <v>840</v>
      </c>
      <c r="Q299" s="2" t="s">
        <v>823</v>
      </c>
      <c r="R299" s="6">
        <v>16200</v>
      </c>
      <c r="S299" s="6">
        <v>25000</v>
      </c>
      <c r="T299" s="7" t="s">
        <v>49</v>
      </c>
      <c r="U299" s="2">
        <v>26</v>
      </c>
      <c r="V299" s="2" t="str">
        <f>IF(Tabela1[[#This Row],[qtde_batalhas]]&lt;=10,"Baixo",IF(Tabela1[[#This Row],[qtde_batalhas]]&lt;=25,"Médio","Alto"))</f>
        <v>Alto</v>
      </c>
      <c r="W299" s="2" t="s">
        <v>49</v>
      </c>
      <c r="X299" s="6">
        <v>65000</v>
      </c>
      <c r="Y299" s="2" t="str">
        <f t="shared" si="33"/>
        <v>Aprovado</v>
      </c>
      <c r="Z299" s="1" t="str">
        <f t="shared" si="34"/>
        <v>Aprovado</v>
      </c>
      <c r="AA299" s="26">
        <f t="shared" si="35"/>
        <v>0</v>
      </c>
    </row>
    <row r="300" spans="1:27">
      <c r="A300" s="16">
        <f ca="1">YEAR(TODAY())-Tabela1[[#This Row],[idade]]</f>
        <v>1985</v>
      </c>
      <c r="B300" s="1">
        <f t="shared" ca="1" si="40"/>
        <v>41</v>
      </c>
      <c r="C300" s="1" t="str">
        <f>PROPER(Tabela1[[#This Row],[nome]])</f>
        <v>Robert Hornwood</v>
      </c>
      <c r="D300" s="1" t="str">
        <f t="shared" si="36"/>
        <v>-</v>
      </c>
      <c r="G300" s="26">
        <f t="shared" si="37"/>
        <v>23100</v>
      </c>
      <c r="H300" s="26">
        <f t="shared" si="38"/>
        <v>36000</v>
      </c>
      <c r="I300" s="1" t="str">
        <f t="shared" si="39"/>
        <v>Não</v>
      </c>
      <c r="K300" s="2" t="s">
        <v>23</v>
      </c>
      <c r="L300" s="2" t="s">
        <v>393</v>
      </c>
      <c r="M300" s="3">
        <v>28500</v>
      </c>
      <c r="N300" s="4">
        <f ca="1">DATEDIF(O300,TODAY(),"Y")</f>
        <v>41</v>
      </c>
      <c r="O300" s="5">
        <v>31115</v>
      </c>
      <c r="P300" s="2" t="s">
        <v>90</v>
      </c>
      <c r="Q300" s="2" t="s">
        <v>91</v>
      </c>
      <c r="R300" s="6">
        <v>23100</v>
      </c>
      <c r="S300" s="6">
        <v>36000</v>
      </c>
      <c r="T300" s="7" t="s">
        <v>49</v>
      </c>
      <c r="U300" s="2">
        <v>19</v>
      </c>
      <c r="V300" s="2" t="str">
        <f>IF(Tabela1[[#This Row],[qtde_batalhas]]&lt;=10,"Baixo",IF(Tabela1[[#This Row],[qtde_batalhas]]&lt;=25,"Médio","Alto"))</f>
        <v>Médio</v>
      </c>
      <c r="W300" s="2" t="s">
        <v>49</v>
      </c>
      <c r="X300" s="6">
        <v>37500</v>
      </c>
      <c r="Y300" s="2" t="str">
        <f t="shared" si="33"/>
        <v>Aprovado</v>
      </c>
      <c r="Z300" s="1" t="str">
        <f t="shared" si="34"/>
        <v>Aprovado</v>
      </c>
      <c r="AA300" s="26">
        <f t="shared" si="35"/>
        <v>40500</v>
      </c>
    </row>
    <row r="301" spans="1:27">
      <c r="A301" s="16">
        <f ca="1">YEAR(TODAY())-Tabela1[[#This Row],[idade]]</f>
        <v>1953</v>
      </c>
      <c r="B301" s="1">
        <f t="shared" ca="1" si="40"/>
        <v>73</v>
      </c>
      <c r="C301" s="1" t="str">
        <f>PROPER(Tabela1[[#This Row],[nome]])</f>
        <v>Roose Bolton</v>
      </c>
      <c r="D301" s="1" t="str">
        <f t="shared" si="36"/>
        <v>-</v>
      </c>
      <c r="G301" s="26">
        <f t="shared" si="37"/>
        <v>18100</v>
      </c>
      <c r="H301" s="26">
        <f t="shared" si="38"/>
        <v>0</v>
      </c>
      <c r="I301" s="1" t="str">
        <f t="shared" si="39"/>
        <v>Não</v>
      </c>
      <c r="K301" s="2" t="s">
        <v>23</v>
      </c>
      <c r="L301" s="2" t="s">
        <v>673</v>
      </c>
      <c r="M301" s="3">
        <v>13700</v>
      </c>
      <c r="N301" s="4">
        <f ca="1">DATEDIF(O301,TODAY(),"Y")</f>
        <v>73</v>
      </c>
      <c r="O301" s="5">
        <v>19323</v>
      </c>
      <c r="P301" s="2" t="s">
        <v>194</v>
      </c>
      <c r="Q301" s="2" t="s">
        <v>408</v>
      </c>
      <c r="R301" s="6">
        <v>18100</v>
      </c>
      <c r="S301" s="6">
        <v>0</v>
      </c>
      <c r="T301" s="7" t="s">
        <v>49</v>
      </c>
      <c r="U301" s="2">
        <v>36</v>
      </c>
      <c r="V301" s="2" t="str">
        <f>IF(Tabela1[[#This Row],[qtde_batalhas]]&lt;=10,"Baixo",IF(Tabela1[[#This Row],[qtde_batalhas]]&lt;=25,"Médio","Alto"))</f>
        <v>Alto</v>
      </c>
      <c r="W301" s="2" t="s">
        <v>49</v>
      </c>
      <c r="X301" s="6">
        <v>89000</v>
      </c>
      <c r="Y301" s="2" t="str">
        <f t="shared" si="33"/>
        <v>Aprovado</v>
      </c>
      <c r="Z301" s="1" t="str">
        <f t="shared" si="34"/>
        <v>Aprovado</v>
      </c>
      <c r="AA301" s="26">
        <f t="shared" si="35"/>
        <v>96120</v>
      </c>
    </row>
    <row r="302" spans="1:27">
      <c r="A302" s="16">
        <f ca="1">YEAR(TODAY())-Tabela1[[#This Row],[idade]]</f>
        <v>2000</v>
      </c>
      <c r="B302" s="1">
        <f t="shared" ca="1" si="40"/>
        <v>26</v>
      </c>
      <c r="C302" s="1" t="str">
        <f>PROPER(Tabela1[[#This Row],[nome]])</f>
        <v>Jon Hornwood</v>
      </c>
      <c r="D302" s="1" t="str">
        <f t="shared" si="36"/>
        <v>-</v>
      </c>
      <c r="G302" s="26">
        <f t="shared" si="37"/>
        <v>23200</v>
      </c>
      <c r="H302" s="26">
        <f t="shared" si="38"/>
        <v>54500</v>
      </c>
      <c r="I302" s="1" t="str">
        <f t="shared" si="39"/>
        <v>Sim</v>
      </c>
      <c r="K302" s="2" t="s">
        <v>23</v>
      </c>
      <c r="L302" s="2" t="s">
        <v>674</v>
      </c>
      <c r="M302" s="3">
        <v>33100</v>
      </c>
      <c r="N302" s="4">
        <f ca="1">DATEDIF(O302,TODAY(),"Y")</f>
        <v>26</v>
      </c>
      <c r="O302" s="5">
        <v>36759</v>
      </c>
      <c r="P302" s="2" t="s">
        <v>133</v>
      </c>
      <c r="Q302" s="2" t="s">
        <v>133</v>
      </c>
      <c r="R302" s="6">
        <v>23200</v>
      </c>
      <c r="S302" s="6">
        <v>54500</v>
      </c>
      <c r="T302" s="7">
        <v>1</v>
      </c>
      <c r="U302" s="2">
        <v>26</v>
      </c>
      <c r="V302" s="2" t="str">
        <f>IF(Tabela1[[#This Row],[qtde_batalhas]]&lt;=10,"Baixo",IF(Tabela1[[#This Row],[qtde_batalhas]]&lt;=25,"Médio","Alto"))</f>
        <v>Alto</v>
      </c>
      <c r="W302" s="2">
        <v>1</v>
      </c>
      <c r="X302" s="6">
        <v>75000</v>
      </c>
      <c r="Y302" s="2" t="str">
        <f t="shared" si="33"/>
        <v>Aprovado</v>
      </c>
      <c r="Z302" s="1" t="str">
        <f t="shared" si="34"/>
        <v>Aprovado</v>
      </c>
      <c r="AA302" s="26">
        <f t="shared" si="35"/>
        <v>81000</v>
      </c>
    </row>
    <row r="303" spans="1:27">
      <c r="A303" s="16">
        <f ca="1">YEAR(TODAY())-Tabela1[[#This Row],[idade]]</f>
        <v>2001</v>
      </c>
      <c r="B303" s="1">
        <f t="shared" ca="1" si="40"/>
        <v>25</v>
      </c>
      <c r="C303" s="1" t="str">
        <f>PROPER(Tabela1[[#This Row],[nome]])</f>
        <v>Shae  Ilhasyne</v>
      </c>
      <c r="D303" s="1" t="str">
        <f t="shared" si="36"/>
        <v>000.000.312-00</v>
      </c>
      <c r="G303" s="26">
        <f t="shared" si="37"/>
        <v>22100</v>
      </c>
      <c r="H303" s="26">
        <f t="shared" si="38"/>
        <v>30500</v>
      </c>
      <c r="I303" s="1" t="str">
        <f t="shared" si="39"/>
        <v>Não</v>
      </c>
      <c r="K303" s="2" t="s">
        <v>23</v>
      </c>
      <c r="L303" s="2" t="s">
        <v>856</v>
      </c>
      <c r="M303" s="3" t="s">
        <v>676</v>
      </c>
      <c r="N303" s="4">
        <f ca="1">DATEDIF(O303,TODAY(),"Y")</f>
        <v>25</v>
      </c>
      <c r="O303" s="5">
        <v>36792</v>
      </c>
      <c r="P303" s="2" t="s">
        <v>26</v>
      </c>
      <c r="Q303" s="2" t="s">
        <v>27</v>
      </c>
      <c r="R303" s="6">
        <v>22100</v>
      </c>
      <c r="S303" s="6">
        <v>30500</v>
      </c>
      <c r="T303" s="7" t="s">
        <v>49</v>
      </c>
      <c r="U303" s="2">
        <v>28</v>
      </c>
      <c r="V303" s="2" t="str">
        <f>IF(Tabela1[[#This Row],[qtde_batalhas]]&lt;=10,"Baixo",IF(Tabela1[[#This Row],[qtde_batalhas]]&lt;=25,"Médio","Alto"))</f>
        <v>Alto</v>
      </c>
      <c r="W303" s="2" t="s">
        <v>49</v>
      </c>
      <c r="X303" s="6">
        <v>48000</v>
      </c>
      <c r="Y303" s="2" t="str">
        <f t="shared" si="33"/>
        <v>Aprovado</v>
      </c>
      <c r="Z303" s="1" t="str">
        <f t="shared" si="34"/>
        <v>Aprovado</v>
      </c>
      <c r="AA303" s="26">
        <f t="shared" si="35"/>
        <v>51840</v>
      </c>
    </row>
    <row r="304" spans="1:27">
      <c r="A304" s="16">
        <f ca="1">YEAR(TODAY())-Tabela1[[#This Row],[idade]]</f>
        <v>1990</v>
      </c>
      <c r="B304" s="1">
        <f t="shared" ca="1" si="40"/>
        <v>36</v>
      </c>
      <c r="C304" s="1" t="str">
        <f>PROPER(Tabela1[[#This Row],[nome]])</f>
        <v>Petyr Swyft</v>
      </c>
      <c r="D304" s="1" t="str">
        <f t="shared" si="36"/>
        <v>000.000.275-00</v>
      </c>
      <c r="G304" s="26">
        <f t="shared" si="37"/>
        <v>11600</v>
      </c>
      <c r="H304" s="26">
        <f t="shared" si="38"/>
        <v>78500</v>
      </c>
      <c r="I304" s="1" t="str">
        <f t="shared" si="39"/>
        <v>Não</v>
      </c>
      <c r="K304" s="2" t="s">
        <v>23</v>
      </c>
      <c r="L304" s="2" t="s">
        <v>677</v>
      </c>
      <c r="M304" s="3" t="s">
        <v>678</v>
      </c>
      <c r="N304" s="4">
        <f ca="1">DATEDIF(O304,TODAY(),"Y")</f>
        <v>36</v>
      </c>
      <c r="O304" s="5">
        <v>33117</v>
      </c>
      <c r="P304" s="2" t="s">
        <v>194</v>
      </c>
      <c r="Q304" s="2" t="s">
        <v>408</v>
      </c>
      <c r="R304" s="6">
        <v>11600</v>
      </c>
      <c r="S304" s="6">
        <v>78500</v>
      </c>
      <c r="T304" s="7" t="s">
        <v>49</v>
      </c>
      <c r="U304" s="2">
        <v>1</v>
      </c>
      <c r="V304" s="2" t="str">
        <f>IF(Tabela1[[#This Row],[qtde_batalhas]]&lt;=10,"Baixo",IF(Tabela1[[#This Row],[qtde_batalhas]]&lt;=25,"Médio","Alto"))</f>
        <v>Baixo</v>
      </c>
      <c r="W304" s="2" t="s">
        <v>49</v>
      </c>
      <c r="X304" s="6">
        <v>42000</v>
      </c>
      <c r="Y304" s="2" t="str">
        <f t="shared" si="33"/>
        <v>Aprovado</v>
      </c>
      <c r="Z304" s="1" t="str">
        <f t="shared" si="34"/>
        <v>Aprovado</v>
      </c>
      <c r="AA304" s="26">
        <f t="shared" si="35"/>
        <v>45360</v>
      </c>
    </row>
    <row r="305" spans="1:27">
      <c r="A305" s="16">
        <f ca="1">YEAR(TODAY())-Tabela1[[#This Row],[idade]]</f>
        <v>1991</v>
      </c>
      <c r="B305" s="1">
        <f t="shared" ca="1" si="40"/>
        <v>35</v>
      </c>
      <c r="C305" s="1" t="str">
        <f>PROPER(Tabela1[[#This Row],[nome]])</f>
        <v>Jaime Bracken</v>
      </c>
      <c r="D305" s="1" t="str">
        <f t="shared" si="36"/>
        <v>-</v>
      </c>
      <c r="G305" s="26">
        <f t="shared" si="37"/>
        <v>12400</v>
      </c>
      <c r="H305" s="26">
        <f>IF(S305="","-",IF(ISNUMBER(S305),S305,IF(UPPER(TRIM(S305))="SEM RENDA","-","-")))</f>
        <v>0</v>
      </c>
      <c r="I305" s="1" t="str">
        <f t="shared" si="39"/>
        <v>Não</v>
      </c>
      <c r="K305" s="2" t="s">
        <v>29</v>
      </c>
      <c r="L305" s="2" t="s">
        <v>679</v>
      </c>
      <c r="M305" s="3">
        <v>16600</v>
      </c>
      <c r="N305" s="4">
        <f ca="1">DATEDIF(O305,TODAY(),"Y")</f>
        <v>35</v>
      </c>
      <c r="O305" s="5">
        <v>33417</v>
      </c>
      <c r="P305" s="2" t="s">
        <v>122</v>
      </c>
      <c r="Q305" s="2" t="s">
        <v>98</v>
      </c>
      <c r="R305" s="6">
        <v>12400</v>
      </c>
      <c r="S305" s="6">
        <v>0</v>
      </c>
      <c r="T305" s="7" t="s">
        <v>49</v>
      </c>
      <c r="U305" s="2">
        <v>3</v>
      </c>
      <c r="V305" s="2" t="str">
        <f>IF(Tabela1[[#This Row],[qtde_batalhas]]&lt;=10,"Baixo",IF(Tabela1[[#This Row],[qtde_batalhas]]&lt;=25,"Médio","Alto"))</f>
        <v>Baixo</v>
      </c>
      <c r="W305" s="2" t="s">
        <v>49</v>
      </c>
      <c r="X305" s="6">
        <v>83500</v>
      </c>
      <c r="Y305" s="2" t="str">
        <f t="shared" si="33"/>
        <v>Aprovado</v>
      </c>
      <c r="Z305" s="1" t="str">
        <f t="shared" si="34"/>
        <v>Aprovado</v>
      </c>
      <c r="AA305" s="26">
        <f t="shared" si="35"/>
        <v>0</v>
      </c>
    </row>
    <row r="306" spans="1:27">
      <c r="A306" s="16">
        <f ca="1">YEAR(TODAY())-Tabela1[[#This Row],[idade]]</f>
        <v>1962</v>
      </c>
      <c r="B306" s="1">
        <f t="shared" ca="1" si="40"/>
        <v>64</v>
      </c>
      <c r="C306" s="1" t="str">
        <f>PROPER(Tabela1[[#This Row],[nome]])</f>
        <v>Rhaegar Mormont</v>
      </c>
      <c r="D306" s="1" t="str">
        <f t="shared" si="36"/>
        <v>000.000.109-00</v>
      </c>
      <c r="G306" s="26">
        <f t="shared" si="37"/>
        <v>12700</v>
      </c>
      <c r="H306" s="26">
        <f t="shared" si="38"/>
        <v>0</v>
      </c>
      <c r="I306" s="1" t="str">
        <f t="shared" si="39"/>
        <v>Não</v>
      </c>
      <c r="K306" s="2" t="s">
        <v>23</v>
      </c>
      <c r="L306" s="2" t="s">
        <v>680</v>
      </c>
      <c r="M306" s="3" t="s">
        <v>681</v>
      </c>
      <c r="N306" s="4">
        <f ca="1">DATEDIF(O306,TODAY(),"Y")</f>
        <v>64</v>
      </c>
      <c r="O306" s="5">
        <v>22845</v>
      </c>
      <c r="P306" s="2" t="s">
        <v>111</v>
      </c>
      <c r="Q306" s="2" t="s">
        <v>91</v>
      </c>
      <c r="R306" s="6">
        <v>12700</v>
      </c>
      <c r="S306" s="6">
        <v>0</v>
      </c>
      <c r="T306" s="7" t="s">
        <v>49</v>
      </c>
      <c r="U306" s="2">
        <v>21</v>
      </c>
      <c r="V306" s="2" t="str">
        <f>IF(Tabela1[[#This Row],[qtde_batalhas]]&lt;=10,"Baixo",IF(Tabela1[[#This Row],[qtde_batalhas]]&lt;=25,"Médio","Alto"))</f>
        <v>Médio</v>
      </c>
      <c r="W306" s="2" t="s">
        <v>49</v>
      </c>
      <c r="X306" s="6">
        <v>50500</v>
      </c>
      <c r="Y306" s="2" t="str">
        <f t="shared" si="33"/>
        <v>Aprovado</v>
      </c>
      <c r="Z306" s="1" t="str">
        <f t="shared" si="34"/>
        <v>Aprovado</v>
      </c>
      <c r="AA306" s="26">
        <f t="shared" si="35"/>
        <v>54540</v>
      </c>
    </row>
    <row r="307" spans="1:27">
      <c r="A307" s="16">
        <f ca="1">YEAR(TODAY())-Tabela1[[#This Row],[idade]]</f>
        <v>1977</v>
      </c>
      <c r="B307" s="1">
        <f t="shared" ca="1" si="40"/>
        <v>49</v>
      </c>
      <c r="C307" s="1" t="str">
        <f>PROPER(Tabela1[[#This Row],[nome]])</f>
        <v>Jorah Florent</v>
      </c>
      <c r="D307" s="1" t="str">
        <f t="shared" si="36"/>
        <v>000.000.204-00</v>
      </c>
      <c r="G307" s="26">
        <f t="shared" si="37"/>
        <v>28400</v>
      </c>
      <c r="H307" s="26">
        <f t="shared" si="38"/>
        <v>38500</v>
      </c>
      <c r="I307" s="1" t="str">
        <f t="shared" si="39"/>
        <v>Não</v>
      </c>
      <c r="K307" s="2" t="s">
        <v>23</v>
      </c>
      <c r="L307" s="2" t="s">
        <v>682</v>
      </c>
      <c r="M307" s="3" t="s">
        <v>683</v>
      </c>
      <c r="N307" s="4">
        <f ca="1">DATEDIF(O307,TODAY(),"Y")</f>
        <v>49</v>
      </c>
      <c r="O307" s="5">
        <v>28147</v>
      </c>
      <c r="P307" s="2" t="s">
        <v>174</v>
      </c>
      <c r="Q307" s="2" t="s">
        <v>827</v>
      </c>
      <c r="R307" s="6">
        <v>28400</v>
      </c>
      <c r="S307" s="6">
        <v>38500</v>
      </c>
      <c r="T307" s="7" t="s">
        <v>140</v>
      </c>
      <c r="U307" s="2">
        <v>26</v>
      </c>
      <c r="V307" s="2" t="str">
        <f>IF(Tabela1[[#This Row],[qtde_batalhas]]&lt;=10,"Baixo",IF(Tabela1[[#This Row],[qtde_batalhas]]&lt;=25,"Médio","Alto"))</f>
        <v>Alto</v>
      </c>
      <c r="W307" s="2" t="s">
        <v>140</v>
      </c>
      <c r="X307" s="6">
        <v>51000</v>
      </c>
      <c r="Y307" s="2" t="str">
        <f t="shared" si="33"/>
        <v>Aprovado</v>
      </c>
      <c r="Z307" s="1" t="str">
        <f t="shared" si="34"/>
        <v>Aprovado</v>
      </c>
      <c r="AA307" s="26">
        <f t="shared" si="35"/>
        <v>55080</v>
      </c>
    </row>
    <row r="308" spans="1:27">
      <c r="A308" s="16">
        <f ca="1">YEAR(TODAY())-Tabela1[[#This Row],[idade]]</f>
        <v>1976</v>
      </c>
      <c r="B308" s="1">
        <f t="shared" ca="1" si="40"/>
        <v>50</v>
      </c>
      <c r="C308" s="1" t="str">
        <f>PROPER(Tabela1[[#This Row],[nome]])</f>
        <v>Asha Blackwood</v>
      </c>
      <c r="D308" s="1" t="str">
        <f t="shared" si="36"/>
        <v>000.000.085-00</v>
      </c>
      <c r="G308" s="26">
        <f t="shared" si="37"/>
        <v>16100</v>
      </c>
      <c r="H308" s="26">
        <f t="shared" si="38"/>
        <v>8000</v>
      </c>
      <c r="I308" s="1" t="str">
        <f t="shared" si="39"/>
        <v>Sim</v>
      </c>
      <c r="K308" s="2" t="s">
        <v>23</v>
      </c>
      <c r="L308" s="2" t="s">
        <v>684</v>
      </c>
      <c r="M308" s="3" t="s">
        <v>685</v>
      </c>
      <c r="N308" s="4">
        <f ca="1">DATEDIF(O308,TODAY(),"Y")</f>
        <v>50</v>
      </c>
      <c r="O308" s="5">
        <v>27886</v>
      </c>
      <c r="P308" s="2" t="s">
        <v>133</v>
      </c>
      <c r="Q308" s="2" t="s">
        <v>133</v>
      </c>
      <c r="R308" s="6">
        <v>16100</v>
      </c>
      <c r="S308" s="6">
        <v>8000</v>
      </c>
      <c r="T308" s="7" t="s">
        <v>28</v>
      </c>
      <c r="U308" s="2">
        <v>30</v>
      </c>
      <c r="V308" s="2" t="str">
        <f>IF(Tabela1[[#This Row],[qtde_batalhas]]&lt;=10,"Baixo",IF(Tabela1[[#This Row],[qtde_batalhas]]&lt;=25,"Médio","Alto"))</f>
        <v>Alto</v>
      </c>
      <c r="W308" s="2" t="s">
        <v>28</v>
      </c>
      <c r="X308" s="6">
        <v>27000</v>
      </c>
      <c r="Y308" s="2" t="str">
        <f t="shared" si="33"/>
        <v>Negado</v>
      </c>
      <c r="Z308" s="1" t="str">
        <f t="shared" si="34"/>
        <v>Aprovado</v>
      </c>
      <c r="AA308" s="26">
        <f t="shared" si="35"/>
        <v>0</v>
      </c>
    </row>
    <row r="309" spans="1:27">
      <c r="A309" s="16">
        <f ca="1">YEAR(TODAY())-Tabela1[[#This Row],[idade]]</f>
        <v>1991</v>
      </c>
      <c r="B309" s="1">
        <f t="shared" ca="1" si="40"/>
        <v>35</v>
      </c>
      <c r="C309" s="1" t="str">
        <f>PROPER(Tabela1[[#This Row],[nome]])</f>
        <v>Gilly Swyft</v>
      </c>
      <c r="D309" s="1" t="str">
        <f t="shared" si="36"/>
        <v>000.000.261-00</v>
      </c>
      <c r="G309" s="26">
        <f t="shared" si="37"/>
        <v>29900</v>
      </c>
      <c r="H309" s="26">
        <f t="shared" si="38"/>
        <v>64500</v>
      </c>
      <c r="I309" s="1" t="str">
        <f t="shared" si="39"/>
        <v>Não</v>
      </c>
      <c r="L309" s="2" t="s">
        <v>686</v>
      </c>
      <c r="M309" s="3" t="s">
        <v>687</v>
      </c>
      <c r="N309" s="4">
        <f ca="1">DATEDIF(O309,TODAY(),"Y")</f>
        <v>35</v>
      </c>
      <c r="O309" s="5">
        <v>33188</v>
      </c>
      <c r="P309" s="2" t="s">
        <v>76</v>
      </c>
      <c r="Q309" s="2" t="s">
        <v>71</v>
      </c>
      <c r="R309" s="6">
        <v>29900</v>
      </c>
      <c r="S309" s="6">
        <v>64500</v>
      </c>
      <c r="T309" s="7" t="s">
        <v>49</v>
      </c>
      <c r="U309" s="2">
        <v>34</v>
      </c>
      <c r="V309" s="2" t="str">
        <f>IF(Tabela1[[#This Row],[qtde_batalhas]]&lt;=10,"Baixo",IF(Tabela1[[#This Row],[qtde_batalhas]]&lt;=25,"Médio","Alto"))</f>
        <v>Alto</v>
      </c>
      <c r="W309" s="2" t="s">
        <v>49</v>
      </c>
      <c r="X309" s="6">
        <v>48500</v>
      </c>
      <c r="Y309" s="2" t="str">
        <f t="shared" si="33"/>
        <v>Aprovado</v>
      </c>
      <c r="Z309" s="1" t="str">
        <f t="shared" si="34"/>
        <v>Aprovado</v>
      </c>
      <c r="AA309" s="26">
        <f t="shared" si="35"/>
        <v>0</v>
      </c>
    </row>
    <row r="310" spans="1:27">
      <c r="A310" s="16">
        <f ca="1">YEAR(TODAY())-Tabela1[[#This Row],[idade]]</f>
        <v>1987</v>
      </c>
      <c r="B310" s="1">
        <f t="shared" ca="1" si="40"/>
        <v>39</v>
      </c>
      <c r="C310" s="1" t="str">
        <f>PROPER(Tabela1[[#This Row],[nome]])</f>
        <v>Bran Frey</v>
      </c>
      <c r="D310" s="1" t="str">
        <f t="shared" si="36"/>
        <v>000.000.189-00</v>
      </c>
      <c r="E310" t="str">
        <f>IF(P331="Lannisporto","Oeste",
IF(P331="Ninho da Águia","Vale",
IF(P331="Ponta Tempestade","Terras da Tempestade",
IF(P331="Pedra do Dragão","Terras da Coroa",
IF(P331="Pyke","Ilhas de Ferro",
IF(P331="Meereen","Essos",
IF(P331="Braavos","Essos",
IF(P331="Correrrio","Terras Fluviais",
IF(P331="Castelo Negro","Norte",
IF(P331="Vilavelha","Campina",
IF(P331="Ilha dos Ursos","Norte",
IF(P331="Fosso Cailin","Norte",
IF(P331="Harrenhal","Terras Fluviais",
IF(P331="Winterfell","Norte",
IF(P331="Jardim de Cima","Campina",
IF(P331="Dorne","Dorne",
IF(P331="Monte Chifre","Campina",
IF(P331="Atalaia da Água Cinzenta","Oeste",
IF(P331="Porto Real","Terras da Coroa",
IF(P331="Solar do Entardecer","Terras da Tempestade",
""))))))))))))))))))))</f>
        <v/>
      </c>
      <c r="G310" s="26">
        <f t="shared" si="37"/>
        <v>8000</v>
      </c>
      <c r="H310" s="26">
        <f t="shared" si="38"/>
        <v>69000</v>
      </c>
      <c r="I310" s="1" t="str">
        <f t="shared" si="39"/>
        <v>Não</v>
      </c>
      <c r="K310" s="2" t="s">
        <v>23</v>
      </c>
      <c r="L310" s="2" t="s">
        <v>688</v>
      </c>
      <c r="M310" s="3" t="s">
        <v>689</v>
      </c>
      <c r="N310" s="4">
        <f ca="1">DATEDIF(O310,TODAY(),"Y")</f>
        <v>39</v>
      </c>
      <c r="O310" s="5">
        <v>31968</v>
      </c>
      <c r="P310" s="19" t="s">
        <v>103</v>
      </c>
      <c r="Q310" s="20" t="str">
        <f>IF(P310="Lannisporto","Oeste",
IF(P310="Ninho da Águia","Vale",
IF(P310="Ponta Tempestade","Terras da Tempestade",
IF(P310="Pedra do Dragão","Terras da Coroa",
IF(P310="Pyke","Ilhas de Ferro",
IF(P310="Meereen","Essos",
IF(P310="Braavos","Essos",
IF(P310="Correrrio","Terras Fluviais",
IF(P310="Castelo Negro","Norte",
IF(P310="Vilavelha","Campina",
IF(P310="Ilha dos Ursos","Norte",
IF(P310="Fosso Cailin","Norte",
IF(P310="Harrenhal","Terras Fluviais",
IF(P310="Winterfell","Norte",
IF(P310="Jardim de Cima","Campina",
IF(P310="Dorne","Dorne",
IF(P310="Monte Chifre","Campina",
IF(P310="Atalaia da Água Cinzenta","Oeste",
IF(P310="Porto Real","Terras da Coroa",
IF(P310="Solar do Entardecer","Terras da Tempestade",
""))))))))))))))))))))</f>
        <v>Norte</v>
      </c>
      <c r="R310" s="6">
        <v>8000</v>
      </c>
      <c r="S310" s="6">
        <v>69000</v>
      </c>
      <c r="T310" s="7" t="s">
        <v>49</v>
      </c>
      <c r="U310" s="2">
        <v>15</v>
      </c>
      <c r="V310" s="2" t="str">
        <f>IF(Tabela1[[#This Row],[qtde_batalhas]]&lt;=10,"Baixo",IF(Tabela1[[#This Row],[qtde_batalhas]]&lt;=25,"Médio","Alto"))</f>
        <v>Médio</v>
      </c>
      <c r="W310" s="2" t="s">
        <v>49</v>
      </c>
      <c r="X310" s="6">
        <v>39500</v>
      </c>
      <c r="Y310" s="2" t="str">
        <f t="shared" si="33"/>
        <v>Aprovado</v>
      </c>
      <c r="Z310" s="1" t="str">
        <f t="shared" si="34"/>
        <v>Aprovado</v>
      </c>
      <c r="AA310" s="26">
        <f t="shared" si="35"/>
        <v>42660</v>
      </c>
    </row>
    <row r="311" spans="1:27">
      <c r="A311" s="16">
        <f ca="1">YEAR(TODAY())-Tabela1[[#This Row],[idade]]</f>
        <v>2007</v>
      </c>
      <c r="B311" s="1">
        <f t="shared" ca="1" si="40"/>
        <v>19</v>
      </c>
      <c r="C311" s="1" t="str">
        <f>PROPER(Tabela1[[#This Row],[nome]])</f>
        <v>Rickon Targaryen</v>
      </c>
      <c r="D311" s="1" t="str">
        <f t="shared" si="36"/>
        <v>000.000.298-00</v>
      </c>
      <c r="G311" s="26">
        <f t="shared" si="37"/>
        <v>4000</v>
      </c>
      <c r="H311" s="26">
        <f t="shared" si="38"/>
        <v>29500</v>
      </c>
      <c r="I311" s="1" t="str">
        <f t="shared" si="39"/>
        <v>Sim</v>
      </c>
      <c r="K311" s="2" t="s">
        <v>23</v>
      </c>
      <c r="L311" s="2" t="s">
        <v>690</v>
      </c>
      <c r="M311" s="3" t="s">
        <v>691</v>
      </c>
      <c r="N311" s="4">
        <f ca="1">DATEDIF(O311,TODAY(),"Y")</f>
        <v>19</v>
      </c>
      <c r="O311" s="5">
        <v>39003</v>
      </c>
      <c r="P311" s="2" t="s">
        <v>103</v>
      </c>
      <c r="Q311" s="2" t="s">
        <v>91</v>
      </c>
      <c r="R311" s="6">
        <v>4000</v>
      </c>
      <c r="S311" s="6">
        <v>29500</v>
      </c>
      <c r="T311" s="7" t="s">
        <v>28</v>
      </c>
      <c r="U311" s="2">
        <v>13</v>
      </c>
      <c r="V311" s="2" t="str">
        <f>IF(Tabela1[[#This Row],[qtde_batalhas]]&lt;=10,"Baixo",IF(Tabela1[[#This Row],[qtde_batalhas]]&lt;=25,"Médio","Alto"))</f>
        <v>Médio</v>
      </c>
      <c r="W311" s="2" t="s">
        <v>28</v>
      </c>
      <c r="X311" s="6">
        <v>5000</v>
      </c>
      <c r="Y311" s="2" t="str">
        <f t="shared" si="33"/>
        <v>Aprovado</v>
      </c>
      <c r="Z311" s="1" t="str">
        <f t="shared" si="34"/>
        <v>Aprovado</v>
      </c>
      <c r="AA311" s="26">
        <f t="shared" si="35"/>
        <v>5400</v>
      </c>
    </row>
    <row r="312" spans="1:27">
      <c r="A312" s="16">
        <f ca="1">YEAR(TODAY())-Tabela1[[#This Row],[idade]]</f>
        <v>1963</v>
      </c>
      <c r="B312" s="1">
        <f t="shared" ca="1" si="40"/>
        <v>63</v>
      </c>
      <c r="C312" s="1" t="str">
        <f>PROPER(Tabela1[[#This Row],[nome]])</f>
        <v>Jeor Marbrand</v>
      </c>
      <c r="D312" s="1" t="str">
        <f t="shared" si="36"/>
        <v>000.000.073-00</v>
      </c>
      <c r="G312" s="26">
        <f t="shared" si="37"/>
        <v>29000</v>
      </c>
      <c r="H312" s="26">
        <f t="shared" si="38"/>
        <v>36500</v>
      </c>
      <c r="I312" s="1" t="str">
        <f t="shared" si="39"/>
        <v>Não</v>
      </c>
      <c r="K312" s="2" t="s">
        <v>29</v>
      </c>
      <c r="L312" s="2" t="s">
        <v>401</v>
      </c>
      <c r="M312" s="3" t="s">
        <v>402</v>
      </c>
      <c r="N312" s="4">
        <f ca="1">DATEDIF(O312,TODAY(),"Y")</f>
        <v>63</v>
      </c>
      <c r="O312" s="5">
        <v>22924</v>
      </c>
      <c r="P312" s="2" t="s">
        <v>76</v>
      </c>
      <c r="Q312" s="2" t="s">
        <v>71</v>
      </c>
      <c r="R312" s="6">
        <v>29000</v>
      </c>
      <c r="S312" s="6">
        <v>36500</v>
      </c>
      <c r="T312" s="7" t="s">
        <v>49</v>
      </c>
      <c r="U312" s="2">
        <v>38</v>
      </c>
      <c r="V312" s="2" t="str">
        <f>IF(Tabela1[[#This Row],[qtde_batalhas]]&lt;=10,"Baixo",IF(Tabela1[[#This Row],[qtde_batalhas]]&lt;=25,"Médio","Alto"))</f>
        <v>Alto</v>
      </c>
      <c r="W312" s="2" t="s">
        <v>49</v>
      </c>
      <c r="X312" s="6">
        <v>68000</v>
      </c>
      <c r="Y312" s="2" t="str">
        <f t="shared" si="33"/>
        <v>Aprovado</v>
      </c>
      <c r="Z312" s="1" t="str">
        <f t="shared" si="34"/>
        <v>Aprovado</v>
      </c>
      <c r="AA312" s="26">
        <f t="shared" si="35"/>
        <v>0</v>
      </c>
    </row>
    <row r="313" spans="1:27">
      <c r="A313" s="16">
        <f ca="1">YEAR(TODAY())-Tabela1[[#This Row],[idade]]</f>
        <v>1982</v>
      </c>
      <c r="B313" s="1">
        <f t="shared" ca="1" si="40"/>
        <v>44</v>
      </c>
      <c r="C313" s="1" t="str">
        <f>PROPER(Tabela1[[#This Row],[nome]])</f>
        <v>Lyanna Westerling</v>
      </c>
      <c r="D313" s="1" t="str">
        <f t="shared" si="36"/>
        <v>-</v>
      </c>
      <c r="E313" t="str">
        <f>IF(P334="Lannisporto","Oeste",
IF(P334="Ninho da Águia","Vale",
IF(P334="Ponta Tempestade","Terras da Tempestade",
IF(P334="Pedra do Dragão","Terras da Coroa",
IF(P334="Pyke","Ilhas de Ferro",
IF(P334="Meereen","Essos",
IF(P334="Braavos","Essos",
IF(P334="Correrrio","Terras Fluviais",
IF(P334="Castelo Negro","Norte",
IF(P334="Vilavelha","Campina",
IF(P334="Ilha dos Ursos","Norte",
IF(P334="Fosso Cailin","Norte",
IF(P334="Harrenhal","Terras Fluviais",
IF(P334="Winterfell","Norte",
IF(P334="Jardim de Cima","Campina",
IF(P334="Dorne","Dorne",
IF(P334="Monte Chifre","Campina",
IF(P334="Atalaia da Água Cinzenta","Oeste",
IF(P334="Porto Real","Terras da Coroa",
IF(P334="Solar do Entardecer","Terras da Tempestade",
""))))))))))))))))))))</f>
        <v>Campina</v>
      </c>
      <c r="G313" s="26">
        <f t="shared" si="37"/>
        <v>6700</v>
      </c>
      <c r="H313" s="26">
        <f t="shared" si="38"/>
        <v>16500</v>
      </c>
      <c r="I313" s="1" t="str">
        <f t="shared" si="39"/>
        <v>Sim</v>
      </c>
      <c r="K313" s="2" t="s">
        <v>23</v>
      </c>
      <c r="L313" s="2" t="s">
        <v>693</v>
      </c>
      <c r="M313" s="3">
        <v>17900</v>
      </c>
      <c r="N313" s="4">
        <f ca="1">DATEDIF(O313,TODAY(),"Y")</f>
        <v>44</v>
      </c>
      <c r="O313" s="5">
        <v>29991</v>
      </c>
      <c r="P313" s="19" t="s">
        <v>174</v>
      </c>
      <c r="Q313" s="20" t="str">
        <f>IF(P313="Lannisporto","Oeste",
IF(P313="Ninho da Águia","Vale",
IF(P313="Ponta Tempestade","Terras da Tempestade",
IF(P313="Pedra do Dragão","Terras da Coroa",
IF(P313="Pyke","Ilhas de Ferro",
IF(P313="Meereen","Essos",
IF(P313="Braavos","Essos",
IF(P313="Correrrio","Terras Fluviais",
IF(P313="Castelo Negro","Norte",
IF(P313="Vilavelha","Campina",
IF(P313="Ilha dos Ursos","Norte",
IF(P313="Fosso Cailin","Norte",
IF(P313="Harrenhal","Terras Fluviais",
IF(P313="Winterfell","Norte",
IF(P313="Jardim de Cima","Campina",
IF(P313="Dorne","Dorne",
IF(P313="Monte Chifre","Campina",
IF(P313="Atalaia da Água Cinzenta","Oeste",
IF(P313="Porto Real","Terras da Coroa",
IF(P313="Solar do Entardecer","Terras da Tempestade",
""))))))))))))))))))))</f>
        <v>Terras da Coroa</v>
      </c>
      <c r="R313" s="6">
        <v>6700</v>
      </c>
      <c r="S313" s="6">
        <v>16500</v>
      </c>
      <c r="T313" s="7" t="s">
        <v>28</v>
      </c>
      <c r="U313" s="2">
        <v>38</v>
      </c>
      <c r="V313" s="2" t="str">
        <f>IF(Tabela1[[#This Row],[qtde_batalhas]]&lt;=10,"Baixo",IF(Tabela1[[#This Row],[qtde_batalhas]]&lt;=25,"Médio","Alto"))</f>
        <v>Alto</v>
      </c>
      <c r="W313" s="2" t="s">
        <v>28</v>
      </c>
      <c r="X313" s="6">
        <v>15500</v>
      </c>
      <c r="Y313" s="2" t="str">
        <f t="shared" si="33"/>
        <v>Negado</v>
      </c>
      <c r="Z313" s="1" t="str">
        <f t="shared" si="34"/>
        <v>Aprovado</v>
      </c>
      <c r="AA313" s="26">
        <f t="shared" si="35"/>
        <v>0</v>
      </c>
    </row>
    <row r="314" spans="1:27">
      <c r="A314" s="16">
        <f ca="1">YEAR(TODAY())-Tabela1[[#This Row],[idade]]</f>
        <v>2000</v>
      </c>
      <c r="B314" s="1">
        <f t="shared" ca="1" si="40"/>
        <v>26</v>
      </c>
      <c r="C314" s="1" t="str">
        <f>PROPER(Tabela1[[#This Row],[nome]])</f>
        <v>Jon Tarth</v>
      </c>
      <c r="D314" s="1" t="str">
        <f t="shared" si="36"/>
        <v>000.000.004-00</v>
      </c>
      <c r="G314" s="26">
        <f t="shared" si="37"/>
        <v>25000</v>
      </c>
      <c r="H314" s="26">
        <f t="shared" si="38"/>
        <v>1000</v>
      </c>
      <c r="I314" s="1" t="str">
        <f t="shared" si="39"/>
        <v>Não</v>
      </c>
      <c r="K314" s="2" t="s">
        <v>23</v>
      </c>
      <c r="L314" s="2" t="s">
        <v>637</v>
      </c>
      <c r="M314" s="3" t="s">
        <v>694</v>
      </c>
      <c r="N314" s="4">
        <f ca="1">DATEDIF(O314,TODAY(),"Y")</f>
        <v>26</v>
      </c>
      <c r="O314" s="5">
        <v>36671</v>
      </c>
      <c r="P314" s="2" t="s">
        <v>31</v>
      </c>
      <c r="Q314" s="2" t="s">
        <v>795</v>
      </c>
      <c r="R314" s="6">
        <v>25000</v>
      </c>
      <c r="S314" s="6">
        <v>1000</v>
      </c>
      <c r="T314" s="7" t="s">
        <v>49</v>
      </c>
      <c r="U314" s="2">
        <v>16</v>
      </c>
      <c r="V314" s="2" t="str">
        <f>IF(Tabela1[[#This Row],[qtde_batalhas]]&lt;=10,"Baixo",IF(Tabela1[[#This Row],[qtde_batalhas]]&lt;=25,"Médio","Alto"))</f>
        <v>Médio</v>
      </c>
      <c r="W314" s="2" t="s">
        <v>49</v>
      </c>
      <c r="X314" s="6">
        <v>10500</v>
      </c>
      <c r="Y314" s="2" t="str">
        <f t="shared" si="33"/>
        <v>Aprovado</v>
      </c>
      <c r="Z314" s="1" t="str">
        <f t="shared" si="34"/>
        <v>Aprovado</v>
      </c>
      <c r="AA314" s="26">
        <f t="shared" si="35"/>
        <v>11340</v>
      </c>
    </row>
    <row r="315" spans="1:27">
      <c r="A315" s="16">
        <f ca="1">YEAR(TODAY())-Tabela1[[#This Row],[idade]]</f>
        <v>1982</v>
      </c>
      <c r="B315" s="1">
        <f t="shared" ca="1" si="40"/>
        <v>44</v>
      </c>
      <c r="C315" s="1" t="str">
        <f>PROPER(Tabela1[[#This Row],[nome]])</f>
        <v>Renly Stark</v>
      </c>
      <c r="D315" s="1" t="str">
        <f t="shared" si="36"/>
        <v>-</v>
      </c>
      <c r="G315" s="26">
        <f t="shared" si="37"/>
        <v>9600</v>
      </c>
      <c r="H315" s="26">
        <f t="shared" si="38"/>
        <v>66000</v>
      </c>
      <c r="I315" s="1" t="str">
        <f t="shared" si="39"/>
        <v>-</v>
      </c>
      <c r="K315" s="2" t="s">
        <v>23</v>
      </c>
      <c r="L315" s="2" t="s">
        <v>695</v>
      </c>
      <c r="M315" s="3">
        <v>25200</v>
      </c>
      <c r="N315" s="4">
        <f ca="1">DATEDIF(O315,TODAY(),"Y")</f>
        <v>44</v>
      </c>
      <c r="O315" s="5">
        <v>30081</v>
      </c>
      <c r="P315" s="2" t="s">
        <v>76</v>
      </c>
      <c r="Q315" s="2" t="s">
        <v>71</v>
      </c>
      <c r="R315" s="6">
        <v>9600</v>
      </c>
      <c r="S315" s="6">
        <v>66000</v>
      </c>
      <c r="U315" s="2">
        <v>11</v>
      </c>
      <c r="V315" s="2" t="str">
        <f>IF(Tabela1[[#This Row],[qtde_batalhas]]&lt;=10,"Baixo",IF(Tabela1[[#This Row],[qtde_batalhas]]&lt;=25,"Médio","Alto"))</f>
        <v>Médio</v>
      </c>
      <c r="X315" s="6">
        <v>4500</v>
      </c>
      <c r="Y315" s="2" t="str">
        <f t="shared" si="33"/>
        <v>Aprovado</v>
      </c>
      <c r="Z315" s="1" t="str">
        <f t="shared" si="34"/>
        <v>Aprovado</v>
      </c>
      <c r="AA315" s="26">
        <f t="shared" si="35"/>
        <v>4860</v>
      </c>
    </row>
    <row r="316" spans="1:27">
      <c r="A316" s="16">
        <f ca="1">YEAR(TODAY())-Tabela1[[#This Row],[idade]]</f>
        <v>2026</v>
      </c>
      <c r="B316" s="1">
        <f t="shared" ca="1" si="40"/>
        <v>126</v>
      </c>
      <c r="C316" s="1" t="str">
        <f>PROPER(Tabela1[[#This Row],[nome]])</f>
        <v>Olenna Hornwood</v>
      </c>
      <c r="D316" s="1" t="str">
        <f t="shared" si="36"/>
        <v>-</v>
      </c>
      <c r="G316" s="26">
        <f t="shared" si="37"/>
        <v>21300</v>
      </c>
      <c r="H316" s="26">
        <f t="shared" si="38"/>
        <v>60500</v>
      </c>
      <c r="I316" s="1" t="str">
        <f t="shared" si="39"/>
        <v>-</v>
      </c>
      <c r="K316" s="2" t="s">
        <v>23</v>
      </c>
      <c r="L316" s="2" t="s">
        <v>696</v>
      </c>
      <c r="M316" s="3">
        <v>29900</v>
      </c>
      <c r="P316" s="2" t="s">
        <v>90</v>
      </c>
      <c r="Q316" s="2" t="s">
        <v>91</v>
      </c>
      <c r="R316" s="6">
        <v>21300</v>
      </c>
      <c r="S316" s="6">
        <v>60500</v>
      </c>
      <c r="U316" s="2">
        <v>15</v>
      </c>
      <c r="V316" s="2" t="str">
        <f>IF(Tabela1[[#This Row],[qtde_batalhas]]&lt;=10,"Baixo",IF(Tabela1[[#This Row],[qtde_batalhas]]&lt;=25,"Médio","Alto"))</f>
        <v>Médio</v>
      </c>
      <c r="X316" s="6">
        <v>74500</v>
      </c>
      <c r="Y316" s="2" t="str">
        <f t="shared" si="33"/>
        <v>Aprovado</v>
      </c>
      <c r="Z316" s="1" t="str">
        <f t="shared" si="34"/>
        <v>Aprovado</v>
      </c>
      <c r="AA316" s="26">
        <f t="shared" si="35"/>
        <v>80460</v>
      </c>
    </row>
    <row r="317" spans="1:27">
      <c r="A317" s="16">
        <f ca="1">YEAR(TODAY())-Tabela1[[#This Row],[idade]]</f>
        <v>1957</v>
      </c>
      <c r="B317" s="1">
        <f t="shared" ca="1" si="40"/>
        <v>69</v>
      </c>
      <c r="C317" s="1" t="str">
        <f>PROPER(Tabela1[[#This Row],[nome]])</f>
        <v>Aegon Blackwood</v>
      </c>
      <c r="D317" s="1" t="str">
        <f t="shared" si="36"/>
        <v>000.000.118-00</v>
      </c>
      <c r="G317" s="26">
        <f t="shared" si="37"/>
        <v>23800</v>
      </c>
      <c r="H317" s="26" t="str">
        <f t="shared" si="38"/>
        <v>-</v>
      </c>
      <c r="I317" s="1" t="str">
        <f t="shared" si="39"/>
        <v>-</v>
      </c>
      <c r="K317" s="2" t="s">
        <v>23</v>
      </c>
      <c r="L317" s="2" t="s">
        <v>697</v>
      </c>
      <c r="M317" s="3" t="s">
        <v>698</v>
      </c>
      <c r="N317" s="4">
        <f ca="1">DATEDIF(O317,TODAY(),"Y")</f>
        <v>69</v>
      </c>
      <c r="O317" s="5">
        <v>21054</v>
      </c>
      <c r="P317" s="2" t="s">
        <v>122</v>
      </c>
      <c r="Q317" s="2" t="s">
        <v>98</v>
      </c>
      <c r="R317" s="6">
        <v>23800</v>
      </c>
      <c r="S317" s="6" t="s">
        <v>40</v>
      </c>
      <c r="U317" s="2">
        <v>26</v>
      </c>
      <c r="V317" s="2" t="str">
        <f>IF(Tabela1[[#This Row],[qtde_batalhas]]&lt;=10,"Baixo",IF(Tabela1[[#This Row],[qtde_batalhas]]&lt;=25,"Médio","Alto"))</f>
        <v>Alto</v>
      </c>
      <c r="X317" s="6">
        <v>89000</v>
      </c>
      <c r="Y317" s="2" t="str">
        <f t="shared" si="33"/>
        <v>Aprovado</v>
      </c>
      <c r="Z317" s="1" t="str">
        <f t="shared" si="34"/>
        <v>Aprovado</v>
      </c>
      <c r="AA317" s="26">
        <f t="shared" si="35"/>
        <v>96120</v>
      </c>
    </row>
    <row r="318" spans="1:27">
      <c r="A318" s="16">
        <f ca="1">YEAR(TODAY())-Tabela1[[#This Row],[idade]]</f>
        <v>1959</v>
      </c>
      <c r="B318" s="1">
        <f t="shared" ca="1" si="40"/>
        <v>67</v>
      </c>
      <c r="C318" s="1" t="str">
        <f>PROPER(Tabela1[[#This Row],[nome]])</f>
        <v>Brienne Glover</v>
      </c>
      <c r="D318" s="1" t="str">
        <f t="shared" si="36"/>
        <v>000.000.355-00</v>
      </c>
      <c r="G318" s="26">
        <f t="shared" si="37"/>
        <v>11300</v>
      </c>
      <c r="H318" s="26">
        <f t="shared" si="38"/>
        <v>49500</v>
      </c>
      <c r="I318" s="1" t="str">
        <f t="shared" si="39"/>
        <v>Não</v>
      </c>
      <c r="K318" s="2" t="s">
        <v>23</v>
      </c>
      <c r="L318" s="2" t="s">
        <v>699</v>
      </c>
      <c r="M318" s="3" t="s">
        <v>700</v>
      </c>
      <c r="N318" s="4">
        <f ca="1">DATEDIF(O318,TODAY(),"Y")</f>
        <v>67</v>
      </c>
      <c r="O318" s="5">
        <v>21522</v>
      </c>
      <c r="P318" s="2" t="s">
        <v>254</v>
      </c>
      <c r="Q318" s="2" t="s">
        <v>810</v>
      </c>
      <c r="R318" s="6">
        <v>11300</v>
      </c>
      <c r="S318" s="6">
        <v>49500</v>
      </c>
      <c r="T318" s="7" t="s">
        <v>49</v>
      </c>
      <c r="U318" s="2">
        <v>12</v>
      </c>
      <c r="V318" s="2" t="str">
        <f>IF(Tabela1[[#This Row],[qtde_batalhas]]&lt;=10,"Baixo",IF(Tabela1[[#This Row],[qtde_batalhas]]&lt;=25,"Médio","Alto"))</f>
        <v>Médio</v>
      </c>
      <c r="W318" s="2" t="s">
        <v>49</v>
      </c>
      <c r="X318" s="6">
        <v>34500</v>
      </c>
      <c r="Y318" s="2" t="str">
        <f t="shared" si="33"/>
        <v>Aprovado</v>
      </c>
      <c r="Z318" s="1" t="str">
        <f t="shared" si="34"/>
        <v>Aprovado</v>
      </c>
      <c r="AA318" s="26">
        <f t="shared" si="35"/>
        <v>37260</v>
      </c>
    </row>
    <row r="319" spans="1:27">
      <c r="A319" s="16">
        <f ca="1">YEAR(TODAY())-Tabela1[[#This Row],[idade]]</f>
        <v>1975</v>
      </c>
      <c r="B319" s="1">
        <f t="shared" ca="1" si="40"/>
        <v>51</v>
      </c>
      <c r="C319" s="1" t="str">
        <f>PROPER(Tabela1[[#This Row],[nome]])</f>
        <v>Ellaria Cerwyn</v>
      </c>
      <c r="D319" s="1" t="str">
        <f t="shared" si="36"/>
        <v>000.000.019-00</v>
      </c>
      <c r="G319" s="26">
        <f t="shared" si="37"/>
        <v>11600</v>
      </c>
      <c r="H319" s="26">
        <f t="shared" si="38"/>
        <v>41000</v>
      </c>
      <c r="I319" s="1" t="str">
        <f t="shared" si="39"/>
        <v>Não</v>
      </c>
      <c r="K319" s="2" t="s">
        <v>23</v>
      </c>
      <c r="L319" s="2" t="s">
        <v>701</v>
      </c>
      <c r="M319" s="3" t="s">
        <v>702</v>
      </c>
      <c r="N319" s="4">
        <f ca="1">DATEDIF(O319,TODAY(),"Y")</f>
        <v>51</v>
      </c>
      <c r="O319" s="5">
        <v>27378</v>
      </c>
      <c r="P319" s="2" t="s">
        <v>133</v>
      </c>
      <c r="Q319" s="2" t="s">
        <v>133</v>
      </c>
      <c r="R319" s="6">
        <v>11600</v>
      </c>
      <c r="S319" s="6">
        <v>41000</v>
      </c>
      <c r="T319" s="7" t="s">
        <v>49</v>
      </c>
      <c r="U319" s="2">
        <v>7</v>
      </c>
      <c r="V319" s="2" t="str">
        <f>IF(Tabela1[[#This Row],[qtde_batalhas]]&lt;=10,"Baixo",IF(Tabela1[[#This Row],[qtde_batalhas]]&lt;=25,"Médio","Alto"))</f>
        <v>Baixo</v>
      </c>
      <c r="W319" s="2" t="s">
        <v>49</v>
      </c>
      <c r="X319" s="6">
        <v>67000</v>
      </c>
      <c r="Y319" s="2" t="str">
        <f t="shared" si="33"/>
        <v>Aprovado</v>
      </c>
      <c r="Z319" s="1" t="str">
        <f t="shared" si="34"/>
        <v>Aprovado</v>
      </c>
      <c r="AA319" s="26">
        <f t="shared" si="35"/>
        <v>72360</v>
      </c>
    </row>
    <row r="320" spans="1:27">
      <c r="A320" s="16">
        <f ca="1">YEAR(TODAY())-Tabela1[[#This Row],[idade]]</f>
        <v>1977</v>
      </c>
      <c r="B320" s="1">
        <f t="shared" ca="1" si="40"/>
        <v>49</v>
      </c>
      <c r="C320" s="1" t="str">
        <f>PROPER(Tabela1[[#This Row],[nome]])</f>
        <v>Loras Lannister</v>
      </c>
      <c r="D320" s="1" t="str">
        <f t="shared" si="36"/>
        <v>000.000.302-00</v>
      </c>
      <c r="G320" s="26">
        <f t="shared" si="37"/>
        <v>29800</v>
      </c>
      <c r="H320" s="26">
        <f t="shared" si="38"/>
        <v>54500</v>
      </c>
      <c r="I320" s="1" t="str">
        <f t="shared" si="39"/>
        <v>Não</v>
      </c>
      <c r="K320" s="2" t="s">
        <v>23</v>
      </c>
      <c r="L320" s="2" t="s">
        <v>705</v>
      </c>
      <c r="M320" s="3" t="s">
        <v>706</v>
      </c>
      <c r="N320" s="4">
        <f ca="1">DATEDIF(O320,TODAY(),"Y")</f>
        <v>49</v>
      </c>
      <c r="O320" s="5">
        <v>28067</v>
      </c>
      <c r="P320" s="2" t="s">
        <v>61</v>
      </c>
      <c r="Q320" s="2" t="s">
        <v>81</v>
      </c>
      <c r="R320" s="6">
        <v>29800</v>
      </c>
      <c r="S320" s="6">
        <v>54500</v>
      </c>
      <c r="T320" s="7" t="s">
        <v>49</v>
      </c>
      <c r="U320" s="2">
        <v>34</v>
      </c>
      <c r="V320" s="2" t="str">
        <f>IF(Tabela1[[#This Row],[qtde_batalhas]]&lt;=10,"Baixo",IF(Tabela1[[#This Row],[qtde_batalhas]]&lt;=25,"Médio","Alto"))</f>
        <v>Alto</v>
      </c>
      <c r="W320" s="2" t="s">
        <v>49</v>
      </c>
      <c r="X320" s="6">
        <v>72000</v>
      </c>
      <c r="Y320" s="2" t="str">
        <f t="shared" si="33"/>
        <v>Aprovado</v>
      </c>
      <c r="Z320" s="1" t="str">
        <f t="shared" si="34"/>
        <v>Aprovado</v>
      </c>
      <c r="AA320" s="26">
        <f t="shared" si="35"/>
        <v>77760</v>
      </c>
    </row>
    <row r="321" spans="1:27">
      <c r="A321" s="16">
        <f ca="1">YEAR(TODAY())-Tabela1[[#This Row],[idade]]</f>
        <v>2006</v>
      </c>
      <c r="B321" s="1">
        <f t="shared" ca="1" si="40"/>
        <v>20</v>
      </c>
      <c r="C321" s="1" t="str">
        <f>PROPER(Tabela1[[#This Row],[nome]])</f>
        <v>Beric Tyrell</v>
      </c>
      <c r="D321" s="1" t="str">
        <f t="shared" si="36"/>
        <v>000.000.103-00</v>
      </c>
      <c r="G321" s="26">
        <f t="shared" si="37"/>
        <v>18200</v>
      </c>
      <c r="H321" s="26" t="str">
        <f t="shared" si="38"/>
        <v>-</v>
      </c>
      <c r="I321" s="1" t="str">
        <f t="shared" si="39"/>
        <v>Não</v>
      </c>
      <c r="K321" s="2" t="s">
        <v>23</v>
      </c>
      <c r="L321" s="2" t="s">
        <v>377</v>
      </c>
      <c r="M321" s="3" t="s">
        <v>707</v>
      </c>
      <c r="N321" s="4">
        <f ca="1">DATEDIF(O321,TODAY(),"Y")</f>
        <v>20</v>
      </c>
      <c r="O321" s="5">
        <v>38957</v>
      </c>
      <c r="P321" s="2" t="s">
        <v>111</v>
      </c>
      <c r="Q321" s="2" t="s">
        <v>91</v>
      </c>
      <c r="R321" s="6">
        <v>18200</v>
      </c>
      <c r="T321" s="7" t="s">
        <v>49</v>
      </c>
      <c r="U321" s="2">
        <v>21</v>
      </c>
      <c r="V321" s="2" t="str">
        <f>IF(Tabela1[[#This Row],[qtde_batalhas]]&lt;=10,"Baixo",IF(Tabela1[[#This Row],[qtde_batalhas]]&lt;=25,"Médio","Alto"))</f>
        <v>Médio</v>
      </c>
      <c r="W321" s="2" t="s">
        <v>49</v>
      </c>
      <c r="X321" s="6">
        <v>61500</v>
      </c>
      <c r="Y321" s="2" t="str">
        <f t="shared" si="33"/>
        <v>Aprovado</v>
      </c>
      <c r="Z321" s="1" t="str">
        <f t="shared" si="34"/>
        <v>Aprovado</v>
      </c>
      <c r="AA321" s="26">
        <f t="shared" si="35"/>
        <v>66420</v>
      </c>
    </row>
    <row r="322" spans="1:27">
      <c r="A322" s="16">
        <f ca="1">YEAR(TODAY())-Tabela1[[#This Row],[idade]]</f>
        <v>1952</v>
      </c>
      <c r="B322" s="1">
        <f t="shared" ca="1" si="40"/>
        <v>74</v>
      </c>
      <c r="C322" s="1" t="str">
        <f>PROPER(Tabela1[[#This Row],[nome]])</f>
        <v>Thoros Crakehall</v>
      </c>
      <c r="D322" s="1" t="str">
        <f t="shared" si="36"/>
        <v>-</v>
      </c>
      <c r="G322" s="26">
        <f t="shared" si="37"/>
        <v>20700</v>
      </c>
      <c r="H322" s="26">
        <f t="shared" si="38"/>
        <v>17500</v>
      </c>
      <c r="I322" s="1" t="str">
        <f t="shared" si="39"/>
        <v>Não</v>
      </c>
      <c r="K322" s="2" t="s">
        <v>23</v>
      </c>
      <c r="L322" s="2" t="s">
        <v>571</v>
      </c>
      <c r="M322" s="3">
        <v>19300</v>
      </c>
      <c r="N322" s="4">
        <f ca="1">DATEDIF(O322,TODAY(),"Y")</f>
        <v>74</v>
      </c>
      <c r="O322" s="5">
        <v>19131</v>
      </c>
      <c r="P322" s="2" t="s">
        <v>174</v>
      </c>
      <c r="Q322" s="2" t="s">
        <v>814</v>
      </c>
      <c r="R322" s="6">
        <v>20700</v>
      </c>
      <c r="S322" s="6">
        <v>17500</v>
      </c>
      <c r="T322" s="7" t="s">
        <v>49</v>
      </c>
      <c r="U322" s="2">
        <v>35</v>
      </c>
      <c r="V322" s="2" t="str">
        <f>IF(Tabela1[[#This Row],[qtde_batalhas]]&lt;=10,"Baixo",IF(Tabela1[[#This Row],[qtde_batalhas]]&lt;=25,"Médio","Alto"))</f>
        <v>Alto</v>
      </c>
      <c r="W322" s="2" t="s">
        <v>49</v>
      </c>
      <c r="X322" s="6">
        <v>68500</v>
      </c>
      <c r="Y322" s="2" t="str">
        <f t="shared" si="33"/>
        <v>Aprovado</v>
      </c>
      <c r="Z322" s="1" t="str">
        <f t="shared" si="34"/>
        <v>Aprovado</v>
      </c>
      <c r="AA322" s="26">
        <f t="shared" si="35"/>
        <v>73980</v>
      </c>
    </row>
    <row r="323" spans="1:27">
      <c r="A323" s="16">
        <f ca="1">YEAR(TODAY())-Tabela1[[#This Row],[idade]]</f>
        <v>1969</v>
      </c>
      <c r="B323" s="1">
        <f t="shared" ca="1" si="40"/>
        <v>57</v>
      </c>
      <c r="C323" s="1" t="str">
        <f>PROPER(Tabela1[[#This Row],[nome]])</f>
        <v>Yara Tallhart</v>
      </c>
      <c r="D323" s="1" t="str">
        <f t="shared" si="36"/>
        <v>-</v>
      </c>
      <c r="G323" s="26">
        <f t="shared" si="37"/>
        <v>3400</v>
      </c>
      <c r="H323" s="26">
        <f t="shared" si="38"/>
        <v>23500</v>
      </c>
      <c r="I323" s="1" t="str">
        <f t="shared" si="39"/>
        <v>Não</v>
      </c>
      <c r="K323" s="2" t="s">
        <v>29</v>
      </c>
      <c r="L323" s="2" t="s">
        <v>552</v>
      </c>
      <c r="M323" s="3">
        <v>6400</v>
      </c>
      <c r="N323" s="4">
        <f ca="1">DATEDIF(O323,TODAY(),"Y")</f>
        <v>57</v>
      </c>
      <c r="O323" s="5">
        <v>25206</v>
      </c>
      <c r="P323" s="2" t="s">
        <v>87</v>
      </c>
      <c r="Q323" s="2" t="s">
        <v>818</v>
      </c>
      <c r="R323" s="6">
        <v>3400</v>
      </c>
      <c r="S323" s="6">
        <v>23500</v>
      </c>
      <c r="T323" s="7" t="s">
        <v>49</v>
      </c>
      <c r="U323" s="2">
        <v>20</v>
      </c>
      <c r="V323" s="2" t="str">
        <f>IF(Tabela1[[#This Row],[qtde_batalhas]]&lt;=10,"Baixo",IF(Tabela1[[#This Row],[qtde_batalhas]]&lt;=25,"Médio","Alto"))</f>
        <v>Médio</v>
      </c>
      <c r="W323" s="2" t="s">
        <v>49</v>
      </c>
      <c r="X323" s="6">
        <v>50500</v>
      </c>
      <c r="Y323" s="2" t="str">
        <f t="shared" ref="Y323:Y370" si="41">IF(AND(V323="Alto",T323="Sim"),"Negado","Aprovado")</f>
        <v>Aprovado</v>
      </c>
      <c r="Z323" s="1" t="str">
        <f t="shared" ref="Z323:Z370" si="42">IF(AND(ISNUMBER(S323),S323&gt;50000,T323="Sim"),"Negado","Aprovado")</f>
        <v>Aprovado</v>
      </c>
      <c r="AA323" s="26">
        <f t="shared" ref="AA323:AA386" si="43">IF(OR(Y323="Negado",Z323="Negado"),0,IF(K323="Ativo",X323*1.08,0))</f>
        <v>0</v>
      </c>
    </row>
    <row r="324" spans="1:27">
      <c r="A324" s="16">
        <f ca="1">YEAR(TODAY())-Tabela1[[#This Row],[idade]]</f>
        <v>1970</v>
      </c>
      <c r="B324" s="1">
        <f t="shared" ca="1" si="40"/>
        <v>56</v>
      </c>
      <c r="C324" s="1" t="str">
        <f>PROPER(Tabela1[[#This Row],[nome]])</f>
        <v>Missandei Florent</v>
      </c>
      <c r="D324" s="1" t="str">
        <f t="shared" ref="D324:D371" si="44">IF(LEN(SUBSTITUTE(SUBSTITUTE(SUBSTITUTE(M324,".",""),"-","")," ",""))=11,M324,"-")</f>
        <v>000.000.282-00</v>
      </c>
      <c r="G324" s="26">
        <f t="shared" ref="G324:G370" si="45">IF(R324="","-",IF(ISNUMBER(R324),R324,IF(UPPER(TRIM(R324))="SEM RENDA","-","-")))</f>
        <v>28300</v>
      </c>
      <c r="H324" s="26">
        <f t="shared" ref="H324:H370" si="46">IF(S324="","-",IF(ISNUMBER(S324),S324,IF(UPPER(TRIM(S324))="SEM RENDA","-","-")))</f>
        <v>56000</v>
      </c>
      <c r="I324" s="1" t="str">
        <f t="shared" ref="I324:I370" si="47">IF(TRIM(W324)="","-",
IF(OR(UPPER(TRIM(W324))="SIM",TRIM(W324)="1"),"Sim",
IF(OR(UPPER(TRIM(W324))="NÃO",UPPER(TRIM(W324))="NAO",TRIM(W324)="0"),"Não",
"-")))</f>
        <v>Não</v>
      </c>
      <c r="K324" s="2" t="s">
        <v>23</v>
      </c>
      <c r="L324" s="2" t="s">
        <v>355</v>
      </c>
      <c r="M324" s="3" t="s">
        <v>356</v>
      </c>
      <c r="N324" s="4">
        <f ca="1">DATEDIF(O324,TODAY(),"Y")</f>
        <v>56</v>
      </c>
      <c r="O324" s="5">
        <v>25671</v>
      </c>
      <c r="P324" s="2" t="s">
        <v>118</v>
      </c>
      <c r="Q324" s="2" t="s">
        <v>88</v>
      </c>
      <c r="R324" s="6">
        <v>28300</v>
      </c>
      <c r="S324" s="6">
        <v>56000</v>
      </c>
      <c r="T324" s="7" t="s">
        <v>49</v>
      </c>
      <c r="U324" s="2">
        <v>6</v>
      </c>
      <c r="V324" s="2" t="str">
        <f>IF(Tabela1[[#This Row],[qtde_batalhas]]&lt;=10,"Baixo",IF(Tabela1[[#This Row],[qtde_batalhas]]&lt;=25,"Médio","Alto"))</f>
        <v>Baixo</v>
      </c>
      <c r="W324" s="2" t="s">
        <v>49</v>
      </c>
      <c r="X324" s="6">
        <v>84500</v>
      </c>
      <c r="Y324" s="2" t="str">
        <f t="shared" si="41"/>
        <v>Aprovado</v>
      </c>
      <c r="Z324" s="1" t="str">
        <f t="shared" si="42"/>
        <v>Aprovado</v>
      </c>
      <c r="AA324" s="26">
        <f t="shared" si="43"/>
        <v>91260</v>
      </c>
    </row>
    <row r="325" spans="1:27">
      <c r="A325" s="16">
        <f ca="1">YEAR(TODAY())-Tabela1[[#This Row],[idade]]</f>
        <v>1958</v>
      </c>
      <c r="B325" s="1">
        <f t="shared" ca="1" si="40"/>
        <v>68</v>
      </c>
      <c r="C325" s="1" t="str">
        <f>PROPER(Tabela1[[#This Row],[nome]])</f>
        <v>Catelyn  Ilhasyne</v>
      </c>
      <c r="D325" s="1" t="str">
        <f t="shared" si="44"/>
        <v>000.000.213-00</v>
      </c>
      <c r="G325" s="26">
        <f t="shared" si="45"/>
        <v>24500</v>
      </c>
      <c r="H325" s="26">
        <f t="shared" si="46"/>
        <v>16500</v>
      </c>
      <c r="I325" s="1" t="str">
        <f t="shared" si="47"/>
        <v>Não</v>
      </c>
      <c r="K325" s="2" t="s">
        <v>23</v>
      </c>
      <c r="L325" s="2" t="s">
        <v>857</v>
      </c>
      <c r="M325" s="3" t="s">
        <v>709</v>
      </c>
      <c r="N325" s="4">
        <f ca="1">DATEDIF(O325,TODAY(),"Y")</f>
        <v>68</v>
      </c>
      <c r="O325" s="5">
        <v>21145</v>
      </c>
      <c r="P325" s="2" t="s">
        <v>31</v>
      </c>
      <c r="Q325" s="2" t="s">
        <v>32</v>
      </c>
      <c r="R325" s="6">
        <v>24500</v>
      </c>
      <c r="S325" s="6">
        <v>16500</v>
      </c>
      <c r="T325" s="7" t="s">
        <v>49</v>
      </c>
      <c r="U325" s="2">
        <v>22</v>
      </c>
      <c r="V325" s="2" t="str">
        <f>IF(Tabela1[[#This Row],[qtde_batalhas]]&lt;=10,"Baixo",IF(Tabela1[[#This Row],[qtde_batalhas]]&lt;=25,"Médio","Alto"))</f>
        <v>Médio</v>
      </c>
      <c r="W325" s="2" t="s">
        <v>49</v>
      </c>
      <c r="X325" s="6">
        <v>34500</v>
      </c>
      <c r="Y325" s="2" t="str">
        <f t="shared" si="41"/>
        <v>Aprovado</v>
      </c>
      <c r="Z325" s="1" t="str">
        <f t="shared" si="42"/>
        <v>Aprovado</v>
      </c>
      <c r="AA325" s="26">
        <f t="shared" si="43"/>
        <v>37260</v>
      </c>
    </row>
    <row r="326" spans="1:27">
      <c r="A326" s="16">
        <f ca="1">YEAR(TODAY())-Tabela1[[#This Row],[idade]]</f>
        <v>2026</v>
      </c>
      <c r="B326" s="1">
        <f t="shared" ca="1" si="40"/>
        <v>126</v>
      </c>
      <c r="C326" s="1" t="str">
        <f>PROPER(Tabela1[[#This Row],[nome]])</f>
        <v>Lyanna Tarth</v>
      </c>
      <c r="D326" s="1" t="str">
        <f t="shared" si="44"/>
        <v>000.000.345-00</v>
      </c>
      <c r="G326" s="26">
        <f t="shared" si="45"/>
        <v>19900</v>
      </c>
      <c r="H326" s="26">
        <f t="shared" si="46"/>
        <v>47000</v>
      </c>
      <c r="I326" s="1" t="str">
        <f t="shared" si="47"/>
        <v>Não</v>
      </c>
      <c r="K326" s="2" t="s">
        <v>29</v>
      </c>
      <c r="L326" s="2" t="s">
        <v>710</v>
      </c>
      <c r="M326" s="3" t="s">
        <v>711</v>
      </c>
      <c r="P326" s="2" t="s">
        <v>90</v>
      </c>
      <c r="Q326" s="2" t="s">
        <v>91</v>
      </c>
      <c r="R326" s="6">
        <v>19900</v>
      </c>
      <c r="S326" s="6">
        <v>47000</v>
      </c>
      <c r="T326" s="7" t="s">
        <v>49</v>
      </c>
      <c r="U326" s="2">
        <v>19</v>
      </c>
      <c r="V326" s="2" t="str">
        <f>IF(Tabela1[[#This Row],[qtde_batalhas]]&lt;=10,"Baixo",IF(Tabela1[[#This Row],[qtde_batalhas]]&lt;=25,"Médio","Alto"))</f>
        <v>Médio</v>
      </c>
      <c r="W326" s="2" t="s">
        <v>49</v>
      </c>
      <c r="X326" s="6">
        <v>20500</v>
      </c>
      <c r="Y326" s="2" t="str">
        <f t="shared" si="41"/>
        <v>Aprovado</v>
      </c>
      <c r="Z326" s="1" t="str">
        <f t="shared" si="42"/>
        <v>Aprovado</v>
      </c>
      <c r="AA326" s="26">
        <f t="shared" si="43"/>
        <v>0</v>
      </c>
    </row>
    <row r="327" spans="1:27">
      <c r="A327" s="16">
        <f ca="1">YEAR(TODAY())-Tabela1[[#This Row],[idade]]</f>
        <v>1959</v>
      </c>
      <c r="B327" s="1">
        <f t="shared" ca="1" si="40"/>
        <v>67</v>
      </c>
      <c r="C327" s="1" t="str">
        <f>PROPER(Tabela1[[#This Row],[nome]])</f>
        <v>Varys Lannister</v>
      </c>
      <c r="D327" s="1" t="str">
        <f t="shared" si="44"/>
        <v>000.000.367-00</v>
      </c>
      <c r="G327" s="26">
        <f t="shared" si="45"/>
        <v>21600</v>
      </c>
      <c r="H327" s="26">
        <f t="shared" si="46"/>
        <v>73500</v>
      </c>
      <c r="I327" s="1" t="str">
        <f t="shared" si="47"/>
        <v>Sim</v>
      </c>
      <c r="K327" s="2" t="s">
        <v>23</v>
      </c>
      <c r="L327" s="2" t="s">
        <v>713</v>
      </c>
      <c r="M327" s="3" t="s">
        <v>714</v>
      </c>
      <c r="N327" s="4">
        <f ca="1">DATEDIF(O327,TODAY(),"Y")</f>
        <v>67</v>
      </c>
      <c r="O327" s="5">
        <v>21497</v>
      </c>
      <c r="P327" s="2" t="s">
        <v>789</v>
      </c>
      <c r="Q327" s="2" t="s">
        <v>790</v>
      </c>
      <c r="R327" s="6">
        <v>21600</v>
      </c>
      <c r="S327" s="6">
        <v>73500</v>
      </c>
      <c r="T327" s="7" t="s">
        <v>28</v>
      </c>
      <c r="U327" s="2">
        <v>7</v>
      </c>
      <c r="V327" s="2" t="str">
        <f>IF(Tabela1[[#This Row],[qtde_batalhas]]&lt;=10,"Baixo",IF(Tabela1[[#This Row],[qtde_batalhas]]&lt;=25,"Médio","Alto"))</f>
        <v>Baixo</v>
      </c>
      <c r="W327" s="2" t="s">
        <v>28</v>
      </c>
      <c r="X327" s="6">
        <v>24500</v>
      </c>
      <c r="Y327" s="2" t="str">
        <f t="shared" si="41"/>
        <v>Aprovado</v>
      </c>
      <c r="Z327" s="1" t="str">
        <f t="shared" si="42"/>
        <v>Negado</v>
      </c>
      <c r="AA327" s="26">
        <f t="shared" si="43"/>
        <v>0</v>
      </c>
    </row>
    <row r="328" spans="1:27">
      <c r="A328" s="16">
        <f ca="1">YEAR(TODAY())-Tabela1[[#This Row],[idade]]</f>
        <v>1972</v>
      </c>
      <c r="B328" s="1">
        <f t="shared" ca="1" si="40"/>
        <v>54</v>
      </c>
      <c r="C328" s="1" t="str">
        <f>PROPER(Tabela1[[#This Row],[nome]])</f>
        <v>Ellaria Targaryen</v>
      </c>
      <c r="D328" s="1" t="str">
        <f t="shared" si="44"/>
        <v>000.000.149-00</v>
      </c>
      <c r="G328" s="26">
        <f t="shared" si="45"/>
        <v>18700</v>
      </c>
      <c r="H328" s="26">
        <f t="shared" si="46"/>
        <v>46000</v>
      </c>
      <c r="I328" s="1" t="str">
        <f t="shared" si="47"/>
        <v>Sim</v>
      </c>
      <c r="K328" s="2" t="s">
        <v>23</v>
      </c>
      <c r="L328" s="2" t="s">
        <v>716</v>
      </c>
      <c r="M328" s="3" t="s">
        <v>717</v>
      </c>
      <c r="N328" s="4">
        <f ca="1">DATEDIF(O328,TODAY(),"Y")</f>
        <v>54</v>
      </c>
      <c r="O328" s="5">
        <v>26230</v>
      </c>
      <c r="P328" s="2" t="s">
        <v>111</v>
      </c>
      <c r="Q328" s="2" t="s">
        <v>91</v>
      </c>
      <c r="R328" s="6">
        <v>18700</v>
      </c>
      <c r="S328" s="6">
        <v>46000</v>
      </c>
      <c r="T328" s="7" t="s">
        <v>28</v>
      </c>
      <c r="U328" s="2">
        <v>4</v>
      </c>
      <c r="V328" s="2" t="str">
        <f>IF(Tabela1[[#This Row],[qtde_batalhas]]&lt;=10,"Baixo",IF(Tabela1[[#This Row],[qtde_batalhas]]&lt;=25,"Médio","Alto"))</f>
        <v>Baixo</v>
      </c>
      <c r="W328" s="2" t="s">
        <v>28</v>
      </c>
      <c r="X328" s="6">
        <v>27500</v>
      </c>
      <c r="Y328" s="2" t="str">
        <f t="shared" si="41"/>
        <v>Aprovado</v>
      </c>
      <c r="Z328" s="1" t="str">
        <f t="shared" si="42"/>
        <v>Aprovado</v>
      </c>
      <c r="AA328" s="26">
        <f t="shared" si="43"/>
        <v>29700.000000000004</v>
      </c>
    </row>
    <row r="329" spans="1:27">
      <c r="A329" s="16">
        <f ca="1">YEAR(TODAY())-Tabela1[[#This Row],[idade]]</f>
        <v>1965</v>
      </c>
      <c r="B329" s="1">
        <f t="shared" ca="1" si="40"/>
        <v>61</v>
      </c>
      <c r="C329" s="1" t="str">
        <f>PROPER(Tabela1[[#This Row],[nome]])</f>
        <v>Bronn Royce</v>
      </c>
      <c r="D329" s="1" t="str">
        <f t="shared" si="44"/>
        <v>-</v>
      </c>
      <c r="G329" s="26">
        <f t="shared" si="45"/>
        <v>22900</v>
      </c>
      <c r="H329" s="26">
        <f t="shared" si="46"/>
        <v>7500</v>
      </c>
      <c r="I329" s="1" t="str">
        <f t="shared" si="47"/>
        <v>Não</v>
      </c>
      <c r="K329" s="2" t="s">
        <v>23</v>
      </c>
      <c r="L329" s="2" t="s">
        <v>392</v>
      </c>
      <c r="M329" s="3">
        <v>36900</v>
      </c>
      <c r="N329" s="4">
        <f ca="1">DATEDIF(O329,TODAY(),"Y")</f>
        <v>61</v>
      </c>
      <c r="O329" s="5">
        <v>23928</v>
      </c>
      <c r="P329" s="2" t="s">
        <v>254</v>
      </c>
      <c r="Q329" s="2" t="s">
        <v>32</v>
      </c>
      <c r="R329" s="6">
        <v>22900</v>
      </c>
      <c r="S329" s="6">
        <v>7500</v>
      </c>
      <c r="T329" s="7" t="s">
        <v>49</v>
      </c>
      <c r="U329" s="2">
        <v>12</v>
      </c>
      <c r="V329" s="2" t="str">
        <f>IF(Tabela1[[#This Row],[qtde_batalhas]]&lt;=10,"Baixo",IF(Tabela1[[#This Row],[qtde_batalhas]]&lt;=25,"Médio","Alto"))</f>
        <v>Médio</v>
      </c>
      <c r="W329" s="2" t="s">
        <v>49</v>
      </c>
      <c r="X329" s="6">
        <v>33000</v>
      </c>
      <c r="Y329" s="2" t="str">
        <f t="shared" si="41"/>
        <v>Aprovado</v>
      </c>
      <c r="Z329" s="1" t="str">
        <f t="shared" si="42"/>
        <v>Aprovado</v>
      </c>
      <c r="AA329" s="26">
        <f t="shared" si="43"/>
        <v>35640</v>
      </c>
    </row>
    <row r="330" spans="1:27">
      <c r="A330" s="16">
        <f ca="1">YEAR(TODAY())-Tabela1[[#This Row],[idade]]</f>
        <v>1966</v>
      </c>
      <c r="B330" s="1">
        <f t="shared" ca="1" si="40"/>
        <v>60</v>
      </c>
      <c r="C330" s="1" t="str">
        <f>PROPER(Tabela1[[#This Row],[nome]])</f>
        <v>Varys Lannister</v>
      </c>
      <c r="D330" s="1" t="str">
        <f t="shared" si="44"/>
        <v>000.000.010-00</v>
      </c>
      <c r="G330" s="26">
        <f t="shared" si="45"/>
        <v>22600</v>
      </c>
      <c r="H330" s="26">
        <f t="shared" si="46"/>
        <v>80000</v>
      </c>
      <c r="I330" s="1" t="str">
        <f t="shared" si="47"/>
        <v>Não</v>
      </c>
      <c r="K330" s="2" t="s">
        <v>23</v>
      </c>
      <c r="L330" s="2" t="s">
        <v>713</v>
      </c>
      <c r="M330" s="3" t="s">
        <v>718</v>
      </c>
      <c r="N330" s="4">
        <f ca="1">DATEDIF(O330,TODAY(),"Y")</f>
        <v>60</v>
      </c>
      <c r="O330" s="5">
        <v>24054</v>
      </c>
      <c r="P330" s="2" t="s">
        <v>26</v>
      </c>
      <c r="Q330" s="2" t="s">
        <v>27</v>
      </c>
      <c r="R330" s="6">
        <v>22600</v>
      </c>
      <c r="S330" s="6">
        <v>80000</v>
      </c>
      <c r="T330" s="7" t="s">
        <v>49</v>
      </c>
      <c r="U330" s="2">
        <v>9</v>
      </c>
      <c r="V330" s="2" t="str">
        <f>IF(Tabela1[[#This Row],[qtde_batalhas]]&lt;=10,"Baixo",IF(Tabela1[[#This Row],[qtde_batalhas]]&lt;=25,"Médio","Alto"))</f>
        <v>Baixo</v>
      </c>
      <c r="W330" s="2" t="s">
        <v>49</v>
      </c>
      <c r="X330" s="6">
        <v>58500</v>
      </c>
      <c r="Y330" s="2" t="str">
        <f t="shared" si="41"/>
        <v>Aprovado</v>
      </c>
      <c r="Z330" s="1" t="str">
        <f t="shared" si="42"/>
        <v>Aprovado</v>
      </c>
      <c r="AA330" s="26">
        <f t="shared" si="43"/>
        <v>63180.000000000007</v>
      </c>
    </row>
    <row r="331" spans="1:27">
      <c r="A331" s="16">
        <f ca="1">YEAR(TODAY())-Tabela1[[#This Row],[idade]]</f>
        <v>2000</v>
      </c>
      <c r="B331" s="1">
        <f t="shared" ca="1" si="40"/>
        <v>26</v>
      </c>
      <c r="C331" s="1" t="str">
        <f>PROPER(Tabela1[[#This Row],[nome]])</f>
        <v>Rickon Karstark</v>
      </c>
      <c r="D331" s="1" t="str">
        <f t="shared" si="44"/>
        <v>-</v>
      </c>
      <c r="G331" s="26">
        <f t="shared" si="45"/>
        <v>4800</v>
      </c>
      <c r="H331" s="26">
        <f t="shared" si="46"/>
        <v>48500</v>
      </c>
      <c r="I331" s="1" t="str">
        <f t="shared" si="47"/>
        <v>Sim</v>
      </c>
      <c r="K331" s="2" t="s">
        <v>23</v>
      </c>
      <c r="L331" s="2" t="s">
        <v>288</v>
      </c>
      <c r="M331" s="3">
        <v>36000</v>
      </c>
      <c r="N331" s="4">
        <f ca="1">DATEDIF(O331,TODAY(),"Y")</f>
        <v>26</v>
      </c>
      <c r="O331" s="5">
        <v>36573</v>
      </c>
      <c r="P331" s="2" t="s">
        <v>852</v>
      </c>
      <c r="Q331" s="2" t="s">
        <v>798</v>
      </c>
      <c r="R331" s="6">
        <v>4800</v>
      </c>
      <c r="S331" s="6">
        <v>48500</v>
      </c>
      <c r="T331" s="7" t="s">
        <v>28</v>
      </c>
      <c r="U331" s="2">
        <v>6</v>
      </c>
      <c r="V331" s="2" t="str">
        <f>IF(Tabela1[[#This Row],[qtde_batalhas]]&lt;=10,"Baixo",IF(Tabela1[[#This Row],[qtde_batalhas]]&lt;=25,"Médio","Alto"))</f>
        <v>Baixo</v>
      </c>
      <c r="W331" s="2" t="s">
        <v>28</v>
      </c>
      <c r="X331" s="6">
        <v>56500</v>
      </c>
      <c r="Y331" s="2" t="str">
        <f t="shared" si="41"/>
        <v>Aprovado</v>
      </c>
      <c r="Z331" s="1" t="str">
        <f t="shared" si="42"/>
        <v>Aprovado</v>
      </c>
      <c r="AA331" s="26">
        <f t="shared" si="43"/>
        <v>61020.000000000007</v>
      </c>
    </row>
    <row r="332" spans="1:27">
      <c r="A332" s="16">
        <f ca="1">YEAR(TODAY())-Tabela1[[#This Row],[idade]]</f>
        <v>1978</v>
      </c>
      <c r="B332" s="1">
        <f t="shared" ca="1" si="40"/>
        <v>48</v>
      </c>
      <c r="C332" s="1" t="str">
        <f>PROPER(Tabela1[[#This Row],[nome]])</f>
        <v>Bronn Baratheon</v>
      </c>
      <c r="D332" s="1" t="str">
        <f t="shared" si="44"/>
        <v>-</v>
      </c>
      <c r="G332" s="26">
        <f t="shared" si="45"/>
        <v>6900</v>
      </c>
      <c r="H332" s="26">
        <f t="shared" si="46"/>
        <v>52500</v>
      </c>
      <c r="I332" s="1" t="str">
        <f t="shared" si="47"/>
        <v>Sim</v>
      </c>
      <c r="K332" s="2" t="s">
        <v>29</v>
      </c>
      <c r="L332" s="2" t="s">
        <v>721</v>
      </c>
      <c r="M332" s="3">
        <v>32500</v>
      </c>
      <c r="N332" s="4">
        <f ca="1">DATEDIF(O332,TODAY(),"Y")</f>
        <v>48</v>
      </c>
      <c r="O332" s="5">
        <v>28446</v>
      </c>
      <c r="P332" s="2" t="s">
        <v>37</v>
      </c>
      <c r="Q332" s="2" t="s">
        <v>814</v>
      </c>
      <c r="R332" s="6">
        <v>6900</v>
      </c>
      <c r="S332" s="6">
        <v>52500</v>
      </c>
      <c r="T332" s="7" t="s">
        <v>28</v>
      </c>
      <c r="U332" s="2">
        <v>0</v>
      </c>
      <c r="V332" s="2" t="str">
        <f>IF(Tabela1[[#This Row],[qtde_batalhas]]&lt;=10,"Baixo",IF(Tabela1[[#This Row],[qtde_batalhas]]&lt;=25,"Médio","Alto"))</f>
        <v>Baixo</v>
      </c>
      <c r="W332" s="2" t="s">
        <v>28</v>
      </c>
      <c r="X332" s="6">
        <v>66000</v>
      </c>
      <c r="Y332" s="2" t="str">
        <f t="shared" si="41"/>
        <v>Aprovado</v>
      </c>
      <c r="Z332" s="1" t="str">
        <f t="shared" si="42"/>
        <v>Negado</v>
      </c>
      <c r="AA332" s="26">
        <f t="shared" si="43"/>
        <v>0</v>
      </c>
    </row>
    <row r="333" spans="1:27">
      <c r="A333" s="16">
        <f ca="1">YEAR(TODAY())-Tabela1[[#This Row],[idade]]</f>
        <v>2026</v>
      </c>
      <c r="B333" s="1">
        <f t="shared" ca="1" si="40"/>
        <v>126</v>
      </c>
      <c r="C333" s="1" t="str">
        <f>PROPER(Tabela1[[#This Row],[nome]])</f>
        <v>Jojen Ilhasyne</v>
      </c>
      <c r="D333" s="1" t="str">
        <f t="shared" si="44"/>
        <v>000.000.199-00</v>
      </c>
      <c r="G333" s="26">
        <f t="shared" si="45"/>
        <v>11400</v>
      </c>
      <c r="H333" s="26">
        <f t="shared" si="46"/>
        <v>0</v>
      </c>
      <c r="I333" s="1" t="str">
        <f t="shared" si="47"/>
        <v>Sim</v>
      </c>
      <c r="K333" s="2" t="s">
        <v>23</v>
      </c>
      <c r="L333" s="2" t="s">
        <v>858</v>
      </c>
      <c r="M333" s="3" t="s">
        <v>723</v>
      </c>
      <c r="P333" s="2" t="s">
        <v>254</v>
      </c>
      <c r="Q333" s="2" t="s">
        <v>795</v>
      </c>
      <c r="R333" s="6">
        <v>11400</v>
      </c>
      <c r="S333" s="6">
        <v>0</v>
      </c>
      <c r="T333" s="7" t="s">
        <v>28</v>
      </c>
      <c r="U333" s="2">
        <v>13</v>
      </c>
      <c r="V333" s="2" t="str">
        <f>IF(Tabela1[[#This Row],[qtde_batalhas]]&lt;=10,"Baixo",IF(Tabela1[[#This Row],[qtde_batalhas]]&lt;=25,"Médio","Alto"))</f>
        <v>Médio</v>
      </c>
      <c r="W333" s="2" t="s">
        <v>28</v>
      </c>
      <c r="X333" s="6">
        <v>79000</v>
      </c>
      <c r="Y333" s="2" t="str">
        <f t="shared" si="41"/>
        <v>Aprovado</v>
      </c>
      <c r="Z333" s="1" t="str">
        <f t="shared" si="42"/>
        <v>Aprovado</v>
      </c>
      <c r="AA333" s="26">
        <f t="shared" si="43"/>
        <v>85320</v>
      </c>
    </row>
    <row r="334" spans="1:27">
      <c r="A334" s="16">
        <f ca="1">YEAR(TODAY())-Tabela1[[#This Row],[idade]]</f>
        <v>2001</v>
      </c>
      <c r="B334" s="1">
        <f t="shared" ca="1" si="40"/>
        <v>25</v>
      </c>
      <c r="C334" s="1" t="str">
        <f>PROPER(Tabela1[[#This Row],[nome]])</f>
        <v>Podrick Ilhasyne</v>
      </c>
      <c r="D334" s="1" t="str">
        <f t="shared" si="44"/>
        <v>-</v>
      </c>
      <c r="G334" s="26">
        <f t="shared" si="45"/>
        <v>9400</v>
      </c>
      <c r="H334" s="26">
        <f t="shared" si="46"/>
        <v>51500</v>
      </c>
      <c r="I334" s="1" t="str">
        <f t="shared" si="47"/>
        <v>Não</v>
      </c>
      <c r="K334" s="2" t="s">
        <v>23</v>
      </c>
      <c r="L334" s="2" t="s">
        <v>794</v>
      </c>
      <c r="M334" s="3">
        <v>22300</v>
      </c>
      <c r="N334" s="4">
        <f ca="1">DATEDIF(O334,TODAY(),"Y")</f>
        <v>25</v>
      </c>
      <c r="O334" s="5">
        <v>36831</v>
      </c>
      <c r="P334" s="2" t="s">
        <v>97</v>
      </c>
      <c r="Q334" s="2" t="s">
        <v>98</v>
      </c>
      <c r="R334" s="6">
        <v>9400</v>
      </c>
      <c r="S334" s="6">
        <v>51500</v>
      </c>
      <c r="T334" s="7" t="s">
        <v>49</v>
      </c>
      <c r="U334" s="2">
        <v>14</v>
      </c>
      <c r="V334" s="2" t="str">
        <f>IF(Tabela1[[#This Row],[qtde_batalhas]]&lt;=10,"Baixo",IF(Tabela1[[#This Row],[qtde_batalhas]]&lt;=25,"Médio","Alto"))</f>
        <v>Médio</v>
      </c>
      <c r="W334" s="2" t="s">
        <v>49</v>
      </c>
      <c r="X334" s="6">
        <v>74000</v>
      </c>
      <c r="Y334" s="2" t="str">
        <f t="shared" si="41"/>
        <v>Aprovado</v>
      </c>
      <c r="Z334" s="1" t="str">
        <f t="shared" si="42"/>
        <v>Aprovado</v>
      </c>
      <c r="AA334" s="26">
        <f t="shared" si="43"/>
        <v>79920</v>
      </c>
    </row>
    <row r="335" spans="1:27">
      <c r="A335" s="16">
        <f ca="1">YEAR(TODAY())-Tabela1[[#This Row],[idade]]</f>
        <v>1964</v>
      </c>
      <c r="B335" s="1">
        <f t="shared" ca="1" si="40"/>
        <v>62</v>
      </c>
      <c r="C335" s="1" t="str">
        <f>PROPER(Tabela1[[#This Row],[nome]])</f>
        <v>Sandor Clegane</v>
      </c>
      <c r="D335" s="1" t="str">
        <f t="shared" si="44"/>
        <v>000.000.164-00</v>
      </c>
      <c r="G335" s="26">
        <f t="shared" si="45"/>
        <v>10500</v>
      </c>
      <c r="H335" s="26">
        <f t="shared" si="46"/>
        <v>0</v>
      </c>
      <c r="I335" s="1" t="str">
        <f t="shared" si="47"/>
        <v>Sim</v>
      </c>
      <c r="K335" s="2" t="s">
        <v>23</v>
      </c>
      <c r="L335" s="2" t="s">
        <v>724</v>
      </c>
      <c r="M335" s="3" t="s">
        <v>725</v>
      </c>
      <c r="N335" s="4">
        <f ca="1">DATEDIF(O335,TODAY(),"Y")</f>
        <v>62</v>
      </c>
      <c r="O335" s="5">
        <v>23317</v>
      </c>
      <c r="P335" s="2" t="s">
        <v>119</v>
      </c>
      <c r="Q335" s="2" t="s">
        <v>91</v>
      </c>
      <c r="R335" s="6">
        <v>10500</v>
      </c>
      <c r="S335" s="6">
        <v>0</v>
      </c>
      <c r="T335" s="7" t="s">
        <v>28</v>
      </c>
      <c r="U335" s="2">
        <v>4</v>
      </c>
      <c r="V335" s="2" t="str">
        <f>IF(Tabela1[[#This Row],[qtde_batalhas]]&lt;=10,"Baixo",IF(Tabela1[[#This Row],[qtde_batalhas]]&lt;=25,"Médio","Alto"))</f>
        <v>Baixo</v>
      </c>
      <c r="W335" s="2" t="s">
        <v>28</v>
      </c>
      <c r="X335" s="6">
        <v>54500</v>
      </c>
      <c r="Y335" s="2" t="str">
        <f t="shared" si="41"/>
        <v>Aprovado</v>
      </c>
      <c r="Z335" s="1" t="str">
        <f t="shared" si="42"/>
        <v>Aprovado</v>
      </c>
      <c r="AA335" s="26">
        <f t="shared" si="43"/>
        <v>58860.000000000007</v>
      </c>
    </row>
    <row r="336" spans="1:27">
      <c r="A336" s="16">
        <f ca="1">YEAR(TODAY())-Tabela1[[#This Row],[idade]]</f>
        <v>1999</v>
      </c>
      <c r="B336" s="1">
        <f t="shared" ca="1" si="40"/>
        <v>27</v>
      </c>
      <c r="C336" s="1" t="str">
        <f>PROPER(Tabela1[[#This Row],[nome]])</f>
        <v>Thoros Westerling</v>
      </c>
      <c r="D336" s="1" t="str">
        <f t="shared" si="44"/>
        <v>-</v>
      </c>
      <c r="G336" s="26">
        <f t="shared" si="45"/>
        <v>30000</v>
      </c>
      <c r="H336" s="26">
        <f t="shared" si="46"/>
        <v>27000</v>
      </c>
      <c r="I336" s="1" t="str">
        <f t="shared" si="47"/>
        <v>Não</v>
      </c>
      <c r="K336" s="2" t="s">
        <v>23</v>
      </c>
      <c r="L336" s="2" t="s">
        <v>726</v>
      </c>
      <c r="M336" s="3">
        <v>25700</v>
      </c>
      <c r="N336" s="4">
        <f ca="1">DATEDIF(O336,TODAY(),"Y")</f>
        <v>27</v>
      </c>
      <c r="O336" s="5">
        <v>36152</v>
      </c>
      <c r="P336" s="2" t="s">
        <v>122</v>
      </c>
      <c r="Q336" s="2" t="s">
        <v>98</v>
      </c>
      <c r="R336" s="6">
        <v>30000</v>
      </c>
      <c r="S336" s="6">
        <v>27000</v>
      </c>
      <c r="T336" s="7" t="s">
        <v>49</v>
      </c>
      <c r="U336" s="2">
        <v>28</v>
      </c>
      <c r="V336" s="2" t="str">
        <f>IF(Tabela1[[#This Row],[qtde_batalhas]]&lt;=10,"Baixo",IF(Tabela1[[#This Row],[qtde_batalhas]]&lt;=25,"Médio","Alto"))</f>
        <v>Alto</v>
      </c>
      <c r="W336" s="2" t="s">
        <v>49</v>
      </c>
      <c r="X336" s="6">
        <v>28500</v>
      </c>
      <c r="Y336" s="2" t="str">
        <f t="shared" si="41"/>
        <v>Aprovado</v>
      </c>
      <c r="Z336" s="1" t="str">
        <f t="shared" si="42"/>
        <v>Aprovado</v>
      </c>
      <c r="AA336" s="26">
        <f t="shared" si="43"/>
        <v>30780.000000000004</v>
      </c>
    </row>
    <row r="337" spans="1:27">
      <c r="A337" s="16">
        <f ca="1">YEAR(TODAY())-Tabela1[[#This Row],[idade]]</f>
        <v>1995</v>
      </c>
      <c r="B337" s="1">
        <f t="shared" ca="1" si="40"/>
        <v>31</v>
      </c>
      <c r="C337" s="1" t="str">
        <f>PROPER(Tabela1[[#This Row],[nome]])</f>
        <v>Stannis Westerling</v>
      </c>
      <c r="D337" s="1" t="str">
        <f t="shared" si="44"/>
        <v>000.000.071-00</v>
      </c>
      <c r="G337" s="26">
        <f t="shared" si="45"/>
        <v>9000</v>
      </c>
      <c r="H337" s="26">
        <f t="shared" si="46"/>
        <v>66000</v>
      </c>
      <c r="I337" s="1" t="str">
        <f t="shared" si="47"/>
        <v>Não</v>
      </c>
      <c r="K337" s="2" t="s">
        <v>23</v>
      </c>
      <c r="L337" s="2" t="s">
        <v>727</v>
      </c>
      <c r="M337" s="3" t="s">
        <v>728</v>
      </c>
      <c r="N337" s="4">
        <f ca="1">DATEDIF(O337,TODAY(),"Y")</f>
        <v>31</v>
      </c>
      <c r="O337" s="5">
        <v>34769</v>
      </c>
      <c r="P337" s="2" t="s">
        <v>52</v>
      </c>
      <c r="Q337" s="2" t="s">
        <v>57</v>
      </c>
      <c r="R337" s="6">
        <v>9000</v>
      </c>
      <c r="S337" s="6">
        <v>66000</v>
      </c>
      <c r="T337" s="7" t="s">
        <v>49</v>
      </c>
      <c r="U337" s="2">
        <v>24</v>
      </c>
      <c r="V337" s="2" t="str">
        <f>IF(Tabela1[[#This Row],[qtde_batalhas]]&lt;=10,"Baixo",IF(Tabela1[[#This Row],[qtde_batalhas]]&lt;=25,"Médio","Alto"))</f>
        <v>Médio</v>
      </c>
      <c r="W337" s="2" t="s">
        <v>49</v>
      </c>
      <c r="X337" s="6">
        <v>72000</v>
      </c>
      <c r="Y337" s="2" t="str">
        <f t="shared" si="41"/>
        <v>Aprovado</v>
      </c>
      <c r="Z337" s="1" t="str">
        <f t="shared" si="42"/>
        <v>Aprovado</v>
      </c>
      <c r="AA337" s="26">
        <f t="shared" si="43"/>
        <v>77760</v>
      </c>
    </row>
    <row r="338" spans="1:27">
      <c r="A338" s="16">
        <f ca="1">YEAR(TODAY())-Tabela1[[#This Row],[idade]]</f>
        <v>1961</v>
      </c>
      <c r="B338" s="1">
        <f t="shared" ca="1" si="40"/>
        <v>65</v>
      </c>
      <c r="C338" s="1" t="str">
        <f>PROPER(Tabela1[[#This Row],[nome]])</f>
        <v>Ilhasvos Tyrell</v>
      </c>
      <c r="D338" s="1" t="str">
        <f t="shared" si="44"/>
        <v>000.000.079-00</v>
      </c>
      <c r="G338" s="26">
        <f t="shared" si="45"/>
        <v>3300</v>
      </c>
      <c r="H338" s="26">
        <f t="shared" si="46"/>
        <v>43500</v>
      </c>
      <c r="I338" s="1" t="str">
        <f t="shared" si="47"/>
        <v>Não</v>
      </c>
      <c r="K338" s="2" t="s">
        <v>29</v>
      </c>
      <c r="L338" s="2" t="s">
        <v>806</v>
      </c>
      <c r="M338" s="3" t="s">
        <v>729</v>
      </c>
      <c r="N338" s="4">
        <f ca="1">DATEDIF(O338,TODAY(),"Y")</f>
        <v>65</v>
      </c>
      <c r="O338" s="5">
        <v>22275</v>
      </c>
      <c r="P338" s="2" t="s">
        <v>26</v>
      </c>
      <c r="Q338" s="2" t="s">
        <v>27</v>
      </c>
      <c r="R338" s="6">
        <v>3300</v>
      </c>
      <c r="S338" s="6">
        <v>43500</v>
      </c>
      <c r="T338" s="7" t="s">
        <v>49</v>
      </c>
      <c r="U338" s="2">
        <v>27</v>
      </c>
      <c r="V338" s="2" t="str">
        <f>IF(Tabela1[[#This Row],[qtde_batalhas]]&lt;=10,"Baixo",IF(Tabela1[[#This Row],[qtde_batalhas]]&lt;=25,"Médio","Alto"))</f>
        <v>Alto</v>
      </c>
      <c r="W338" s="2" t="s">
        <v>49</v>
      </c>
      <c r="X338" s="6">
        <v>23500</v>
      </c>
      <c r="Y338" s="2" t="str">
        <f t="shared" si="41"/>
        <v>Aprovado</v>
      </c>
      <c r="Z338" s="1" t="str">
        <f t="shared" si="42"/>
        <v>Aprovado</v>
      </c>
      <c r="AA338" s="26">
        <f t="shared" si="43"/>
        <v>0</v>
      </c>
    </row>
    <row r="339" spans="1:27">
      <c r="A339" s="16">
        <f ca="1">YEAR(TODAY())-Tabela1[[#This Row],[idade]]</f>
        <v>1997</v>
      </c>
      <c r="B339" s="1">
        <f t="shared" ca="1" si="40"/>
        <v>29</v>
      </c>
      <c r="C339" s="1" t="str">
        <f>PROPER(Tabela1[[#This Row],[nome]])</f>
        <v>Melisandre Cerwyn</v>
      </c>
      <c r="D339" s="1" t="str">
        <f t="shared" si="44"/>
        <v>000.000.120-00</v>
      </c>
      <c r="E339" t="str">
        <f>IF(P360="Lannisporto","Oeste",
IF(P360="Ninho da Águia","Vale",
IF(P360="Ponta Tempestade","Terras da Tempestade",
IF(P360="Pedra do Dragão","Terras da Coroa",
IF(P360="Pyke","Ilhas de Ferro",
IF(P360="Meereen","Essos",
IF(P360="Braavos","Essos",
IF(P360="Correrrio","Terras Fluviais",
IF(P360="Castelo Negro","Norte",
IF(P360="Vilavelha","Campina",
IF(P360="Ilha dos Ursos","Norte",
IF(P360="Fosso Cailin","Norte",
IF(P360="Harrenhal","Terras Fluviais",
IF(P360="Winterfell","Norte",
IF(P360="Jardim de Cima","Campina",
IF(P360="Dorne","Dorne",
IF(P360="Monte Chifre","Campina",
IF(P360="Atalaia da Água Cinzenta","Oeste",
IF(P360="Porto Real","Terras da Coroa",
IF(P360="Solar do Entardecer","Terras da Tempestade",
""))))))))))))))))))))</f>
        <v>Campina</v>
      </c>
      <c r="G339" s="26">
        <f t="shared" si="45"/>
        <v>6400</v>
      </c>
      <c r="H339" s="26">
        <f t="shared" si="46"/>
        <v>19500</v>
      </c>
      <c r="I339" s="1" t="str">
        <f t="shared" si="47"/>
        <v>Não</v>
      </c>
      <c r="K339" s="2" t="s">
        <v>23</v>
      </c>
      <c r="L339" s="2" t="s">
        <v>730</v>
      </c>
      <c r="M339" s="3" t="s">
        <v>731</v>
      </c>
      <c r="N339" s="4">
        <f ca="1">DATEDIF(O339,TODAY(),"Y")</f>
        <v>29</v>
      </c>
      <c r="O339" s="5">
        <v>35392</v>
      </c>
      <c r="P339" s="19" t="s">
        <v>194</v>
      </c>
      <c r="Q339" s="20" t="str">
        <f>IF(P339="Lannisporto","Oeste",
IF(P339="Ninho da Águia","Vale",
IF(P339="Ponta Tempestade","Terras da Tempestade",
IF(P339="Pedra do Dragão","Terras da Coroa",
IF(P339="Pyke","Ilhas de Ferro",
IF(P339="Meereen","Essos",
IF(P339="Braavos","Essos",
IF(P339="Correrrio","Terras Fluviais",
IF(P339="Castelo Negro","Norte",
IF(P339="Vilavelha","Campina",
IF(P339="Ilha dos Ursos","Norte",
IF(P339="Fosso Cailin","Norte",
IF(P339="Harrenhal","Terras Fluviais",
IF(P339="Winterfell","Norte",
IF(P339="Jardim de Cima","Campina",
IF(P339="Dorne","Dorne",
IF(P339="Monte Chifre","Campina",
IF(P339="Atalaia da Água Cinzenta","Oeste",
IF(P339="Porto Real","Terras da Coroa",
IF(P339="Solar do Entardecer","Terras da Tempestade",
""))))))))))))))))))))</f>
        <v>Oeste</v>
      </c>
      <c r="R339" s="6">
        <v>6400</v>
      </c>
      <c r="S339" s="6">
        <v>19500</v>
      </c>
      <c r="T339" s="7" t="s">
        <v>49</v>
      </c>
      <c r="U339" s="2">
        <v>30</v>
      </c>
      <c r="V339" s="2" t="str">
        <f>IF(Tabela1[[#This Row],[qtde_batalhas]]&lt;=10,"Baixo",IF(Tabela1[[#This Row],[qtde_batalhas]]&lt;=25,"Médio","Alto"))</f>
        <v>Alto</v>
      </c>
      <c r="W339" s="2" t="s">
        <v>49</v>
      </c>
      <c r="X339" s="6">
        <v>51000</v>
      </c>
      <c r="Y339" s="2" t="str">
        <f t="shared" si="41"/>
        <v>Aprovado</v>
      </c>
      <c r="Z339" s="1" t="str">
        <f t="shared" si="42"/>
        <v>Aprovado</v>
      </c>
      <c r="AA339" s="26">
        <f t="shared" si="43"/>
        <v>55080</v>
      </c>
    </row>
    <row r="340" spans="1:27">
      <c r="A340" s="16">
        <f ca="1">YEAR(TODAY())-Tabela1[[#This Row],[idade]]</f>
        <v>1971</v>
      </c>
      <c r="B340" s="1">
        <f ca="1">INT((TODAY()-O340)/365)</f>
        <v>55</v>
      </c>
      <c r="C340" s="1" t="str">
        <f>PROPER(Tabela1[[#This Row],[nome]])</f>
        <v>Thoros  Frey</v>
      </c>
      <c r="D340" s="1" t="str">
        <f t="shared" si="44"/>
        <v>000.000.113-00</v>
      </c>
      <c r="G340" s="26">
        <f t="shared" si="45"/>
        <v>17400</v>
      </c>
      <c r="H340" s="26">
        <f t="shared" si="46"/>
        <v>75500</v>
      </c>
      <c r="I340" s="1" t="str">
        <f t="shared" si="47"/>
        <v>Não</v>
      </c>
      <c r="K340" s="2" t="s">
        <v>23</v>
      </c>
      <c r="L340" s="2" t="s">
        <v>859</v>
      </c>
      <c r="M340" s="3" t="s">
        <v>734</v>
      </c>
      <c r="N340" s="4">
        <f ca="1">DATEDIF(O340,TODAY(),"Y")</f>
        <v>55</v>
      </c>
      <c r="O340" s="5">
        <v>25844</v>
      </c>
      <c r="P340" s="2" t="s">
        <v>122</v>
      </c>
      <c r="Q340" s="2" t="s">
        <v>98</v>
      </c>
      <c r="R340" s="6">
        <v>17400</v>
      </c>
      <c r="S340" s="6">
        <v>75500</v>
      </c>
      <c r="T340" s="7" t="s">
        <v>49</v>
      </c>
      <c r="U340" s="2">
        <v>9</v>
      </c>
      <c r="V340" s="2" t="str">
        <f>IF(Tabela1[[#This Row],[qtde_batalhas]]&lt;=10,"Baixo",IF(Tabela1[[#This Row],[qtde_batalhas]]&lt;=25,"Médio","Alto"))</f>
        <v>Baixo</v>
      </c>
      <c r="W340" s="2" t="s">
        <v>49</v>
      </c>
      <c r="X340" s="6">
        <v>52000</v>
      </c>
      <c r="Y340" s="2" t="str">
        <f t="shared" si="41"/>
        <v>Aprovado</v>
      </c>
      <c r="Z340" s="1" t="str">
        <f t="shared" si="42"/>
        <v>Aprovado</v>
      </c>
      <c r="AA340" s="26">
        <f t="shared" si="43"/>
        <v>56160.000000000007</v>
      </c>
    </row>
    <row r="341" spans="1:27">
      <c r="A341" s="16">
        <f ca="1">YEAR(TODAY())-Tabela1[[#This Row],[idade]]</f>
        <v>1988</v>
      </c>
      <c r="B341" s="1">
        <f ca="1">INT((TODAY()-O341)/365)</f>
        <v>38</v>
      </c>
      <c r="C341" s="1" t="str">
        <f>PROPER(Tabela1[[#This Row],[nome]])</f>
        <v>Missandei Glover</v>
      </c>
      <c r="D341" s="1" t="str">
        <f t="shared" si="44"/>
        <v>-</v>
      </c>
      <c r="G341" s="26">
        <f t="shared" si="45"/>
        <v>15800</v>
      </c>
      <c r="H341" s="26">
        <f t="shared" si="46"/>
        <v>14500</v>
      </c>
      <c r="I341" s="1" t="str">
        <f t="shared" si="47"/>
        <v>Não</v>
      </c>
      <c r="K341" s="2" t="s">
        <v>29</v>
      </c>
      <c r="L341" s="2" t="s">
        <v>557</v>
      </c>
      <c r="M341" s="3">
        <v>34000</v>
      </c>
      <c r="N341" s="4">
        <f ca="1">DATEDIF(O341,TODAY(),"Y")</f>
        <v>38</v>
      </c>
      <c r="O341" s="5">
        <v>32118</v>
      </c>
      <c r="P341" s="2" t="s">
        <v>31</v>
      </c>
      <c r="Q341" s="2" t="s">
        <v>32</v>
      </c>
      <c r="R341" s="6">
        <v>15800</v>
      </c>
      <c r="S341" s="6">
        <v>14500</v>
      </c>
      <c r="T341" s="7" t="s">
        <v>49</v>
      </c>
      <c r="U341" s="2">
        <v>4</v>
      </c>
      <c r="V341" s="2" t="str">
        <f>IF(Tabela1[[#This Row],[qtde_batalhas]]&lt;=10,"Baixo",IF(Tabela1[[#This Row],[qtde_batalhas]]&lt;=25,"Médio","Alto"))</f>
        <v>Baixo</v>
      </c>
      <c r="W341" s="2" t="s">
        <v>49</v>
      </c>
      <c r="X341" s="6">
        <v>21000</v>
      </c>
      <c r="Y341" s="2" t="str">
        <f t="shared" si="41"/>
        <v>Aprovado</v>
      </c>
      <c r="Z341" s="1" t="str">
        <f t="shared" si="42"/>
        <v>Aprovado</v>
      </c>
      <c r="AA341" s="26">
        <f t="shared" si="43"/>
        <v>0</v>
      </c>
    </row>
    <row r="342" spans="1:27">
      <c r="A342" s="16">
        <f ca="1">YEAR(TODAY())-Tabela1[[#This Row],[idade]]</f>
        <v>1968</v>
      </c>
      <c r="B342" s="1">
        <f t="shared" ca="1" si="40"/>
        <v>58</v>
      </c>
      <c r="C342" s="1" t="str">
        <f>PROPER(Tabela1[[#This Row],[nome]])</f>
        <v>Gilly Glover</v>
      </c>
      <c r="D342" s="1" t="str">
        <f t="shared" si="44"/>
        <v>-</v>
      </c>
      <c r="G342" s="26">
        <f t="shared" si="45"/>
        <v>2800</v>
      </c>
      <c r="H342" s="26">
        <f t="shared" si="46"/>
        <v>35000</v>
      </c>
      <c r="I342" s="1" t="str">
        <f t="shared" si="47"/>
        <v>Não</v>
      </c>
      <c r="K342" s="2" t="s">
        <v>23</v>
      </c>
      <c r="L342" s="2" t="s">
        <v>735</v>
      </c>
      <c r="M342" s="3">
        <v>2200</v>
      </c>
      <c r="N342" s="4">
        <f ca="1">DATEDIF(O342,TODAY(),"Y")</f>
        <v>58</v>
      </c>
      <c r="O342" s="5">
        <v>24840</v>
      </c>
      <c r="P342" s="2" t="s">
        <v>194</v>
      </c>
      <c r="Q342" s="2" t="s">
        <v>408</v>
      </c>
      <c r="R342" s="6">
        <v>2800</v>
      </c>
      <c r="S342" s="6">
        <v>35000</v>
      </c>
      <c r="T342" s="7" t="s">
        <v>49</v>
      </c>
      <c r="U342" s="2">
        <v>36</v>
      </c>
      <c r="V342" s="2" t="str">
        <f>IF(Tabela1[[#This Row],[qtde_batalhas]]&lt;=10,"Baixo",IF(Tabela1[[#This Row],[qtde_batalhas]]&lt;=25,"Médio","Alto"))</f>
        <v>Alto</v>
      </c>
      <c r="W342" s="2" t="s">
        <v>49</v>
      </c>
      <c r="X342" s="6">
        <v>9000</v>
      </c>
      <c r="Y342" s="2" t="str">
        <f t="shared" si="41"/>
        <v>Aprovado</v>
      </c>
      <c r="Z342" s="1" t="str">
        <f t="shared" si="42"/>
        <v>Aprovado</v>
      </c>
      <c r="AA342" s="26">
        <f t="shared" si="43"/>
        <v>9720</v>
      </c>
    </row>
    <row r="343" spans="1:27">
      <c r="A343" s="16">
        <f ca="1">YEAR(TODAY())-Tabela1[[#This Row],[idade]]</f>
        <v>1997</v>
      </c>
      <c r="B343" s="1">
        <f ca="1">INT((TODAY()-O343)/365)</f>
        <v>29</v>
      </c>
      <c r="C343" s="1" t="str">
        <f>PROPER(Tabela1[[#This Row],[nome]])</f>
        <v>Robb Reed</v>
      </c>
      <c r="D343" s="1" t="str">
        <f t="shared" si="44"/>
        <v>000.000.246-00</v>
      </c>
      <c r="G343" s="26">
        <f t="shared" si="45"/>
        <v>9600</v>
      </c>
      <c r="H343" s="26">
        <f t="shared" si="46"/>
        <v>41000</v>
      </c>
      <c r="I343" s="1" t="str">
        <f t="shared" si="47"/>
        <v>Não</v>
      </c>
      <c r="K343" s="2" t="s">
        <v>23</v>
      </c>
      <c r="L343" s="2" t="s">
        <v>736</v>
      </c>
      <c r="M343" s="3" t="s">
        <v>737</v>
      </c>
      <c r="N343" s="4">
        <f ca="1">DATEDIF(O343,TODAY(),"Y")</f>
        <v>29</v>
      </c>
      <c r="O343" s="5">
        <v>35600</v>
      </c>
      <c r="P343" s="2" t="s">
        <v>118</v>
      </c>
      <c r="Q343" s="2" t="s">
        <v>88</v>
      </c>
      <c r="R343" s="6">
        <v>9600</v>
      </c>
      <c r="S343" s="6">
        <v>41000</v>
      </c>
      <c r="T343" s="7" t="s">
        <v>49</v>
      </c>
      <c r="U343" s="2">
        <v>27</v>
      </c>
      <c r="V343" s="2" t="str">
        <f>IF(Tabela1[[#This Row],[qtde_batalhas]]&lt;=10,"Baixo",IF(Tabela1[[#This Row],[qtde_batalhas]]&lt;=25,"Médio","Alto"))</f>
        <v>Alto</v>
      </c>
      <c r="W343" s="2" t="s">
        <v>49</v>
      </c>
      <c r="X343" s="6">
        <v>25000</v>
      </c>
      <c r="Y343" s="2" t="str">
        <f t="shared" si="41"/>
        <v>Aprovado</v>
      </c>
      <c r="Z343" s="1" t="str">
        <f t="shared" si="42"/>
        <v>Aprovado</v>
      </c>
      <c r="AA343" s="26">
        <f t="shared" si="43"/>
        <v>27000</v>
      </c>
    </row>
    <row r="344" spans="1:27">
      <c r="A344" s="16">
        <f ca="1">YEAR(TODAY())-Tabela1[[#This Row],[idade]]</f>
        <v>1990</v>
      </c>
      <c r="B344" s="1">
        <f t="shared" ca="1" si="40"/>
        <v>36</v>
      </c>
      <c r="C344" s="1" t="str">
        <f>PROPER(Tabela1[[#This Row],[nome]])</f>
        <v>Petyr Mallister</v>
      </c>
      <c r="D344" s="1" t="str">
        <f t="shared" si="44"/>
        <v>-</v>
      </c>
      <c r="G344" s="26">
        <f t="shared" si="45"/>
        <v>28100</v>
      </c>
      <c r="H344" s="26">
        <f t="shared" si="46"/>
        <v>36500</v>
      </c>
      <c r="I344" s="1" t="str">
        <f t="shared" si="47"/>
        <v>Não</v>
      </c>
      <c r="K344" s="2" t="s">
        <v>29</v>
      </c>
      <c r="L344" s="2" t="s">
        <v>738</v>
      </c>
      <c r="M344" s="3">
        <v>11600</v>
      </c>
      <c r="N344" s="4">
        <f ca="1">DATEDIF(O344,TODAY(),"Y")</f>
        <v>36</v>
      </c>
      <c r="O344" s="5">
        <v>32890</v>
      </c>
      <c r="P344" s="2" t="s">
        <v>87</v>
      </c>
      <c r="Q344" s="2" t="s">
        <v>818</v>
      </c>
      <c r="R344" s="6">
        <v>28100</v>
      </c>
      <c r="S344" s="6">
        <v>36500</v>
      </c>
      <c r="T344" s="7" t="s">
        <v>49</v>
      </c>
      <c r="U344" s="2">
        <v>13</v>
      </c>
      <c r="V344" s="2" t="str">
        <f>IF(Tabela1[[#This Row],[qtde_batalhas]]&lt;=10,"Baixo",IF(Tabela1[[#This Row],[qtde_batalhas]]&lt;=25,"Médio","Alto"))</f>
        <v>Médio</v>
      </c>
      <c r="W344" s="2" t="s">
        <v>49</v>
      </c>
      <c r="X344" s="6">
        <v>5000</v>
      </c>
      <c r="Y344" s="2" t="str">
        <f t="shared" si="41"/>
        <v>Aprovado</v>
      </c>
      <c r="Z344" s="1" t="str">
        <f t="shared" si="42"/>
        <v>Aprovado</v>
      </c>
      <c r="AA344" s="26">
        <f t="shared" si="43"/>
        <v>0</v>
      </c>
    </row>
    <row r="345" spans="1:27">
      <c r="A345" s="16">
        <f ca="1">YEAR(TODAY())-Tabela1[[#This Row],[idade]]</f>
        <v>1980</v>
      </c>
      <c r="B345" s="1">
        <f t="shared" ca="1" si="40"/>
        <v>46</v>
      </c>
      <c r="C345" s="1" t="str">
        <f>PROPER(Tabela1[[#This Row],[nome]])</f>
        <v>Cersei Tarth</v>
      </c>
      <c r="D345" s="1" t="str">
        <f t="shared" si="44"/>
        <v>-</v>
      </c>
      <c r="G345" s="26" t="str">
        <f t="shared" si="45"/>
        <v>-</v>
      </c>
      <c r="H345" s="26">
        <f t="shared" si="46"/>
        <v>37500</v>
      </c>
      <c r="I345" s="1" t="str">
        <f t="shared" si="47"/>
        <v>Não</v>
      </c>
      <c r="K345" s="2" t="s">
        <v>29</v>
      </c>
      <c r="L345" s="2" t="s">
        <v>648</v>
      </c>
      <c r="M345" s="3">
        <v>20300</v>
      </c>
      <c r="N345" s="4">
        <f ca="1">DATEDIF(O345,TODAY(),"Y")</f>
        <v>46</v>
      </c>
      <c r="O345" s="5">
        <v>29427</v>
      </c>
      <c r="P345" s="2" t="s">
        <v>118</v>
      </c>
      <c r="Q345" s="2" t="s">
        <v>88</v>
      </c>
      <c r="S345" s="6">
        <v>37500</v>
      </c>
      <c r="T345" s="7" t="s">
        <v>49</v>
      </c>
      <c r="V345" s="2" t="str">
        <f>IF(Tabela1[[#This Row],[qtde_batalhas]]&lt;=10,"Baixo",IF(Tabela1[[#This Row],[qtde_batalhas]]&lt;=25,"Médio","Alto"))</f>
        <v>Baixo</v>
      </c>
      <c r="W345" s="2" t="s">
        <v>49</v>
      </c>
      <c r="X345" s="6">
        <v>77000</v>
      </c>
      <c r="Y345" s="2" t="str">
        <f t="shared" si="41"/>
        <v>Aprovado</v>
      </c>
      <c r="Z345" s="1" t="str">
        <f t="shared" si="42"/>
        <v>Aprovado</v>
      </c>
      <c r="AA345" s="26">
        <f t="shared" si="43"/>
        <v>0</v>
      </c>
    </row>
    <row r="346" spans="1:27">
      <c r="A346" s="16">
        <f ca="1">YEAR(TODAY())-Tabela1[[#This Row],[idade]]</f>
        <v>1996</v>
      </c>
      <c r="B346" s="1">
        <f t="shared" ca="1" si="40"/>
        <v>30</v>
      </c>
      <c r="C346" s="1" t="str">
        <f>PROPER(Tabela1[[#This Row],[nome]])</f>
        <v>Loras Payne</v>
      </c>
      <c r="D346" s="1" t="str">
        <f t="shared" si="44"/>
        <v>000.000.027-00</v>
      </c>
      <c r="G346" s="26">
        <f t="shared" si="45"/>
        <v>26500</v>
      </c>
      <c r="H346" s="26">
        <f t="shared" si="46"/>
        <v>14500</v>
      </c>
      <c r="I346" s="1" t="str">
        <f t="shared" si="47"/>
        <v>Não</v>
      </c>
      <c r="K346" s="2" t="s">
        <v>29</v>
      </c>
      <c r="L346" s="2" t="s">
        <v>306</v>
      </c>
      <c r="M346" s="3" t="s">
        <v>307</v>
      </c>
      <c r="N346" s="4">
        <f ca="1">DATEDIF(O346,TODAY(),"Y")</f>
        <v>30</v>
      </c>
      <c r="O346" s="5">
        <v>35200</v>
      </c>
      <c r="P346" s="2" t="s">
        <v>76</v>
      </c>
      <c r="Q346" s="2" t="s">
        <v>71</v>
      </c>
      <c r="R346" s="6">
        <v>26500</v>
      </c>
      <c r="S346" s="6">
        <v>14500</v>
      </c>
      <c r="T346" s="7">
        <v>0</v>
      </c>
      <c r="U346" s="2">
        <v>15</v>
      </c>
      <c r="V346" s="2" t="str">
        <f>IF(Tabela1[[#This Row],[qtde_batalhas]]&lt;=10,"Baixo",IF(Tabela1[[#This Row],[qtde_batalhas]]&lt;=25,"Médio","Alto"))</f>
        <v>Médio</v>
      </c>
      <c r="W346" s="2">
        <v>0</v>
      </c>
      <c r="X346" s="6">
        <v>39000</v>
      </c>
      <c r="Y346" s="2" t="str">
        <f t="shared" si="41"/>
        <v>Aprovado</v>
      </c>
      <c r="Z346" s="1" t="str">
        <f t="shared" si="42"/>
        <v>Aprovado</v>
      </c>
      <c r="AA346" s="26">
        <f t="shared" si="43"/>
        <v>0</v>
      </c>
    </row>
    <row r="347" spans="1:27">
      <c r="A347" s="16">
        <f ca="1">YEAR(TODAY())-Tabela1[[#This Row],[idade]]</f>
        <v>1966</v>
      </c>
      <c r="B347" s="1">
        <f t="shared" ca="1" si="40"/>
        <v>60</v>
      </c>
      <c r="C347" s="1" t="str">
        <f>PROPER(Tabela1[[#This Row],[nome]])</f>
        <v>Rickon Frey</v>
      </c>
      <c r="D347" s="1" t="str">
        <f t="shared" si="44"/>
        <v>000.000.013-00</v>
      </c>
      <c r="G347" s="26">
        <f t="shared" si="45"/>
        <v>5500</v>
      </c>
      <c r="H347" s="26">
        <f t="shared" si="46"/>
        <v>0</v>
      </c>
      <c r="I347" s="1" t="str">
        <f t="shared" si="47"/>
        <v>Não</v>
      </c>
      <c r="K347" s="2" t="s">
        <v>23</v>
      </c>
      <c r="L347" s="2" t="s">
        <v>739</v>
      </c>
      <c r="M347" s="3" t="s">
        <v>740</v>
      </c>
      <c r="N347" s="4">
        <f ca="1">DATEDIF(O347,TODAY(),"Y")</f>
        <v>60</v>
      </c>
      <c r="O347" s="5">
        <v>24202</v>
      </c>
      <c r="P347" s="2" t="s">
        <v>254</v>
      </c>
      <c r="Q347" s="2" t="s">
        <v>32</v>
      </c>
      <c r="R347" s="6">
        <v>5500</v>
      </c>
      <c r="S347" s="6">
        <v>0</v>
      </c>
      <c r="T347" s="7" t="s">
        <v>140</v>
      </c>
      <c r="U347" s="2">
        <v>26</v>
      </c>
      <c r="V347" s="2" t="str">
        <f>IF(Tabela1[[#This Row],[qtde_batalhas]]&lt;=10,"Baixo",IF(Tabela1[[#This Row],[qtde_batalhas]]&lt;=25,"Médio","Alto"))</f>
        <v>Alto</v>
      </c>
      <c r="W347" s="2" t="s">
        <v>140</v>
      </c>
      <c r="X347" s="6">
        <v>52500</v>
      </c>
      <c r="Y347" s="2" t="str">
        <f t="shared" si="41"/>
        <v>Aprovado</v>
      </c>
      <c r="Z347" s="1" t="str">
        <f t="shared" si="42"/>
        <v>Aprovado</v>
      </c>
      <c r="AA347" s="26">
        <f t="shared" si="43"/>
        <v>56700.000000000007</v>
      </c>
    </row>
    <row r="348" spans="1:27">
      <c r="A348" s="16">
        <f ca="1">YEAR(TODAY())-Tabela1[[#This Row],[idade]]</f>
        <v>1983</v>
      </c>
      <c r="B348" s="1">
        <f t="shared" ca="1" si="40"/>
        <v>43</v>
      </c>
      <c r="C348" s="1" t="str">
        <f>PROPER(Tabela1[[#This Row],[nome]])</f>
        <v>Loras  Tarth</v>
      </c>
      <c r="D348" s="1" t="str">
        <f t="shared" si="44"/>
        <v>000.000.286-00</v>
      </c>
      <c r="G348" s="26">
        <f t="shared" si="45"/>
        <v>14600</v>
      </c>
      <c r="H348" s="26">
        <f t="shared" si="46"/>
        <v>18500</v>
      </c>
      <c r="I348" s="1" t="str">
        <f t="shared" si="47"/>
        <v>Sim</v>
      </c>
      <c r="K348" s="2" t="s">
        <v>23</v>
      </c>
      <c r="L348" s="2" t="s">
        <v>860</v>
      </c>
      <c r="M348" s="3" t="s">
        <v>742</v>
      </c>
      <c r="N348" s="4">
        <f ca="1">DATEDIF(O348,TODAY(),"Y")</f>
        <v>43</v>
      </c>
      <c r="O348" s="5">
        <v>30437</v>
      </c>
      <c r="P348" s="2" t="s">
        <v>174</v>
      </c>
      <c r="Q348" s="2" t="s">
        <v>38</v>
      </c>
      <c r="R348" s="6">
        <v>14600</v>
      </c>
      <c r="S348" s="6">
        <v>18500</v>
      </c>
      <c r="T348" s="7" t="s">
        <v>28</v>
      </c>
      <c r="U348" s="2">
        <v>22</v>
      </c>
      <c r="V348" s="2" t="str">
        <f>IF(Tabela1[[#This Row],[qtde_batalhas]]&lt;=10,"Baixo",IF(Tabela1[[#This Row],[qtde_batalhas]]&lt;=25,"Médio","Alto"))</f>
        <v>Médio</v>
      </c>
      <c r="W348" s="2" t="s">
        <v>28</v>
      </c>
      <c r="X348" s="6">
        <v>16500</v>
      </c>
      <c r="Y348" s="2" t="str">
        <f t="shared" si="41"/>
        <v>Aprovado</v>
      </c>
      <c r="Z348" s="1" t="str">
        <f t="shared" si="42"/>
        <v>Aprovado</v>
      </c>
      <c r="AA348" s="26">
        <f t="shared" si="43"/>
        <v>17820</v>
      </c>
    </row>
    <row r="349" spans="1:27">
      <c r="A349" s="16">
        <f ca="1">YEAR(TODAY())-Tabela1[[#This Row],[idade]]</f>
        <v>2000</v>
      </c>
      <c r="B349" s="1">
        <f t="shared" ca="1" si="40"/>
        <v>26</v>
      </c>
      <c r="C349" s="1" t="str">
        <f>PROPER(Tabela1[[#This Row],[nome]])</f>
        <v>Jon Hornwood</v>
      </c>
      <c r="D349" s="1" t="str">
        <f t="shared" si="44"/>
        <v>-</v>
      </c>
      <c r="G349" s="26">
        <f t="shared" si="45"/>
        <v>23200</v>
      </c>
      <c r="H349" s="26">
        <f t="shared" si="46"/>
        <v>54500</v>
      </c>
      <c r="I349" s="1" t="str">
        <f t="shared" si="47"/>
        <v>Sim</v>
      </c>
      <c r="K349" s="2" t="s">
        <v>23</v>
      </c>
      <c r="L349" s="2" t="s">
        <v>674</v>
      </c>
      <c r="M349" s="3">
        <v>33100</v>
      </c>
      <c r="N349" s="4">
        <f ca="1">DATEDIF(O349,TODAY(),"Y")</f>
        <v>26</v>
      </c>
      <c r="O349" s="5">
        <v>36759</v>
      </c>
      <c r="P349" s="2" t="s">
        <v>133</v>
      </c>
      <c r="Q349" s="2" t="s">
        <v>133</v>
      </c>
      <c r="R349" s="6">
        <v>23200</v>
      </c>
      <c r="S349" s="6">
        <v>54500</v>
      </c>
      <c r="T349" s="7">
        <v>1</v>
      </c>
      <c r="U349" s="2">
        <v>26</v>
      </c>
      <c r="V349" s="2" t="str">
        <f>IF(Tabela1[[#This Row],[qtde_batalhas]]&lt;=10,"Baixo",IF(Tabela1[[#This Row],[qtde_batalhas]]&lt;=25,"Médio","Alto"))</f>
        <v>Alto</v>
      </c>
      <c r="W349" s="2">
        <v>1</v>
      </c>
      <c r="X349" s="6">
        <v>39500</v>
      </c>
      <c r="Y349" s="2" t="str">
        <f t="shared" si="41"/>
        <v>Aprovado</v>
      </c>
      <c r="Z349" s="1" t="str">
        <f t="shared" si="42"/>
        <v>Aprovado</v>
      </c>
      <c r="AA349" s="26">
        <f t="shared" si="43"/>
        <v>42660</v>
      </c>
    </row>
    <row r="350" spans="1:27">
      <c r="A350" s="16">
        <f ca="1">YEAR(TODAY())-Tabela1[[#This Row],[idade]]</f>
        <v>1973</v>
      </c>
      <c r="B350" s="1">
        <f t="shared" ca="1" si="40"/>
        <v>53</v>
      </c>
      <c r="C350" s="1" t="str">
        <f>PROPER(Tabela1[[#This Row],[nome]])</f>
        <v>Meera Reed</v>
      </c>
      <c r="D350" s="1" t="str">
        <f t="shared" si="44"/>
        <v>000.000.314-00</v>
      </c>
      <c r="G350" s="26">
        <f t="shared" si="45"/>
        <v>12200</v>
      </c>
      <c r="H350" s="26">
        <f t="shared" si="46"/>
        <v>79500</v>
      </c>
      <c r="I350" s="1" t="str">
        <f t="shared" si="47"/>
        <v>Não</v>
      </c>
      <c r="K350" s="2" t="s">
        <v>23</v>
      </c>
      <c r="L350" s="2" t="s">
        <v>349</v>
      </c>
      <c r="M350" s="3" t="s">
        <v>350</v>
      </c>
      <c r="N350" s="4">
        <f ca="1">DATEDIF(O350,TODAY(),"Y")</f>
        <v>53</v>
      </c>
      <c r="O350" s="5">
        <v>26584</v>
      </c>
      <c r="P350" s="2" t="s">
        <v>111</v>
      </c>
      <c r="Q350" s="2" t="s">
        <v>91</v>
      </c>
      <c r="R350" s="6">
        <v>12200</v>
      </c>
      <c r="S350" s="6">
        <v>79500</v>
      </c>
      <c r="T350" s="7" t="s">
        <v>140</v>
      </c>
      <c r="U350" s="2">
        <v>45</v>
      </c>
      <c r="V350" s="2" t="str">
        <f>IF(Tabela1[[#This Row],[qtde_batalhas]]&lt;=10,"Baixo",IF(Tabela1[[#This Row],[qtde_batalhas]]&lt;=25,"Médio","Alto"))</f>
        <v>Alto</v>
      </c>
      <c r="W350" s="2" t="s">
        <v>140</v>
      </c>
      <c r="X350" s="6">
        <v>62000</v>
      </c>
      <c r="Y350" s="2" t="str">
        <f t="shared" si="41"/>
        <v>Aprovado</v>
      </c>
      <c r="Z350" s="1" t="str">
        <f t="shared" si="42"/>
        <v>Aprovado</v>
      </c>
      <c r="AA350" s="26">
        <f t="shared" si="43"/>
        <v>66960</v>
      </c>
    </row>
    <row r="351" spans="1:27">
      <c r="A351" s="16">
        <f ca="1">YEAR(TODAY())-Tabela1[[#This Row],[idade]]</f>
        <v>2007</v>
      </c>
      <c r="B351" s="1">
        <f t="shared" ca="1" si="40"/>
        <v>19</v>
      </c>
      <c r="C351" s="1" t="str">
        <f>PROPER(Tabela1[[#This Row],[nome]])</f>
        <v>Theon Frey</v>
      </c>
      <c r="D351" s="1" t="str">
        <f t="shared" si="44"/>
        <v>000.000.123-00</v>
      </c>
      <c r="G351" s="26">
        <f t="shared" si="45"/>
        <v>7200</v>
      </c>
      <c r="H351" s="26">
        <f t="shared" si="46"/>
        <v>16000</v>
      </c>
      <c r="I351" s="1" t="str">
        <f t="shared" si="47"/>
        <v>Não</v>
      </c>
      <c r="K351" s="2" t="s">
        <v>23</v>
      </c>
      <c r="L351" s="2" t="s">
        <v>743</v>
      </c>
      <c r="M351" s="3" t="s">
        <v>744</v>
      </c>
      <c r="N351" s="4">
        <f ca="1">DATEDIF(O351,TODAY(),"Y")</f>
        <v>19</v>
      </c>
      <c r="O351" s="5">
        <v>39209</v>
      </c>
      <c r="P351" s="2" t="s">
        <v>166</v>
      </c>
      <c r="Q351" s="2" t="s">
        <v>98</v>
      </c>
      <c r="R351" s="6">
        <v>7200</v>
      </c>
      <c r="S351" s="6">
        <v>16000</v>
      </c>
      <c r="T351" s="7" t="s">
        <v>49</v>
      </c>
      <c r="U351" s="2">
        <v>5</v>
      </c>
      <c r="V351" s="2" t="str">
        <f>IF(Tabela1[[#This Row],[qtde_batalhas]]&lt;=10,"Baixo",IF(Tabela1[[#This Row],[qtde_batalhas]]&lt;=25,"Médio","Alto"))</f>
        <v>Baixo</v>
      </c>
      <c r="W351" s="2" t="s">
        <v>49</v>
      </c>
      <c r="X351" s="6">
        <v>52000</v>
      </c>
      <c r="Y351" s="2" t="str">
        <f t="shared" si="41"/>
        <v>Aprovado</v>
      </c>
      <c r="Z351" s="1" t="str">
        <f t="shared" si="42"/>
        <v>Aprovado</v>
      </c>
      <c r="AA351" s="26">
        <f t="shared" si="43"/>
        <v>56160.000000000007</v>
      </c>
    </row>
    <row r="352" spans="1:27">
      <c r="A352" s="16">
        <f ca="1">YEAR(TODAY())-Tabela1[[#This Row],[idade]]</f>
        <v>1999</v>
      </c>
      <c r="B352" s="1">
        <f t="shared" ca="1" si="40"/>
        <v>27</v>
      </c>
      <c r="C352" s="1" t="str">
        <f>PROPER(Tabela1[[#This Row],[nome]])</f>
        <v>Renly Tallhart</v>
      </c>
      <c r="D352" s="1" t="str">
        <f t="shared" si="44"/>
        <v>-</v>
      </c>
      <c r="G352" s="26">
        <f t="shared" si="45"/>
        <v>25900</v>
      </c>
      <c r="H352" s="26">
        <f t="shared" si="46"/>
        <v>0</v>
      </c>
      <c r="I352" s="1" t="str">
        <f t="shared" si="47"/>
        <v>Sim</v>
      </c>
      <c r="K352" s="2" t="s">
        <v>29</v>
      </c>
      <c r="L352" s="2" t="s">
        <v>745</v>
      </c>
      <c r="M352" s="3">
        <v>11700</v>
      </c>
      <c r="N352" s="4">
        <f ca="1">DATEDIF(O352,TODAY(),"Y")</f>
        <v>27</v>
      </c>
      <c r="O352" s="5">
        <v>36151</v>
      </c>
      <c r="P352" s="2" t="s">
        <v>119</v>
      </c>
      <c r="Q352" s="2" t="s">
        <v>91</v>
      </c>
      <c r="R352" s="6">
        <v>25900</v>
      </c>
      <c r="S352" s="6">
        <v>0</v>
      </c>
      <c r="T352" s="7" t="s">
        <v>28</v>
      </c>
      <c r="U352" s="2">
        <v>10</v>
      </c>
      <c r="V352" s="2" t="str">
        <f>IF(Tabela1[[#This Row],[qtde_batalhas]]&lt;=10,"Baixo",IF(Tabela1[[#This Row],[qtde_batalhas]]&lt;=25,"Médio","Alto"))</f>
        <v>Baixo</v>
      </c>
      <c r="W352" s="2" t="s">
        <v>28</v>
      </c>
      <c r="X352" s="6">
        <v>5000</v>
      </c>
      <c r="Y352" s="2" t="str">
        <f t="shared" si="41"/>
        <v>Aprovado</v>
      </c>
      <c r="Z352" s="1" t="str">
        <f t="shared" si="42"/>
        <v>Aprovado</v>
      </c>
      <c r="AA352" s="26">
        <f t="shared" si="43"/>
        <v>0</v>
      </c>
    </row>
    <row r="353" spans="1:27">
      <c r="A353" s="16">
        <f ca="1">YEAR(TODAY())-Tabela1[[#This Row],[idade]]</f>
        <v>1982</v>
      </c>
      <c r="B353" s="1">
        <f t="shared" ca="1" si="40"/>
        <v>44</v>
      </c>
      <c r="C353" s="1" t="str">
        <f>PROPER(Tabela1[[#This Row],[nome]])</f>
        <v>Yara Mallister</v>
      </c>
      <c r="D353" s="1" t="str">
        <f t="shared" si="44"/>
        <v>000.000.134-00</v>
      </c>
      <c r="G353" s="26">
        <f t="shared" si="45"/>
        <v>20600</v>
      </c>
      <c r="H353" s="26">
        <f t="shared" si="46"/>
        <v>8000</v>
      </c>
      <c r="I353" s="1" t="str">
        <f t="shared" si="47"/>
        <v>Não</v>
      </c>
      <c r="K353" s="2" t="s">
        <v>23</v>
      </c>
      <c r="L353" s="2" t="s">
        <v>746</v>
      </c>
      <c r="M353" s="3" t="s">
        <v>747</v>
      </c>
      <c r="N353" s="4">
        <f ca="1">DATEDIF(O353,TODAY(),"Y")</f>
        <v>44</v>
      </c>
      <c r="O353" s="5">
        <v>29892</v>
      </c>
      <c r="P353" s="2" t="s">
        <v>52</v>
      </c>
      <c r="Q353" s="2" t="s">
        <v>57</v>
      </c>
      <c r="R353" s="6">
        <v>20600</v>
      </c>
      <c r="S353" s="6">
        <v>8000</v>
      </c>
      <c r="T353" s="7" t="s">
        <v>49</v>
      </c>
      <c r="U353" s="2">
        <v>39</v>
      </c>
      <c r="V353" s="2" t="str">
        <f>IF(Tabela1[[#This Row],[qtde_batalhas]]&lt;=10,"Baixo",IF(Tabela1[[#This Row],[qtde_batalhas]]&lt;=25,"Médio","Alto"))</f>
        <v>Alto</v>
      </c>
      <c r="W353" s="2" t="s">
        <v>49</v>
      </c>
      <c r="X353" s="6">
        <v>36000</v>
      </c>
      <c r="Y353" s="2" t="str">
        <f t="shared" si="41"/>
        <v>Aprovado</v>
      </c>
      <c r="Z353" s="1" t="str">
        <f t="shared" si="42"/>
        <v>Aprovado</v>
      </c>
      <c r="AA353" s="26">
        <f t="shared" si="43"/>
        <v>38880</v>
      </c>
    </row>
    <row r="354" spans="1:27">
      <c r="A354" s="16">
        <f ca="1">YEAR(TODAY())-Tabela1[[#This Row],[idade]]</f>
        <v>1978</v>
      </c>
      <c r="B354" s="1">
        <f t="shared" ref="B354:B370" ca="1" si="48">INT((TODAY()-O354)/365)</f>
        <v>48</v>
      </c>
      <c r="C354" s="1" t="str">
        <f>PROPER(Tabela1[[#This Row],[nome]])</f>
        <v>Grey Worm Targaryen</v>
      </c>
      <c r="D354" s="1" t="str">
        <f t="shared" si="44"/>
        <v>000.000.060-00</v>
      </c>
      <c r="G354" s="26">
        <f t="shared" si="45"/>
        <v>18700</v>
      </c>
      <c r="H354" s="26">
        <f t="shared" si="46"/>
        <v>11000</v>
      </c>
      <c r="I354" s="1" t="str">
        <f t="shared" si="47"/>
        <v>Não</v>
      </c>
      <c r="K354" s="2" t="s">
        <v>23</v>
      </c>
      <c r="L354" s="2" t="s">
        <v>748</v>
      </c>
      <c r="M354" s="3" t="s">
        <v>749</v>
      </c>
      <c r="N354" s="4">
        <f ca="1">DATEDIF(O354,TODAY(),"Y")</f>
        <v>48</v>
      </c>
      <c r="O354" s="5">
        <v>28689</v>
      </c>
      <c r="P354" s="2" t="s">
        <v>31</v>
      </c>
      <c r="Q354" s="2" t="s">
        <v>32</v>
      </c>
      <c r="R354" s="6">
        <v>18700</v>
      </c>
      <c r="S354" s="6">
        <v>11000</v>
      </c>
      <c r="T354" s="7" t="s">
        <v>49</v>
      </c>
      <c r="U354" s="2">
        <v>28</v>
      </c>
      <c r="V354" s="2" t="str">
        <f>IF(Tabela1[[#This Row],[qtde_batalhas]]&lt;=10,"Baixo",IF(Tabela1[[#This Row],[qtde_batalhas]]&lt;=25,"Médio","Alto"))</f>
        <v>Alto</v>
      </c>
      <c r="W354" s="2" t="s">
        <v>49</v>
      </c>
      <c r="X354" s="6">
        <v>18000</v>
      </c>
      <c r="Y354" s="2" t="str">
        <f t="shared" si="41"/>
        <v>Aprovado</v>
      </c>
      <c r="Z354" s="1" t="str">
        <f t="shared" si="42"/>
        <v>Aprovado</v>
      </c>
      <c r="AA354" s="26">
        <f t="shared" si="43"/>
        <v>19440</v>
      </c>
    </row>
    <row r="355" spans="1:27">
      <c r="A355" s="16">
        <f ca="1">YEAR(TODAY())-Tabela1[[#This Row],[idade]]</f>
        <v>2006</v>
      </c>
      <c r="B355" s="1">
        <f t="shared" ca="1" si="48"/>
        <v>20</v>
      </c>
      <c r="C355" s="1" t="str">
        <f>PROPER(Tabela1[[#This Row],[nome]])</f>
        <v>Sandor Dondarrion</v>
      </c>
      <c r="D355" s="1" t="str">
        <f t="shared" si="44"/>
        <v>-</v>
      </c>
      <c r="G355" s="26">
        <f t="shared" si="45"/>
        <v>24900</v>
      </c>
      <c r="H355" s="26">
        <f t="shared" si="46"/>
        <v>0</v>
      </c>
      <c r="I355" s="1" t="str">
        <f t="shared" si="47"/>
        <v>Sim</v>
      </c>
      <c r="K355" s="2" t="s">
        <v>23</v>
      </c>
      <c r="L355" s="2" t="s">
        <v>750</v>
      </c>
      <c r="M355" s="3">
        <v>8200</v>
      </c>
      <c r="N355" s="4">
        <f ca="1">DATEDIF(O355,TODAY(),"Y")</f>
        <v>20</v>
      </c>
      <c r="O355" s="5">
        <v>38894</v>
      </c>
      <c r="P355" s="2" t="s">
        <v>103</v>
      </c>
      <c r="Q355" s="2" t="s">
        <v>91</v>
      </c>
      <c r="R355" s="6">
        <v>24900</v>
      </c>
      <c r="S355" s="6">
        <v>0</v>
      </c>
      <c r="T355" s="7" t="s">
        <v>28</v>
      </c>
      <c r="U355" s="2">
        <v>14</v>
      </c>
      <c r="V355" s="2" t="str">
        <f>IF(Tabela1[[#This Row],[qtde_batalhas]]&lt;=10,"Baixo",IF(Tabela1[[#This Row],[qtde_batalhas]]&lt;=25,"Médio","Alto"))</f>
        <v>Médio</v>
      </c>
      <c r="W355" s="2" t="s">
        <v>28</v>
      </c>
      <c r="X355" s="6">
        <v>49500</v>
      </c>
      <c r="Y355" s="2" t="str">
        <f t="shared" si="41"/>
        <v>Aprovado</v>
      </c>
      <c r="Z355" s="1" t="str">
        <f t="shared" si="42"/>
        <v>Aprovado</v>
      </c>
      <c r="AA355" s="26">
        <f t="shared" si="43"/>
        <v>53460</v>
      </c>
    </row>
    <row r="356" spans="1:27">
      <c r="A356" s="16">
        <f ca="1">YEAR(TODAY())-Tabela1[[#This Row],[idade]]</f>
        <v>1973</v>
      </c>
      <c r="B356" s="1">
        <f t="shared" ca="1" si="48"/>
        <v>53</v>
      </c>
      <c r="C356" s="1" t="str">
        <f>PROPER(Tabela1[[#This Row],[nome]])</f>
        <v>Robert Manderly</v>
      </c>
      <c r="D356" s="1" t="str">
        <f t="shared" si="44"/>
        <v>-</v>
      </c>
      <c r="G356" s="26">
        <f t="shared" si="45"/>
        <v>26400</v>
      </c>
      <c r="H356" s="26">
        <f t="shared" si="46"/>
        <v>9500</v>
      </c>
      <c r="I356" s="1" t="str">
        <f t="shared" si="47"/>
        <v>Não</v>
      </c>
      <c r="K356" s="2" t="s">
        <v>29</v>
      </c>
      <c r="L356" s="2" t="s">
        <v>751</v>
      </c>
      <c r="M356" s="3">
        <v>23000</v>
      </c>
      <c r="N356" s="4">
        <f ca="1">DATEDIF(O356,TODAY(),"Y")</f>
        <v>53</v>
      </c>
      <c r="O356" s="5">
        <v>26744</v>
      </c>
      <c r="P356" s="2" t="s">
        <v>61</v>
      </c>
      <c r="Q356" s="2" t="s">
        <v>81</v>
      </c>
      <c r="R356" s="6">
        <v>26400</v>
      </c>
      <c r="S356" s="6">
        <v>9500</v>
      </c>
      <c r="T356" s="7" t="s">
        <v>49</v>
      </c>
      <c r="U356" s="2">
        <v>21</v>
      </c>
      <c r="V356" s="2" t="str">
        <f>IF(Tabela1[[#This Row],[qtde_batalhas]]&lt;=10,"Baixo",IF(Tabela1[[#This Row],[qtde_batalhas]]&lt;=25,"Médio","Alto"))</f>
        <v>Médio</v>
      </c>
      <c r="W356" s="2" t="s">
        <v>49</v>
      </c>
      <c r="X356" s="6">
        <v>16000</v>
      </c>
      <c r="Y356" s="2" t="str">
        <f t="shared" si="41"/>
        <v>Aprovado</v>
      </c>
      <c r="Z356" s="1" t="str">
        <f t="shared" si="42"/>
        <v>Aprovado</v>
      </c>
      <c r="AA356" s="26">
        <f t="shared" si="43"/>
        <v>0</v>
      </c>
    </row>
    <row r="357" spans="1:27">
      <c r="A357" s="16">
        <f ca="1">YEAR(TODAY())-Tabela1[[#This Row],[idade]]</f>
        <v>1995</v>
      </c>
      <c r="B357" s="1">
        <f t="shared" ca="1" si="48"/>
        <v>31</v>
      </c>
      <c r="C357" s="1" t="str">
        <f>PROPER(Tabela1[[#This Row],[nome]])</f>
        <v>Margaery Tyrell</v>
      </c>
      <c r="D357" s="1" t="str">
        <f t="shared" si="44"/>
        <v>000.000.107-00</v>
      </c>
      <c r="G357" s="26">
        <f t="shared" si="45"/>
        <v>29500</v>
      </c>
      <c r="H357" s="26">
        <f t="shared" si="46"/>
        <v>5000</v>
      </c>
      <c r="I357" s="1" t="str">
        <f t="shared" si="47"/>
        <v>Não</v>
      </c>
      <c r="K357" s="2" t="s">
        <v>29</v>
      </c>
      <c r="L357" s="2" t="s">
        <v>752</v>
      </c>
      <c r="M357" s="3" t="s">
        <v>753</v>
      </c>
      <c r="N357" s="4">
        <f ca="1">DATEDIF(O357,TODAY(),"Y")</f>
        <v>31</v>
      </c>
      <c r="O357" s="5">
        <v>34824</v>
      </c>
      <c r="P357" s="2" t="s">
        <v>254</v>
      </c>
      <c r="Q357" s="2" t="s">
        <v>32</v>
      </c>
      <c r="R357" s="6">
        <v>29500</v>
      </c>
      <c r="S357" s="6">
        <v>5000</v>
      </c>
      <c r="T357" s="7" t="s">
        <v>49</v>
      </c>
      <c r="U357" s="2">
        <v>22</v>
      </c>
      <c r="V357" s="2" t="str">
        <f>IF(Tabela1[[#This Row],[qtde_batalhas]]&lt;=10,"Baixo",IF(Tabela1[[#This Row],[qtde_batalhas]]&lt;=25,"Médio","Alto"))</f>
        <v>Médio</v>
      </c>
      <c r="W357" s="2" t="s">
        <v>49</v>
      </c>
      <c r="X357" s="6">
        <v>18000</v>
      </c>
      <c r="Y357" s="2" t="str">
        <f t="shared" si="41"/>
        <v>Aprovado</v>
      </c>
      <c r="Z357" s="1" t="str">
        <f t="shared" si="42"/>
        <v>Aprovado</v>
      </c>
      <c r="AA357" s="26">
        <f t="shared" si="43"/>
        <v>0</v>
      </c>
    </row>
    <row r="358" spans="1:27">
      <c r="A358" s="16">
        <f ca="1">YEAR(TODAY())-Tabela1[[#This Row],[idade]]</f>
        <v>1994</v>
      </c>
      <c r="B358" s="1">
        <f t="shared" ca="1" si="48"/>
        <v>32</v>
      </c>
      <c r="C358" s="1" t="str">
        <f>PROPER(Tabela1[[#This Row],[nome]])</f>
        <v>Daario Tarly</v>
      </c>
      <c r="D358" s="1" t="str">
        <f t="shared" si="44"/>
        <v>000.000.046-00</v>
      </c>
      <c r="G358" s="26">
        <f t="shared" si="45"/>
        <v>9800</v>
      </c>
      <c r="H358" s="26">
        <f t="shared" si="46"/>
        <v>0</v>
      </c>
      <c r="I358" s="1" t="str">
        <f t="shared" si="47"/>
        <v>Não</v>
      </c>
      <c r="K358" s="2" t="s">
        <v>23</v>
      </c>
      <c r="L358" s="2" t="s">
        <v>861</v>
      </c>
      <c r="M358" s="3" t="s">
        <v>755</v>
      </c>
      <c r="N358" s="4">
        <f ca="1">DATEDIF(O358,TODAY(),"Y")</f>
        <v>32</v>
      </c>
      <c r="O358" s="5">
        <v>34508</v>
      </c>
      <c r="P358" s="2" t="s">
        <v>133</v>
      </c>
      <c r="Q358" s="2" t="s">
        <v>133</v>
      </c>
      <c r="R358" s="6">
        <v>9800</v>
      </c>
      <c r="S358" s="6">
        <v>0</v>
      </c>
      <c r="T358" s="7" t="s">
        <v>49</v>
      </c>
      <c r="U358" s="2">
        <v>23</v>
      </c>
      <c r="V358" s="2" t="str">
        <f>IF(Tabela1[[#This Row],[qtde_batalhas]]&lt;=10,"Baixo",IF(Tabela1[[#This Row],[qtde_batalhas]]&lt;=25,"Médio","Alto"))</f>
        <v>Médio</v>
      </c>
      <c r="W358" s="2" t="s">
        <v>49</v>
      </c>
      <c r="X358" s="6">
        <v>68000</v>
      </c>
      <c r="Y358" s="2" t="str">
        <f t="shared" si="41"/>
        <v>Aprovado</v>
      </c>
      <c r="Z358" s="1" t="str">
        <f t="shared" si="42"/>
        <v>Aprovado</v>
      </c>
      <c r="AA358" s="26">
        <f t="shared" si="43"/>
        <v>73440</v>
      </c>
    </row>
    <row r="359" spans="1:27">
      <c r="A359" s="16">
        <f ca="1">YEAR(TODAY())-Tabela1[[#This Row],[idade]]</f>
        <v>1975</v>
      </c>
      <c r="B359" s="1">
        <f t="shared" ca="1" si="48"/>
        <v>51</v>
      </c>
      <c r="C359" s="1" t="str">
        <f>PROPER(Tabela1[[#This Row],[nome]])</f>
        <v>Tyrion Clegane</v>
      </c>
      <c r="D359" s="1" t="str">
        <f t="shared" si="44"/>
        <v>000.000.281-00</v>
      </c>
      <c r="G359" s="26">
        <f t="shared" si="45"/>
        <v>11400</v>
      </c>
      <c r="H359" s="26">
        <f t="shared" si="46"/>
        <v>0</v>
      </c>
      <c r="I359" s="1" t="str">
        <f t="shared" si="47"/>
        <v>Não</v>
      </c>
      <c r="K359" s="2" t="s">
        <v>29</v>
      </c>
      <c r="L359" s="2" t="s">
        <v>756</v>
      </c>
      <c r="M359" s="3" t="s">
        <v>757</v>
      </c>
      <c r="N359" s="4">
        <f ca="1">DATEDIF(O359,TODAY(),"Y")</f>
        <v>51</v>
      </c>
      <c r="O359" s="5">
        <v>27590</v>
      </c>
      <c r="P359" s="2" t="s">
        <v>166</v>
      </c>
      <c r="Q359" s="2" t="s">
        <v>98</v>
      </c>
      <c r="R359" s="6">
        <v>11400</v>
      </c>
      <c r="S359" s="6">
        <v>0</v>
      </c>
      <c r="T359" s="7" t="s">
        <v>49</v>
      </c>
      <c r="U359" s="2">
        <v>17</v>
      </c>
      <c r="V359" s="2" t="str">
        <f>IF(Tabela1[[#This Row],[qtde_batalhas]]&lt;=10,"Baixo",IF(Tabela1[[#This Row],[qtde_batalhas]]&lt;=25,"Médio","Alto"))</f>
        <v>Médio</v>
      </c>
      <c r="W359" s="2" t="s">
        <v>49</v>
      </c>
      <c r="X359" s="6">
        <v>55500</v>
      </c>
      <c r="Y359" s="2" t="str">
        <f t="shared" si="41"/>
        <v>Aprovado</v>
      </c>
      <c r="Z359" s="1" t="str">
        <f t="shared" si="42"/>
        <v>Aprovado</v>
      </c>
      <c r="AA359" s="26">
        <f t="shared" si="43"/>
        <v>0</v>
      </c>
    </row>
    <row r="360" spans="1:27">
      <c r="A360" s="16">
        <f ca="1">YEAR(TODAY())-Tabela1[[#This Row],[idade]]</f>
        <v>1972</v>
      </c>
      <c r="B360" s="1">
        <f t="shared" ca="1" si="48"/>
        <v>54</v>
      </c>
      <c r="C360" s="1" t="str">
        <f>PROPER(Tabela1[[#This Row],[nome]])</f>
        <v>Viserys Hightower</v>
      </c>
      <c r="D360" s="1" t="str">
        <f t="shared" si="44"/>
        <v>000.000.080-00</v>
      </c>
      <c r="G360" s="26">
        <f t="shared" si="45"/>
        <v>20800</v>
      </c>
      <c r="H360" s="26">
        <f t="shared" si="46"/>
        <v>16000</v>
      </c>
      <c r="I360" s="1" t="str">
        <f t="shared" si="47"/>
        <v>Não</v>
      </c>
      <c r="L360" s="2" t="s">
        <v>759</v>
      </c>
      <c r="M360" s="3" t="s">
        <v>760</v>
      </c>
      <c r="N360" s="4">
        <f ca="1">DATEDIF(O360,TODAY(),"Y")</f>
        <v>54</v>
      </c>
      <c r="O360" s="5">
        <v>26403</v>
      </c>
      <c r="P360" s="2" t="s">
        <v>166</v>
      </c>
      <c r="Q360" s="2" t="s">
        <v>98</v>
      </c>
      <c r="R360" s="6">
        <v>20800</v>
      </c>
      <c r="S360" s="6">
        <v>16000</v>
      </c>
      <c r="T360" s="7" t="s">
        <v>140</v>
      </c>
      <c r="U360" s="2">
        <v>32</v>
      </c>
      <c r="V360" s="2" t="str">
        <f>IF(Tabela1[[#This Row],[qtde_batalhas]]&lt;=10,"Baixo",IF(Tabela1[[#This Row],[qtde_batalhas]]&lt;=25,"Médio","Alto"))</f>
        <v>Alto</v>
      </c>
      <c r="W360" s="2" t="s">
        <v>140</v>
      </c>
      <c r="X360" s="6">
        <v>31500</v>
      </c>
      <c r="Y360" s="2" t="str">
        <f t="shared" si="41"/>
        <v>Aprovado</v>
      </c>
      <c r="Z360" s="1" t="str">
        <f t="shared" si="42"/>
        <v>Aprovado</v>
      </c>
      <c r="AA360" s="26">
        <f t="shared" si="43"/>
        <v>0</v>
      </c>
    </row>
    <row r="361" spans="1:27">
      <c r="A361" s="16">
        <f ca="1">YEAR(TODAY())-Tabela1[[#This Row],[idade]]</f>
        <v>1960</v>
      </c>
      <c r="B361" s="1">
        <f t="shared" ca="1" si="48"/>
        <v>66</v>
      </c>
      <c r="C361" s="1" t="str">
        <f>PROPER(Tabela1[[#This Row],[nome]])</f>
        <v>Aegon Umber</v>
      </c>
      <c r="D361" s="1" t="str">
        <f t="shared" si="44"/>
        <v>000.000.356-00</v>
      </c>
      <c r="G361" s="26">
        <f t="shared" si="45"/>
        <v>16800</v>
      </c>
      <c r="H361" s="26">
        <f t="shared" si="46"/>
        <v>79500</v>
      </c>
      <c r="I361" s="1" t="str">
        <f t="shared" si="47"/>
        <v>Não</v>
      </c>
      <c r="K361" s="2" t="s">
        <v>29</v>
      </c>
      <c r="L361" s="2" t="s">
        <v>762</v>
      </c>
      <c r="M361" s="3" t="s">
        <v>763</v>
      </c>
      <c r="N361" s="4">
        <f ca="1">DATEDIF(O361,TODAY(),"Y")</f>
        <v>66</v>
      </c>
      <c r="O361" s="5">
        <v>22101</v>
      </c>
      <c r="P361" s="2" t="s">
        <v>70</v>
      </c>
      <c r="Q361" s="2" t="s">
        <v>71</v>
      </c>
      <c r="R361" s="6">
        <v>16800</v>
      </c>
      <c r="S361" s="6">
        <v>79500</v>
      </c>
      <c r="T361" s="7" t="s">
        <v>49</v>
      </c>
      <c r="U361" s="2">
        <v>36</v>
      </c>
      <c r="V361" s="2" t="str">
        <f>IF(Tabela1[[#This Row],[qtde_batalhas]]&lt;=10,"Baixo",IF(Tabela1[[#This Row],[qtde_batalhas]]&lt;=25,"Médio","Alto"))</f>
        <v>Alto</v>
      </c>
      <c r="W361" s="2" t="s">
        <v>49</v>
      </c>
      <c r="X361" s="6">
        <v>1500</v>
      </c>
      <c r="Y361" s="2" t="str">
        <f t="shared" si="41"/>
        <v>Aprovado</v>
      </c>
      <c r="Z361" s="1" t="str">
        <f t="shared" si="42"/>
        <v>Aprovado</v>
      </c>
      <c r="AA361" s="26">
        <f t="shared" si="43"/>
        <v>0</v>
      </c>
    </row>
    <row r="362" spans="1:27">
      <c r="A362" s="16">
        <f ca="1">YEAR(TODAY())-Tabela1[[#This Row],[idade]]</f>
        <v>1980</v>
      </c>
      <c r="B362" s="1">
        <f t="shared" ca="1" si="48"/>
        <v>46</v>
      </c>
      <c r="C362" s="1" t="str">
        <f>PROPER(Tabela1[[#This Row],[nome]])</f>
        <v>Cersei Tarth</v>
      </c>
      <c r="D362" s="1" t="str">
        <f t="shared" si="44"/>
        <v>-</v>
      </c>
      <c r="G362" s="26" t="str">
        <f t="shared" si="45"/>
        <v>-</v>
      </c>
      <c r="H362" s="26">
        <f t="shared" si="46"/>
        <v>37500</v>
      </c>
      <c r="I362" s="1" t="str">
        <f t="shared" si="47"/>
        <v>Não</v>
      </c>
      <c r="K362" s="2" t="s">
        <v>29</v>
      </c>
      <c r="L362" s="2" t="s">
        <v>648</v>
      </c>
      <c r="M362" s="3">
        <v>20300</v>
      </c>
      <c r="N362" s="4">
        <f ca="1">DATEDIF(O362,TODAY(),"Y")</f>
        <v>46</v>
      </c>
      <c r="O362" s="5">
        <v>29427</v>
      </c>
      <c r="P362" s="2" t="s">
        <v>118</v>
      </c>
      <c r="Q362" s="2" t="s">
        <v>88</v>
      </c>
      <c r="S362" s="6">
        <v>37500</v>
      </c>
      <c r="T362" s="7" t="s">
        <v>49</v>
      </c>
      <c r="V362" s="2" t="str">
        <f>IF(Tabela1[[#This Row],[qtde_batalhas]]&lt;=10,"Baixo",IF(Tabela1[[#This Row],[qtde_batalhas]]&lt;=25,"Médio","Alto"))</f>
        <v>Baixo</v>
      </c>
      <c r="W362" s="2" t="s">
        <v>49</v>
      </c>
      <c r="X362" s="6">
        <v>21500</v>
      </c>
      <c r="Y362" s="2" t="str">
        <f t="shared" si="41"/>
        <v>Aprovado</v>
      </c>
      <c r="Z362" s="1" t="str">
        <f t="shared" si="42"/>
        <v>Aprovado</v>
      </c>
      <c r="AA362" s="26">
        <f t="shared" si="43"/>
        <v>0</v>
      </c>
    </row>
    <row r="363" spans="1:27">
      <c r="A363" s="16">
        <f ca="1">YEAR(TODAY())-Tabela1[[#This Row],[idade]]</f>
        <v>2004</v>
      </c>
      <c r="B363" s="1">
        <f t="shared" ca="1" si="48"/>
        <v>22</v>
      </c>
      <c r="C363" s="1" t="str">
        <f>PROPER(Tabela1[[#This Row],[nome]])</f>
        <v>Melisandre Glover</v>
      </c>
      <c r="D363" s="1" t="str">
        <f t="shared" si="44"/>
        <v>000.000.329-00</v>
      </c>
      <c r="G363" s="26">
        <f t="shared" si="45"/>
        <v>10500</v>
      </c>
      <c r="H363" s="26">
        <f t="shared" si="46"/>
        <v>50500</v>
      </c>
      <c r="I363" s="1" t="str">
        <f t="shared" si="47"/>
        <v>Não</v>
      </c>
      <c r="K363" s="2" t="s">
        <v>23</v>
      </c>
      <c r="L363" s="2" t="s">
        <v>764</v>
      </c>
      <c r="M363" s="3" t="s">
        <v>765</v>
      </c>
      <c r="N363" s="4">
        <f ca="1">DATEDIF(O363,TODAY(),"Y")</f>
        <v>22</v>
      </c>
      <c r="O363" s="5">
        <v>38204</v>
      </c>
      <c r="P363" s="2" t="s">
        <v>26</v>
      </c>
      <c r="Q363" s="2" t="s">
        <v>27</v>
      </c>
      <c r="R363" s="6">
        <v>10500</v>
      </c>
      <c r="S363" s="6">
        <v>50500</v>
      </c>
      <c r="T363" s="7" t="s">
        <v>49</v>
      </c>
      <c r="U363" s="2">
        <v>16</v>
      </c>
      <c r="V363" s="2" t="str">
        <f>IF(Tabela1[[#This Row],[qtde_batalhas]]&lt;=10,"Baixo",IF(Tabela1[[#This Row],[qtde_batalhas]]&lt;=25,"Médio","Alto"))</f>
        <v>Médio</v>
      </c>
      <c r="W363" s="2" t="s">
        <v>49</v>
      </c>
      <c r="X363" s="6">
        <v>41500</v>
      </c>
      <c r="Y363" s="2" t="str">
        <f t="shared" si="41"/>
        <v>Aprovado</v>
      </c>
      <c r="Z363" s="1" t="str">
        <f t="shared" si="42"/>
        <v>Aprovado</v>
      </c>
      <c r="AA363" s="26">
        <f t="shared" si="43"/>
        <v>44820</v>
      </c>
    </row>
    <row r="364" spans="1:27">
      <c r="A364" s="16">
        <f ca="1">YEAR(TODAY())-Tabela1[[#This Row],[idade]]</f>
        <v>1959</v>
      </c>
      <c r="B364" s="1">
        <f t="shared" ca="1" si="48"/>
        <v>67</v>
      </c>
      <c r="C364" s="1" t="str">
        <f>PROPER(Tabela1[[#This Row],[nome]])</f>
        <v>Jon Baelish</v>
      </c>
      <c r="D364" s="1" t="str">
        <f t="shared" si="44"/>
        <v>-</v>
      </c>
      <c r="G364" s="26">
        <f t="shared" si="45"/>
        <v>10700</v>
      </c>
      <c r="H364" s="26">
        <f t="shared" si="46"/>
        <v>9000</v>
      </c>
      <c r="I364" s="1" t="str">
        <f t="shared" si="47"/>
        <v>Não</v>
      </c>
      <c r="K364" s="2" t="s">
        <v>23</v>
      </c>
      <c r="L364" s="2" t="s">
        <v>766</v>
      </c>
      <c r="M364" s="3">
        <v>21400</v>
      </c>
      <c r="N364" s="4">
        <f ca="1">DATEDIF(O364,TODAY(),"Y")</f>
        <v>67</v>
      </c>
      <c r="O364" s="5">
        <v>21689</v>
      </c>
      <c r="P364" s="2" t="s">
        <v>70</v>
      </c>
      <c r="Q364" s="2" t="s">
        <v>71</v>
      </c>
      <c r="R364" s="6">
        <v>10700</v>
      </c>
      <c r="S364" s="6">
        <v>9000</v>
      </c>
      <c r="T364" s="7" t="s">
        <v>49</v>
      </c>
      <c r="U364" s="2">
        <v>37</v>
      </c>
      <c r="V364" s="2" t="str">
        <f>IF(Tabela1[[#This Row],[qtde_batalhas]]&lt;=10,"Baixo",IF(Tabela1[[#This Row],[qtde_batalhas]]&lt;=25,"Médio","Alto"))</f>
        <v>Alto</v>
      </c>
      <c r="W364" s="2" t="s">
        <v>49</v>
      </c>
      <c r="X364" s="6">
        <v>53000</v>
      </c>
      <c r="Y364" s="2" t="str">
        <f t="shared" si="41"/>
        <v>Aprovado</v>
      </c>
      <c r="Z364" s="1" t="str">
        <f t="shared" si="42"/>
        <v>Aprovado</v>
      </c>
      <c r="AA364" s="26">
        <f t="shared" si="43"/>
        <v>57240.000000000007</v>
      </c>
    </row>
    <row r="365" spans="1:27">
      <c r="A365" s="16">
        <f ca="1">YEAR(TODAY())-Tabela1[[#This Row],[idade]]</f>
        <v>1973</v>
      </c>
      <c r="B365" s="1">
        <f t="shared" ca="1" si="48"/>
        <v>53</v>
      </c>
      <c r="C365" s="1" t="str">
        <f>PROPER(Tabela1[[#This Row],[nome]])</f>
        <v>Bran Tarly</v>
      </c>
      <c r="D365" s="1" t="str">
        <f t="shared" si="44"/>
        <v>000.000.269-00</v>
      </c>
      <c r="G365" s="26" t="str">
        <f t="shared" si="45"/>
        <v>-</v>
      </c>
      <c r="H365" s="26">
        <f t="shared" si="46"/>
        <v>21500</v>
      </c>
      <c r="I365" s="1" t="str">
        <f t="shared" si="47"/>
        <v>Sim</v>
      </c>
      <c r="K365" s="2" t="s">
        <v>23</v>
      </c>
      <c r="L365" s="2" t="s">
        <v>767</v>
      </c>
      <c r="M365" s="3" t="s">
        <v>768</v>
      </c>
      <c r="N365" s="4">
        <f ca="1">DATEDIF(O365,TODAY(),"Y")</f>
        <v>53</v>
      </c>
      <c r="O365" s="5">
        <v>26790</v>
      </c>
      <c r="P365" s="2" t="s">
        <v>76</v>
      </c>
      <c r="Q365" s="2" t="s">
        <v>71</v>
      </c>
      <c r="R365" s="6" t="s">
        <v>134</v>
      </c>
      <c r="S365" s="6">
        <v>21500</v>
      </c>
      <c r="T365" s="7" t="s">
        <v>28</v>
      </c>
      <c r="U365" s="2">
        <v>44</v>
      </c>
      <c r="V365" s="2" t="str">
        <f>IF(Tabela1[[#This Row],[qtde_batalhas]]&lt;=10,"Baixo",IF(Tabela1[[#This Row],[qtde_batalhas]]&lt;=25,"Médio","Alto"))</f>
        <v>Alto</v>
      </c>
      <c r="W365" s="2" t="s">
        <v>28</v>
      </c>
      <c r="X365" s="6">
        <v>3500</v>
      </c>
      <c r="Y365" s="2" t="str">
        <f t="shared" si="41"/>
        <v>Negado</v>
      </c>
      <c r="Z365" s="1" t="str">
        <f t="shared" si="42"/>
        <v>Aprovado</v>
      </c>
      <c r="AA365" s="26">
        <f t="shared" si="43"/>
        <v>0</v>
      </c>
    </row>
    <row r="366" spans="1:27">
      <c r="A366" s="16">
        <f ca="1">YEAR(TODAY())-Tabela1[[#This Row],[idade]]</f>
        <v>1995</v>
      </c>
      <c r="B366" s="1">
        <f t="shared" ca="1" si="48"/>
        <v>31</v>
      </c>
      <c r="C366" s="1" t="str">
        <f>PROPER(Tabela1[[#This Row],[nome]])</f>
        <v>Eddard Ilhasyne</v>
      </c>
      <c r="D366" s="1" t="str">
        <f t="shared" si="44"/>
        <v>-</v>
      </c>
      <c r="G366" s="26">
        <f t="shared" si="45"/>
        <v>18200</v>
      </c>
      <c r="H366" s="26">
        <f t="shared" si="46"/>
        <v>78500</v>
      </c>
      <c r="I366" s="1" t="str">
        <f t="shared" si="47"/>
        <v>Não</v>
      </c>
      <c r="K366" s="2" t="s">
        <v>29</v>
      </c>
      <c r="L366" s="2" t="s">
        <v>862</v>
      </c>
      <c r="M366" s="3">
        <v>3200</v>
      </c>
      <c r="N366" s="4">
        <f ca="1">DATEDIF(O366,TODAY(),"Y")</f>
        <v>31</v>
      </c>
      <c r="O366" s="5">
        <v>34746</v>
      </c>
      <c r="P366" s="2" t="s">
        <v>76</v>
      </c>
      <c r="Q366" s="2" t="s">
        <v>71</v>
      </c>
      <c r="R366" s="6">
        <v>18200</v>
      </c>
      <c r="S366" s="6">
        <v>78500</v>
      </c>
      <c r="T366" s="7" t="s">
        <v>49</v>
      </c>
      <c r="U366" s="2">
        <v>9</v>
      </c>
      <c r="V366" s="2" t="str">
        <f>IF(Tabela1[[#This Row],[qtde_batalhas]]&lt;=10,"Baixo",IF(Tabela1[[#This Row],[qtde_batalhas]]&lt;=25,"Médio","Alto"))</f>
        <v>Baixo</v>
      </c>
      <c r="W366" s="2" t="s">
        <v>49</v>
      </c>
      <c r="X366" s="6">
        <v>73000</v>
      </c>
      <c r="Y366" s="2" t="str">
        <f t="shared" si="41"/>
        <v>Aprovado</v>
      </c>
      <c r="Z366" s="1" t="str">
        <f t="shared" si="42"/>
        <v>Aprovado</v>
      </c>
      <c r="AA366" s="26">
        <f t="shared" si="43"/>
        <v>0</v>
      </c>
    </row>
    <row r="367" spans="1:27">
      <c r="A367" s="16">
        <f ca="1">YEAR(TODAY())-Tabela1[[#This Row],[idade]]</f>
        <v>1985</v>
      </c>
      <c r="B367" s="1">
        <f t="shared" ca="1" si="48"/>
        <v>41</v>
      </c>
      <c r="C367" s="1" t="str">
        <f>PROPER(Tabela1[[#This Row],[nome]])</f>
        <v>Thoros Tarth</v>
      </c>
      <c r="D367" s="1" t="str">
        <f t="shared" si="44"/>
        <v>000.000.280-00</v>
      </c>
      <c r="G367" s="26">
        <f t="shared" si="45"/>
        <v>26500</v>
      </c>
      <c r="H367" s="26">
        <f t="shared" si="46"/>
        <v>29500</v>
      </c>
      <c r="I367" s="1" t="str">
        <f t="shared" si="47"/>
        <v>Não</v>
      </c>
      <c r="K367" s="2" t="s">
        <v>23</v>
      </c>
      <c r="L367" s="2" t="s">
        <v>215</v>
      </c>
      <c r="M367" s="3" t="s">
        <v>770</v>
      </c>
      <c r="N367" s="4">
        <f ca="1">DATEDIF(O367,TODAY(),"Y")</f>
        <v>41</v>
      </c>
      <c r="O367" s="5">
        <v>31156</v>
      </c>
      <c r="P367" s="2" t="s">
        <v>111</v>
      </c>
      <c r="Q367" s="2" t="s">
        <v>91</v>
      </c>
      <c r="R367" s="6">
        <v>26500</v>
      </c>
      <c r="S367" s="6">
        <v>29500</v>
      </c>
      <c r="T367" s="7" t="s">
        <v>49</v>
      </c>
      <c r="U367" s="2">
        <v>5</v>
      </c>
      <c r="V367" s="2" t="str">
        <f>IF(Tabela1[[#This Row],[qtde_batalhas]]&lt;=10,"Baixo",IF(Tabela1[[#This Row],[qtde_batalhas]]&lt;=25,"Médio","Alto"))</f>
        <v>Baixo</v>
      </c>
      <c r="W367" s="2" t="s">
        <v>49</v>
      </c>
      <c r="X367" s="6">
        <v>75000</v>
      </c>
      <c r="Y367" s="2" t="str">
        <f t="shared" si="41"/>
        <v>Aprovado</v>
      </c>
      <c r="Z367" s="1" t="str">
        <f t="shared" si="42"/>
        <v>Aprovado</v>
      </c>
      <c r="AA367" s="26">
        <f t="shared" si="43"/>
        <v>81000</v>
      </c>
    </row>
    <row r="368" spans="1:27">
      <c r="A368" s="16">
        <f ca="1">YEAR(TODAY())-Tabela1[[#This Row],[idade]]</f>
        <v>1971</v>
      </c>
      <c r="B368" s="1">
        <f ca="1">INT((TODAY()-O368)/365)</f>
        <v>55</v>
      </c>
      <c r="C368" s="1" t="str">
        <f>PROPER(Tabela1[[#This Row],[nome]])</f>
        <v>Renly Bolton</v>
      </c>
      <c r="D368" s="1" t="str">
        <f t="shared" si="44"/>
        <v>-</v>
      </c>
      <c r="G368" s="26">
        <f t="shared" si="45"/>
        <v>21100</v>
      </c>
      <c r="H368" s="26">
        <f t="shared" si="46"/>
        <v>67500</v>
      </c>
      <c r="I368" s="1" t="str">
        <f t="shared" si="47"/>
        <v>Não</v>
      </c>
      <c r="K368" s="2" t="s">
        <v>29</v>
      </c>
      <c r="L368" s="2" t="s">
        <v>772</v>
      </c>
      <c r="M368" s="3">
        <v>20600</v>
      </c>
      <c r="N368" s="4">
        <f ca="1">DATEDIF(O368,TODAY(),"Y")</f>
        <v>55</v>
      </c>
      <c r="O368" s="5">
        <v>26075</v>
      </c>
      <c r="P368" s="2" t="s">
        <v>26</v>
      </c>
      <c r="Q368" s="2" t="s">
        <v>27</v>
      </c>
      <c r="R368" s="6">
        <v>21100</v>
      </c>
      <c r="S368" s="6">
        <v>67500</v>
      </c>
      <c r="T368" s="7" t="s">
        <v>49</v>
      </c>
      <c r="U368" s="2">
        <v>15</v>
      </c>
      <c r="V368" s="2" t="str">
        <f>IF(Tabela1[[#This Row],[qtde_batalhas]]&lt;=10,"Baixo",IF(Tabela1[[#This Row],[qtde_batalhas]]&lt;=25,"Médio","Alto"))</f>
        <v>Médio</v>
      </c>
      <c r="W368" s="2" t="s">
        <v>49</v>
      </c>
      <c r="X368" s="6">
        <v>20000</v>
      </c>
      <c r="Y368" s="2" t="str">
        <f t="shared" si="41"/>
        <v>Aprovado</v>
      </c>
      <c r="Z368" s="1" t="str">
        <f t="shared" si="42"/>
        <v>Aprovado</v>
      </c>
      <c r="AA368" s="26">
        <f t="shared" si="43"/>
        <v>0</v>
      </c>
    </row>
    <row r="369" spans="1:27">
      <c r="A369" s="16">
        <f ca="1">YEAR(TODAY())-Tabela1[[#This Row],[idade]]</f>
        <v>1966</v>
      </c>
      <c r="B369" s="1">
        <f t="shared" ca="1" si="48"/>
        <v>60</v>
      </c>
      <c r="C369" s="1" t="str">
        <f>PROPER(Tabela1[[#This Row],[nome]])</f>
        <v>Rhaegar Payne</v>
      </c>
      <c r="D369" s="1" t="str">
        <f t="shared" si="44"/>
        <v>000.000.253-00</v>
      </c>
      <c r="G369" s="26">
        <f t="shared" si="45"/>
        <v>17300</v>
      </c>
      <c r="H369" s="26">
        <f t="shared" si="46"/>
        <v>15000</v>
      </c>
      <c r="I369" s="1" t="str">
        <f t="shared" si="47"/>
        <v>Não</v>
      </c>
      <c r="K369" s="2" t="s">
        <v>23</v>
      </c>
      <c r="L369" s="2" t="s">
        <v>773</v>
      </c>
      <c r="M369" s="3" t="s">
        <v>774</v>
      </c>
      <c r="N369" s="4">
        <f ca="1">DATEDIF(O369,TODAY(),"Y")</f>
        <v>60</v>
      </c>
      <c r="O369" s="5">
        <v>24272</v>
      </c>
      <c r="P369" s="2" t="s">
        <v>166</v>
      </c>
      <c r="Q369" s="2" t="s">
        <v>98</v>
      </c>
      <c r="R369" s="6">
        <v>17300</v>
      </c>
      <c r="S369" s="6">
        <v>15000</v>
      </c>
      <c r="T369" s="7" t="s">
        <v>49</v>
      </c>
      <c r="U369" s="2">
        <v>17</v>
      </c>
      <c r="V369" s="2" t="str">
        <f>IF(Tabela1[[#This Row],[qtde_batalhas]]&lt;=10,"Baixo",IF(Tabela1[[#This Row],[qtde_batalhas]]&lt;=25,"Médio","Alto"))</f>
        <v>Médio</v>
      </c>
      <c r="W369" s="2" t="s">
        <v>49</v>
      </c>
      <c r="X369" s="6">
        <v>69000</v>
      </c>
      <c r="Y369" s="2" t="str">
        <f t="shared" si="41"/>
        <v>Aprovado</v>
      </c>
      <c r="Z369" s="1" t="str">
        <f t="shared" si="42"/>
        <v>Aprovado</v>
      </c>
      <c r="AA369" s="26">
        <f t="shared" si="43"/>
        <v>74520</v>
      </c>
    </row>
    <row r="370" spans="1:27">
      <c r="A370" s="16">
        <f ca="1">YEAR(TODAY())-Tabela1[[#This Row],[idade]]</f>
        <v>1977</v>
      </c>
      <c r="B370" s="1">
        <f t="shared" ca="1" si="48"/>
        <v>49</v>
      </c>
      <c r="C370" s="1" t="str">
        <f>PROPER(Tabela1[[#This Row],[nome]])</f>
        <v>Bronn Dondarrion</v>
      </c>
      <c r="D370" s="1" t="str">
        <f t="shared" si="44"/>
        <v>000.000.036-00</v>
      </c>
      <c r="G370" s="26">
        <f t="shared" si="45"/>
        <v>20300</v>
      </c>
      <c r="H370" s="26">
        <f t="shared" si="46"/>
        <v>12000</v>
      </c>
      <c r="I370" s="1" t="str">
        <f t="shared" si="47"/>
        <v>Sim</v>
      </c>
      <c r="K370" s="2" t="s">
        <v>23</v>
      </c>
      <c r="L370" s="2" t="s">
        <v>775</v>
      </c>
      <c r="M370" s="3" t="s">
        <v>776</v>
      </c>
      <c r="N370" s="4">
        <f ca="1">DATEDIF(O370,TODAY(),"Y")</f>
        <v>49</v>
      </c>
      <c r="O370" s="5">
        <v>28136</v>
      </c>
      <c r="P370" s="2" t="s">
        <v>122</v>
      </c>
      <c r="Q370" s="2" t="s">
        <v>98</v>
      </c>
      <c r="R370" s="6">
        <v>20300</v>
      </c>
      <c r="S370" s="6">
        <v>12000</v>
      </c>
      <c r="T370" s="7" t="s">
        <v>28</v>
      </c>
      <c r="U370" s="2">
        <v>27</v>
      </c>
      <c r="V370" s="2" t="str">
        <f>IF(Tabela1[[#This Row],[qtde_batalhas]]&lt;=10,"Baixo",IF(Tabela1[[#This Row],[qtde_batalhas]]&lt;=25,"Médio","Alto"))</f>
        <v>Alto</v>
      </c>
      <c r="W370" s="2" t="s">
        <v>28</v>
      </c>
      <c r="X370" s="6">
        <v>67500</v>
      </c>
      <c r="Y370" s="23" t="str">
        <f t="shared" si="41"/>
        <v>Negado</v>
      </c>
      <c r="Z370" s="1" t="str">
        <f t="shared" si="42"/>
        <v>Aprovado</v>
      </c>
      <c r="AA370" s="26">
        <f t="shared" si="43"/>
        <v>0</v>
      </c>
    </row>
    <row r="371" spans="1:27">
      <c r="A371" s="1"/>
    </row>
    <row r="372" spans="1:27">
      <c r="A372" s="1"/>
    </row>
  </sheetData>
  <mergeCells count="1">
    <mergeCell ref="K1:Y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80A5D-9227-4634-875E-814BC8550F07}">
  <dimension ref="A1:I19"/>
  <sheetViews>
    <sheetView workbookViewId="0">
      <selection activeCell="G18" sqref="A1:G18"/>
    </sheetView>
  </sheetViews>
  <sheetFormatPr defaultRowHeight="15"/>
  <cols>
    <col min="1" max="1" width="22.140625" customWidth="1"/>
    <col min="2" max="2" width="37.7109375" customWidth="1"/>
    <col min="3" max="3" width="32.7109375" customWidth="1"/>
    <col min="4" max="4" width="40.140625" customWidth="1"/>
    <col min="5" max="5" width="24.5703125" customWidth="1"/>
    <col min="6" max="6" width="23.85546875" customWidth="1"/>
    <col min="7" max="7" width="14.5703125" customWidth="1"/>
  </cols>
  <sheetData>
    <row r="1" spans="1:9">
      <c r="A1" s="9" t="s">
        <v>863</v>
      </c>
      <c r="B1" s="9" t="s">
        <v>864</v>
      </c>
      <c r="C1" s="10" t="s">
        <v>865</v>
      </c>
      <c r="D1" s="10" t="s">
        <v>866</v>
      </c>
      <c r="E1" s="10" t="s">
        <v>867</v>
      </c>
      <c r="F1" s="9" t="s">
        <v>868</v>
      </c>
      <c r="G1" s="9" t="s">
        <v>869</v>
      </c>
    </row>
    <row r="2" spans="1:9">
      <c r="A2" s="11" t="s">
        <v>870</v>
      </c>
      <c r="B2" s="28" t="s">
        <v>871</v>
      </c>
      <c r="C2" s="28" t="s">
        <v>872</v>
      </c>
      <c r="D2" s="28" t="s">
        <v>873</v>
      </c>
      <c r="E2" s="28" t="s">
        <v>874</v>
      </c>
      <c r="F2" s="28" t="s">
        <v>875</v>
      </c>
      <c r="G2" s="8" t="s">
        <v>876</v>
      </c>
    </row>
    <row r="3" spans="1:9">
      <c r="A3" s="12" t="s">
        <v>877</v>
      </c>
      <c r="B3" s="21" t="s">
        <v>878</v>
      </c>
      <c r="C3" s="21" t="s">
        <v>879</v>
      </c>
      <c r="D3" s="21" t="s">
        <v>880</v>
      </c>
      <c r="E3" s="21" t="s">
        <v>881</v>
      </c>
      <c r="F3" s="21"/>
      <c r="G3" s="8" t="s">
        <v>876</v>
      </c>
    </row>
    <row r="4" spans="1:9">
      <c r="A4" s="12" t="s">
        <v>882</v>
      </c>
      <c r="B4" s="21" t="s">
        <v>883</v>
      </c>
      <c r="C4" s="21" t="s">
        <v>884</v>
      </c>
      <c r="D4" s="21" t="s">
        <v>885</v>
      </c>
      <c r="E4" s="21" t="s">
        <v>886</v>
      </c>
      <c r="F4" s="21" t="s">
        <v>887</v>
      </c>
      <c r="G4" s="8" t="s">
        <v>876</v>
      </c>
    </row>
    <row r="5" spans="1:9">
      <c r="A5" s="12" t="s">
        <v>888</v>
      </c>
      <c r="B5" s="21" t="s">
        <v>889</v>
      </c>
      <c r="C5" s="21" t="s">
        <v>890</v>
      </c>
      <c r="D5" s="21" t="s">
        <v>891</v>
      </c>
      <c r="E5" s="21" t="s">
        <v>892</v>
      </c>
      <c r="F5" s="21" t="s">
        <v>893</v>
      </c>
      <c r="G5" s="2" t="s">
        <v>876</v>
      </c>
    </row>
    <row r="6" spans="1:9">
      <c r="A6" s="12" t="s">
        <v>894</v>
      </c>
      <c r="B6" s="21" t="s">
        <v>895</v>
      </c>
      <c r="C6" s="21" t="s">
        <v>896</v>
      </c>
      <c r="D6" s="21" t="s">
        <v>897</v>
      </c>
      <c r="E6" s="21" t="s">
        <v>898</v>
      </c>
      <c r="F6" s="29">
        <v>34144</v>
      </c>
      <c r="G6" s="2" t="s">
        <v>876</v>
      </c>
    </row>
    <row r="7" spans="1:9">
      <c r="A7" s="12" t="s">
        <v>899</v>
      </c>
      <c r="B7" s="21" t="s">
        <v>900</v>
      </c>
      <c r="C7" s="30" t="s">
        <v>492</v>
      </c>
      <c r="D7" s="21" t="s">
        <v>901</v>
      </c>
      <c r="E7" s="21" t="s">
        <v>902</v>
      </c>
      <c r="F7" s="30" t="s">
        <v>903</v>
      </c>
      <c r="G7" s="2" t="s">
        <v>876</v>
      </c>
    </row>
    <row r="8" spans="1:9" ht="15" customHeight="1">
      <c r="A8" s="12" t="s">
        <v>904</v>
      </c>
      <c r="B8" s="21" t="s">
        <v>905</v>
      </c>
      <c r="C8" s="21" t="s">
        <v>906</v>
      </c>
      <c r="D8" s="21" t="s">
        <v>907</v>
      </c>
      <c r="E8" s="27" t="s">
        <v>908</v>
      </c>
      <c r="F8" s="21" t="s">
        <v>32</v>
      </c>
      <c r="G8" s="2" t="s">
        <v>876</v>
      </c>
    </row>
    <row r="9" spans="1:9">
      <c r="A9" s="12" t="s">
        <v>909</v>
      </c>
      <c r="B9" s="21" t="s">
        <v>910</v>
      </c>
      <c r="C9" s="30" t="s">
        <v>911</v>
      </c>
      <c r="D9" s="21" t="s">
        <v>912</v>
      </c>
      <c r="E9" s="21" t="s">
        <v>913</v>
      </c>
      <c r="F9" s="31">
        <v>11000</v>
      </c>
      <c r="G9" s="2" t="s">
        <v>876</v>
      </c>
    </row>
    <row r="10" spans="1:9">
      <c r="A10" s="12" t="s">
        <v>8</v>
      </c>
      <c r="B10" s="21" t="s">
        <v>910</v>
      </c>
      <c r="C10" s="21" t="s">
        <v>914</v>
      </c>
      <c r="D10" s="21" t="s">
        <v>912</v>
      </c>
      <c r="E10" s="21" t="s">
        <v>915</v>
      </c>
      <c r="F10" s="31">
        <v>31000</v>
      </c>
      <c r="G10" s="2" t="s">
        <v>876</v>
      </c>
    </row>
    <row r="11" spans="1:9" ht="15" customHeight="1">
      <c r="A11" s="12" t="s">
        <v>9</v>
      </c>
      <c r="B11" s="21" t="s">
        <v>916</v>
      </c>
      <c r="C11" s="21" t="s">
        <v>917</v>
      </c>
      <c r="D11" s="21" t="s">
        <v>912</v>
      </c>
      <c r="E11" s="27" t="s">
        <v>918</v>
      </c>
      <c r="F11" s="21" t="s">
        <v>919</v>
      </c>
      <c r="G11" s="2" t="s">
        <v>876</v>
      </c>
    </row>
    <row r="12" spans="1:9">
      <c r="A12" s="12" t="s">
        <v>10</v>
      </c>
      <c r="B12" s="21" t="s">
        <v>920</v>
      </c>
      <c r="C12" s="30" t="s">
        <v>512</v>
      </c>
      <c r="D12" s="21" t="s">
        <v>921</v>
      </c>
      <c r="E12" s="21" t="s">
        <v>922</v>
      </c>
      <c r="F12" s="21">
        <v>18</v>
      </c>
      <c r="G12" s="2" t="s">
        <v>876</v>
      </c>
    </row>
    <row r="13" spans="1:9">
      <c r="A13" s="12" t="s">
        <v>11</v>
      </c>
      <c r="B13" s="21" t="s">
        <v>923</v>
      </c>
      <c r="C13" s="21" t="s">
        <v>924</v>
      </c>
      <c r="D13" s="21" t="s">
        <v>925</v>
      </c>
      <c r="E13" s="21" t="s">
        <v>926</v>
      </c>
      <c r="F13" s="21" t="s">
        <v>20</v>
      </c>
      <c r="G13" s="2" t="s">
        <v>876</v>
      </c>
      <c r="I13" s="18"/>
    </row>
    <row r="14" spans="1:9">
      <c r="A14" s="12" t="s">
        <v>927</v>
      </c>
      <c r="B14" s="21" t="s">
        <v>928</v>
      </c>
      <c r="C14" s="2">
        <v>44500</v>
      </c>
      <c r="D14" s="2" t="s">
        <v>929</v>
      </c>
      <c r="E14" s="14" t="s">
        <v>930</v>
      </c>
      <c r="F14" s="31">
        <v>44500</v>
      </c>
      <c r="G14" s="2" t="s">
        <v>876</v>
      </c>
    </row>
    <row r="15" spans="1:9">
      <c r="A15" s="12" t="s">
        <v>13</v>
      </c>
      <c r="B15" s="35" t="s">
        <v>931</v>
      </c>
      <c r="C15" s="2" t="s">
        <v>931</v>
      </c>
      <c r="D15" s="2" t="s">
        <v>932</v>
      </c>
      <c r="E15" s="14" t="s">
        <v>933</v>
      </c>
      <c r="F15" s="36" t="s">
        <v>20</v>
      </c>
      <c r="G15" s="2" t="s">
        <v>876</v>
      </c>
    </row>
    <row r="16" spans="1:9">
      <c r="A16" s="12" t="s">
        <v>14</v>
      </c>
      <c r="B16" s="2" t="s">
        <v>931</v>
      </c>
      <c r="C16" s="2" t="s">
        <v>931</v>
      </c>
      <c r="D16" s="2" t="s">
        <v>934</v>
      </c>
      <c r="E16" s="14" t="s">
        <v>935</v>
      </c>
      <c r="F16" s="36" t="s">
        <v>936</v>
      </c>
      <c r="G16" s="2" t="s">
        <v>876</v>
      </c>
    </row>
    <row r="17" spans="1:7">
      <c r="A17" s="12" t="s">
        <v>787</v>
      </c>
      <c r="B17" s="2" t="s">
        <v>931</v>
      </c>
      <c r="C17" s="2" t="s">
        <v>931</v>
      </c>
      <c r="D17" s="2" t="s">
        <v>937</v>
      </c>
      <c r="E17" s="14" t="s">
        <v>938</v>
      </c>
      <c r="F17" s="36">
        <v>35100</v>
      </c>
      <c r="G17" s="2" t="s">
        <v>876</v>
      </c>
    </row>
    <row r="18" spans="1:7">
      <c r="A18" s="22" t="s">
        <v>939</v>
      </c>
      <c r="B18" s="2" t="s">
        <v>931</v>
      </c>
      <c r="C18" s="2" t="s">
        <v>931</v>
      </c>
      <c r="D18" s="23" t="s">
        <v>940</v>
      </c>
      <c r="E18" s="23" t="s">
        <v>941</v>
      </c>
      <c r="F18" s="23" t="s">
        <v>942</v>
      </c>
      <c r="G18" s="2" t="s">
        <v>876</v>
      </c>
    </row>
    <row r="19" spans="1:7">
      <c r="A19" s="1"/>
      <c r="B19" s="1"/>
      <c r="C19" s="1"/>
      <c r="D19" s="1"/>
      <c r="E19" s="1"/>
      <c r="F19" s="1"/>
      <c r="G19" s="1"/>
    </row>
  </sheetData>
  <conditionalFormatting sqref="G2:G18">
    <cfRule type="containsText" dxfId="12" priority="3" operator="containsText" text="Falta">
      <formula>NOT(ISERROR(SEARCH("Falta",G2)))</formula>
    </cfRule>
  </conditionalFormatting>
  <conditionalFormatting sqref="G2:G18">
    <cfRule type="containsText" dxfId="11" priority="2" operator="containsText" text="Realizado">
      <formula>NOT(ISERROR(SEARCH("Realizado",G2)))</formula>
    </cfRule>
  </conditionalFormatting>
  <conditionalFormatting sqref="G2:G18">
    <cfRule type="containsText" dxfId="10" priority="1" operator="containsText" text="Registrado">
      <formula>NOT(ISERROR(SEARCH("Registrado",G2)))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2026-09-08T18:35:45Z</dcterms:created>
  <dcterms:modified xsi:type="dcterms:W3CDTF">2026-09-12T19:13:29Z</dcterms:modified>
  <cp:category/>
  <cp:contentStatus/>
</cp:coreProperties>
</file>